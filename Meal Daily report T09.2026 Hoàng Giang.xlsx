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192.168.28.4\HRAdmin\Meal Order\Meal Order Hoàng Giang\"/>
    </mc:Choice>
  </mc:AlternateContent>
  <xr:revisionPtr revIDLastSave="0" documentId="13_ncr:1_{E3C681E5-D1FC-43FC-9D98-D08C8A4AFC64}" xr6:coauthVersionLast="47" xr6:coauthVersionMax="47" xr10:uidLastSave="{00000000-0000-0000-0000-000000000000}"/>
  <bookViews>
    <workbookView xWindow="-120" yWindow="-120" windowWidth="29040" windowHeight="15720" activeTab="6" xr2:uid="{00000000-000D-0000-FFFF-FFFF00000000}"/>
  </bookViews>
  <sheets>
    <sheet name="PRIOVOT" sheetId="8" r:id="rId1"/>
    <sheet name="VP SÁNG " sheetId="5" r:id="rId2"/>
    <sheet name="CHIỀU " sheetId="6" r:id="rId3"/>
    <sheet name="HHVCV" sheetId="12" r:id="rId4"/>
    <sheet name="HHVCV - Tăng ca" sheetId="14" r:id="rId5"/>
    <sheet name="Payment" sheetId="7" r:id="rId6"/>
    <sheet name="HG confirm" sheetId="9" r:id="rId7"/>
    <sheet name="Sheet1" sheetId="10" state="hidden" r:id="rId8"/>
  </sheets>
  <externalReferences>
    <externalReference r:id="rId9"/>
    <externalReference r:id="rId10"/>
    <externalReference r:id="rId11"/>
  </externalReferences>
  <definedNames>
    <definedName name="_xlnm._FilterDatabase" localSheetId="2" hidden="1">'CHIỀU '!$15:$354</definedName>
    <definedName name="_xlnm._FilterDatabase" localSheetId="6" hidden="1">'HG confirm'!#REF!</definedName>
    <definedName name="_xlnm._FilterDatabase" localSheetId="3" hidden="1">HHVCV!$A$11:$XEW$460</definedName>
    <definedName name="_xlnm._FilterDatabase" localSheetId="4" hidden="1">'HHVCV - Tăng ca'!$15:$355</definedName>
    <definedName name="_xlnm._FilterDatabase" localSheetId="5" hidden="1">Payment!#REF!</definedName>
    <definedName name="_xlnm._FilterDatabase" localSheetId="7" hidden="1">Sheet1!$B$2:$E$11</definedName>
    <definedName name="_xlnm._FilterDatabase" localSheetId="1" hidden="1">'VP SÁNG '!$A$13:$XEW$461</definedName>
    <definedName name="_xlnm.Print_Area" localSheetId="6">'HG confirm'!$A$1:$D$60</definedName>
    <definedName name="_xlnm.Print_Area" localSheetId="5">Payment!$A$1:$G$79</definedName>
  </definedNames>
  <calcPr calcId="191029"/>
  <pivotCaches>
    <pivotCache cacheId="0" r:id="rId12"/>
    <pivotCache cacheId="1" r:id="rId13"/>
    <pivotCache cacheId="2" r:id="rId14"/>
    <pivotCache cacheId="3"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 i="12" l="1"/>
  <c r="F34" i="9"/>
  <c r="AM29" i="14" l="1"/>
  <c r="AM30" i="14"/>
  <c r="AM31" i="14"/>
  <c r="AM32" i="14"/>
  <c r="AM33" i="14"/>
  <c r="AM34" i="14"/>
  <c r="AM35" i="14"/>
  <c r="AM36" i="14"/>
  <c r="AM37" i="14"/>
  <c r="AM38" i="14"/>
  <c r="AM39" i="14"/>
  <c r="AM40" i="14"/>
  <c r="AM37" i="12"/>
  <c r="AM38" i="12"/>
  <c r="AM39" i="12"/>
  <c r="AM40" i="12"/>
  <c r="AM41" i="12"/>
  <c r="AM42" i="12"/>
  <c r="AM43" i="12"/>
  <c r="AM44" i="12"/>
  <c r="AM45" i="12"/>
  <c r="AM46" i="12"/>
  <c r="AM47" i="12"/>
  <c r="AM48" i="12"/>
  <c r="AM49" i="12"/>
  <c r="AM50" i="12"/>
  <c r="AM51" i="12"/>
  <c r="AL12" i="6"/>
  <c r="B39" i="8"/>
  <c r="AL7" i="5" l="1"/>
  <c r="AK12" i="6" l="1"/>
  <c r="B49" i="7" l="1"/>
  <c r="B50" i="7"/>
  <c r="B51" i="7"/>
  <c r="B52" i="7"/>
  <c r="B53" i="7"/>
  <c r="B54" i="7"/>
  <c r="B55" i="7"/>
  <c r="B56" i="7"/>
  <c r="B57" i="7"/>
  <c r="B58" i="7"/>
  <c r="B59" i="7"/>
  <c r="B60" i="7"/>
  <c r="B61" i="7"/>
  <c r="B62" i="7"/>
  <c r="B63" i="7"/>
  <c r="B64" i="7"/>
  <c r="B65" i="7"/>
  <c r="D65" i="7" s="1"/>
  <c r="B66" i="7"/>
  <c r="B67" i="7"/>
  <c r="B68" i="7"/>
  <c r="B69" i="7"/>
  <c r="B70" i="7"/>
  <c r="B71" i="7"/>
  <c r="B72" i="7"/>
  <c r="B73" i="7"/>
  <c r="B74" i="7"/>
  <c r="B75" i="7"/>
  <c r="B76" i="7"/>
  <c r="B77" i="7"/>
  <c r="B78" i="7"/>
  <c r="B48" i="7"/>
  <c r="B40" i="8"/>
  <c r="AK7" i="5" l="1"/>
  <c r="AJ7" i="5" l="1"/>
  <c r="AM428" i="14" l="1"/>
  <c r="AM427" i="14"/>
  <c r="AM426" i="14"/>
  <c r="AM425" i="14"/>
  <c r="AM424" i="14"/>
  <c r="AM423" i="14"/>
  <c r="AM422" i="14"/>
  <c r="AM421" i="14"/>
  <c r="AM420" i="14"/>
  <c r="AM419" i="14"/>
  <c r="AM418" i="14"/>
  <c r="AM417" i="14"/>
  <c r="AM416" i="14"/>
  <c r="AM415" i="14"/>
  <c r="AM414" i="14"/>
  <c r="AM413" i="14"/>
  <c r="AM412" i="14"/>
  <c r="AM411" i="14"/>
  <c r="AM410" i="14"/>
  <c r="AM409" i="14"/>
  <c r="AM408" i="14"/>
  <c r="AM407" i="14"/>
  <c r="AM406" i="14"/>
  <c r="AM405" i="14"/>
  <c r="AM404" i="14"/>
  <c r="AM403" i="14"/>
  <c r="AM402" i="14"/>
  <c r="AM401" i="14"/>
  <c r="AM400" i="14"/>
  <c r="AM399" i="14"/>
  <c r="AM398" i="14"/>
  <c r="AM397" i="14"/>
  <c r="AM396" i="14"/>
  <c r="AM395" i="14"/>
  <c r="AM394" i="14"/>
  <c r="AM393" i="14"/>
  <c r="AM392" i="14"/>
  <c r="AM391" i="14"/>
  <c r="AM390" i="14"/>
  <c r="AM389" i="14"/>
  <c r="AM388" i="14"/>
  <c r="AM387" i="14"/>
  <c r="AM386" i="14"/>
  <c r="AM385" i="14"/>
  <c r="AM384" i="14"/>
  <c r="AM383" i="14"/>
  <c r="AM382" i="14"/>
  <c r="AM381" i="14"/>
  <c r="AM380" i="14"/>
  <c r="AM379" i="14"/>
  <c r="AM378" i="14"/>
  <c r="AM377" i="14"/>
  <c r="AM376" i="14"/>
  <c r="AM375" i="14"/>
  <c r="AM374" i="14"/>
  <c r="AM373" i="14"/>
  <c r="AM372" i="14"/>
  <c r="AM371" i="14"/>
  <c r="AM370" i="14"/>
  <c r="AM369" i="14"/>
  <c r="AM368" i="14"/>
  <c r="AM367" i="14"/>
  <c r="AM366" i="14"/>
  <c r="AM365" i="14"/>
  <c r="AM364" i="14"/>
  <c r="AM363" i="14"/>
  <c r="AM362" i="14"/>
  <c r="AM361" i="14"/>
  <c r="AM360" i="14"/>
  <c r="AM359" i="14"/>
  <c r="AM358" i="14"/>
  <c r="AM355" i="14"/>
  <c r="AM354" i="14"/>
  <c r="AM353" i="14"/>
  <c r="AM352" i="14"/>
  <c r="AM351" i="14"/>
  <c r="AM350" i="14"/>
  <c r="AM349" i="14"/>
  <c r="AM348" i="14"/>
  <c r="AM347" i="14"/>
  <c r="AM346" i="14"/>
  <c r="AM345" i="14"/>
  <c r="AM344" i="14"/>
  <c r="AM343" i="14"/>
  <c r="AM342" i="14"/>
  <c r="AM341" i="14"/>
  <c r="AM340" i="14"/>
  <c r="AM339" i="14"/>
  <c r="AM338" i="14"/>
  <c r="AM337" i="14"/>
  <c r="AM336" i="14"/>
  <c r="AM335" i="14"/>
  <c r="AM334" i="14"/>
  <c r="AM333" i="14"/>
  <c r="AM332" i="14"/>
  <c r="AM331" i="14"/>
  <c r="AM330" i="14"/>
  <c r="AM329" i="14"/>
  <c r="AM328" i="14"/>
  <c r="AM327" i="14"/>
  <c r="AM326" i="14"/>
  <c r="AM325" i="14"/>
  <c r="AM324" i="14"/>
  <c r="AM323" i="14"/>
  <c r="AM322" i="14"/>
  <c r="AM321" i="14"/>
  <c r="AM320" i="14"/>
  <c r="AM319" i="14"/>
  <c r="AM318" i="14"/>
  <c r="AM317" i="14"/>
  <c r="AM316" i="14"/>
  <c r="AM315" i="14"/>
  <c r="AM314" i="14"/>
  <c r="AM313" i="14"/>
  <c r="AM312" i="14"/>
  <c r="AM311" i="14"/>
  <c r="AM310" i="14"/>
  <c r="AM309" i="14"/>
  <c r="AM308" i="14"/>
  <c r="AM307" i="14"/>
  <c r="AM306" i="14"/>
  <c r="AM305" i="14"/>
  <c r="AM304" i="14"/>
  <c r="AM303" i="14"/>
  <c r="AM302" i="14"/>
  <c r="AM301" i="14"/>
  <c r="AM300" i="14"/>
  <c r="AM299" i="14"/>
  <c r="AM298" i="14"/>
  <c r="AM297" i="14"/>
  <c r="AM296" i="14"/>
  <c r="AM295" i="14"/>
  <c r="AM294" i="14"/>
  <c r="AM293" i="14"/>
  <c r="AM292" i="14"/>
  <c r="AM291" i="14"/>
  <c r="AM290" i="14"/>
  <c r="AM289" i="14"/>
  <c r="AM288" i="14"/>
  <c r="AM287" i="14"/>
  <c r="AM286" i="14"/>
  <c r="AM285" i="14"/>
  <c r="AM284" i="14"/>
  <c r="AM283" i="14"/>
  <c r="AM282" i="14"/>
  <c r="AM281" i="14"/>
  <c r="AM280" i="14"/>
  <c r="AM279" i="14"/>
  <c r="AM278" i="14"/>
  <c r="AM277" i="14"/>
  <c r="AM276" i="14"/>
  <c r="AM275" i="14"/>
  <c r="AM274" i="14"/>
  <c r="AM273" i="14"/>
  <c r="AM272" i="14"/>
  <c r="AM271" i="14"/>
  <c r="AM270" i="14"/>
  <c r="AM269" i="14"/>
  <c r="AM268" i="14"/>
  <c r="AM267" i="14"/>
  <c r="AM266" i="14"/>
  <c r="AM265" i="14"/>
  <c r="AM264" i="14"/>
  <c r="AM263" i="14"/>
  <c r="AM262" i="14"/>
  <c r="AM261" i="14"/>
  <c r="AM260" i="14"/>
  <c r="AM259" i="14"/>
  <c r="AM258" i="14"/>
  <c r="AM257" i="14"/>
  <c r="AM256" i="14"/>
  <c r="AM255" i="14"/>
  <c r="AM254" i="14"/>
  <c r="AM253" i="14"/>
  <c r="AM252" i="14"/>
  <c r="AM251" i="14"/>
  <c r="AM250" i="14"/>
  <c r="AM249" i="14"/>
  <c r="AM248" i="14"/>
  <c r="AM247" i="14"/>
  <c r="AM246" i="14"/>
  <c r="AM245" i="14"/>
  <c r="AM244" i="14"/>
  <c r="AM243" i="14"/>
  <c r="AM242" i="14"/>
  <c r="AM241" i="14"/>
  <c r="AM240" i="14"/>
  <c r="AM239" i="14"/>
  <c r="AM238" i="14"/>
  <c r="AM237" i="14"/>
  <c r="AM236" i="14"/>
  <c r="AM235" i="14"/>
  <c r="AM234" i="14"/>
  <c r="AM233" i="14"/>
  <c r="AM232" i="14"/>
  <c r="AM231" i="14"/>
  <c r="AM230" i="14"/>
  <c r="AM229" i="14"/>
  <c r="AM228" i="14"/>
  <c r="AM227" i="14"/>
  <c r="AM226" i="14"/>
  <c r="AM225" i="14"/>
  <c r="AM224" i="14"/>
  <c r="AM223" i="14"/>
  <c r="AM222" i="14"/>
  <c r="AM221" i="14"/>
  <c r="AM220" i="14"/>
  <c r="AM219" i="14"/>
  <c r="AM218" i="14"/>
  <c r="AM217" i="14"/>
  <c r="AM216" i="14"/>
  <c r="AM215" i="14"/>
  <c r="AM214" i="14"/>
  <c r="AM213" i="14"/>
  <c r="AM212" i="14"/>
  <c r="AM211" i="14"/>
  <c r="AM210" i="14"/>
  <c r="AM209" i="14"/>
  <c r="AM208" i="14"/>
  <c r="AM207" i="14"/>
  <c r="AM206" i="14"/>
  <c r="AM205" i="14"/>
  <c r="AM204" i="14"/>
  <c r="AM203" i="14"/>
  <c r="AM202" i="14"/>
  <c r="AM201" i="14"/>
  <c r="AM200" i="14"/>
  <c r="AM199" i="14"/>
  <c r="AM198" i="14"/>
  <c r="AM197" i="14"/>
  <c r="AM196" i="14"/>
  <c r="AM195" i="14"/>
  <c r="AM194" i="14"/>
  <c r="AM193" i="14"/>
  <c r="AM192" i="14"/>
  <c r="AM191" i="14"/>
  <c r="AM190" i="14"/>
  <c r="AM189" i="14"/>
  <c r="AM188" i="14"/>
  <c r="AM187" i="14"/>
  <c r="AM186" i="14"/>
  <c r="AM185" i="14"/>
  <c r="AM184" i="14"/>
  <c r="AM183" i="14"/>
  <c r="AM182" i="14"/>
  <c r="AM181" i="14"/>
  <c r="AM180" i="14"/>
  <c r="AM179" i="14"/>
  <c r="AM178" i="14"/>
  <c r="AM177" i="14"/>
  <c r="AM176" i="14"/>
  <c r="AM175" i="14"/>
  <c r="AM174" i="14"/>
  <c r="AM173" i="14"/>
  <c r="AM172" i="14"/>
  <c r="AM171" i="14"/>
  <c r="AM170" i="14"/>
  <c r="AM169" i="14"/>
  <c r="AM168" i="14"/>
  <c r="AM167" i="14"/>
  <c r="AM166" i="14"/>
  <c r="AM165" i="14"/>
  <c r="AM164" i="14"/>
  <c r="AM163" i="14"/>
  <c r="AM162" i="14"/>
  <c r="AM161" i="14"/>
  <c r="AM160" i="14"/>
  <c r="AM159" i="14"/>
  <c r="AM158" i="14"/>
  <c r="AM157" i="14"/>
  <c r="AM156" i="14"/>
  <c r="AM155" i="14"/>
  <c r="AM154" i="14"/>
  <c r="AM153" i="14"/>
  <c r="AM152" i="14"/>
  <c r="AM151" i="14"/>
  <c r="AM150" i="14"/>
  <c r="AM149" i="14"/>
  <c r="AM148" i="14"/>
  <c r="AM147" i="14"/>
  <c r="AM146" i="14"/>
  <c r="AM145" i="14"/>
  <c r="AM144" i="14"/>
  <c r="AM143" i="14"/>
  <c r="AM142" i="14"/>
  <c r="AM141" i="14"/>
  <c r="AM140" i="14"/>
  <c r="AM139" i="14"/>
  <c r="AM138" i="14"/>
  <c r="AM137" i="14"/>
  <c r="AM136" i="14"/>
  <c r="AM135" i="14"/>
  <c r="AM134" i="14"/>
  <c r="AM133" i="14"/>
  <c r="AM132" i="14"/>
  <c r="AM131" i="14"/>
  <c r="AM130" i="14"/>
  <c r="AM129" i="14"/>
  <c r="AM128" i="14"/>
  <c r="AM127" i="14"/>
  <c r="AM126" i="14"/>
  <c r="AM125" i="14"/>
  <c r="AM124" i="14"/>
  <c r="AM123" i="14"/>
  <c r="AM122" i="14"/>
  <c r="AM121" i="14"/>
  <c r="AM120" i="14"/>
  <c r="AM119" i="14"/>
  <c r="AM118" i="14"/>
  <c r="AM117" i="14"/>
  <c r="AM116" i="14"/>
  <c r="AM115" i="14"/>
  <c r="AM114" i="14"/>
  <c r="AM113" i="14"/>
  <c r="AM112" i="14"/>
  <c r="AM111" i="14"/>
  <c r="AM110" i="14"/>
  <c r="AM109" i="14"/>
  <c r="AM108" i="14"/>
  <c r="AM107" i="14"/>
  <c r="AM106" i="14"/>
  <c r="AM105" i="14"/>
  <c r="AM104" i="14"/>
  <c r="AM103" i="14"/>
  <c r="AM102" i="14"/>
  <c r="AM101" i="14"/>
  <c r="AM100" i="14"/>
  <c r="AM99" i="14"/>
  <c r="AM98" i="14"/>
  <c r="AM97" i="14"/>
  <c r="AM96" i="14"/>
  <c r="AM95" i="14"/>
  <c r="AM94" i="14"/>
  <c r="AM93" i="14"/>
  <c r="AM92" i="14"/>
  <c r="AM91" i="14"/>
  <c r="AM90" i="14"/>
  <c r="AM89" i="14"/>
  <c r="AM88" i="14"/>
  <c r="AM87" i="14"/>
  <c r="AM86" i="14"/>
  <c r="AM85" i="14"/>
  <c r="AM84" i="14"/>
  <c r="AM83" i="14"/>
  <c r="AM82" i="14"/>
  <c r="AM81" i="14"/>
  <c r="AM80" i="14"/>
  <c r="AM79" i="14"/>
  <c r="AM78" i="14"/>
  <c r="AM77" i="14"/>
  <c r="AM76" i="14"/>
  <c r="AM75" i="14"/>
  <c r="AM74" i="14"/>
  <c r="AM73" i="14"/>
  <c r="AM72" i="14"/>
  <c r="AM71" i="14"/>
  <c r="AM70" i="14"/>
  <c r="AM69" i="14"/>
  <c r="AM68" i="14"/>
  <c r="AM67" i="14"/>
  <c r="AM66" i="14"/>
  <c r="AM65" i="14"/>
  <c r="AM64" i="14"/>
  <c r="AM63" i="14"/>
  <c r="AM62" i="14"/>
  <c r="AM61" i="14"/>
  <c r="AM60" i="14"/>
  <c r="AM59" i="14"/>
  <c r="AM58" i="14"/>
  <c r="AM57" i="14"/>
  <c r="AM56" i="14"/>
  <c r="AM55" i="14"/>
  <c r="AM54" i="14"/>
  <c r="AM53" i="14"/>
  <c r="AM52" i="14"/>
  <c r="AM51" i="14"/>
  <c r="AM50" i="14"/>
  <c r="AM49" i="14"/>
  <c r="AM48" i="14"/>
  <c r="AM47" i="14"/>
  <c r="AM46" i="14"/>
  <c r="AM45" i="14"/>
  <c r="AM44" i="14"/>
  <c r="AM43" i="14"/>
  <c r="AM42" i="14"/>
  <c r="AM41" i="14"/>
  <c r="AM28" i="14"/>
  <c r="AM27" i="14"/>
  <c r="AM26" i="14"/>
  <c r="AM25" i="14"/>
  <c r="AM24" i="14"/>
  <c r="AM23" i="14"/>
  <c r="AM22" i="14"/>
  <c r="AM21" i="14"/>
  <c r="AM20" i="14"/>
  <c r="AM19" i="14"/>
  <c r="AM18" i="14"/>
  <c r="AM17" i="14"/>
  <c r="AM16" i="14"/>
  <c r="AL11" i="14"/>
  <c r="AK11" i="14"/>
  <c r="AJ11" i="14"/>
  <c r="AI11" i="14"/>
  <c r="AH11" i="14"/>
  <c r="AG11" i="14"/>
  <c r="AF11" i="14"/>
  <c r="AE11" i="14"/>
  <c r="AD11" i="14"/>
  <c r="AC11" i="14"/>
  <c r="AB11" i="14"/>
  <c r="AA11" i="14"/>
  <c r="Z11" i="14"/>
  <c r="Y11" i="14"/>
  <c r="X11" i="14"/>
  <c r="W11" i="14"/>
  <c r="V11" i="14"/>
  <c r="U11" i="14"/>
  <c r="T11" i="14"/>
  <c r="S11" i="14"/>
  <c r="R11" i="14"/>
  <c r="Q11" i="14"/>
  <c r="P11" i="14"/>
  <c r="O11" i="14"/>
  <c r="N11" i="14"/>
  <c r="M11" i="14"/>
  <c r="L11" i="14"/>
  <c r="K11" i="14"/>
  <c r="J11" i="14"/>
  <c r="I11" i="14"/>
  <c r="AL10" i="14"/>
  <c r="AK10" i="14"/>
  <c r="AJ10" i="14"/>
  <c r="C33" i="7" s="1"/>
  <c r="AI10" i="14"/>
  <c r="C32" i="7" s="1"/>
  <c r="AH10" i="14"/>
  <c r="C31" i="7" s="1"/>
  <c r="AG10" i="14"/>
  <c r="C30" i="7" s="1"/>
  <c r="AF10" i="14"/>
  <c r="C29" i="7" s="1"/>
  <c r="AE10" i="14"/>
  <c r="C28" i="7" s="1"/>
  <c r="AD10" i="14"/>
  <c r="C27" i="7" s="1"/>
  <c r="AC10" i="14"/>
  <c r="AB10" i="14"/>
  <c r="AA10" i="14"/>
  <c r="Z10" i="14"/>
  <c r="Y10" i="14"/>
  <c r="X10" i="14"/>
  <c r="W10" i="14"/>
  <c r="V10" i="14"/>
  <c r="U10" i="14"/>
  <c r="T10" i="14"/>
  <c r="S10" i="14"/>
  <c r="R10" i="14"/>
  <c r="Q10" i="14"/>
  <c r="P10" i="14"/>
  <c r="O10" i="14"/>
  <c r="N10" i="14"/>
  <c r="M10" i="14"/>
  <c r="L10" i="14"/>
  <c r="K10" i="14"/>
  <c r="J10" i="14"/>
  <c r="I10" i="14"/>
  <c r="AK4" i="14"/>
  <c r="AJ4" i="14"/>
  <c r="AI4" i="14"/>
  <c r="AH4" i="14"/>
  <c r="AG4" i="14"/>
  <c r="AF4" i="14"/>
  <c r="AE4" i="14"/>
  <c r="AD4" i="14"/>
  <c r="AC4" i="14"/>
  <c r="AB4" i="14"/>
  <c r="AA4" i="14"/>
  <c r="Z4" i="14"/>
  <c r="Y4" i="14"/>
  <c r="X4" i="14"/>
  <c r="W4" i="14"/>
  <c r="V4" i="14"/>
  <c r="U4" i="14"/>
  <c r="T4" i="14"/>
  <c r="S4" i="14"/>
  <c r="R4" i="14"/>
  <c r="Q4" i="14"/>
  <c r="P4" i="14"/>
  <c r="O4" i="14"/>
  <c r="N4" i="14"/>
  <c r="L4" i="14"/>
  <c r="K4" i="14"/>
  <c r="J4" i="14"/>
  <c r="I4" i="14"/>
  <c r="AK3" i="14"/>
  <c r="AJ3" i="14"/>
  <c r="AI3" i="14"/>
  <c r="AH3" i="14"/>
  <c r="AG3" i="14"/>
  <c r="AF3" i="14"/>
  <c r="AE3" i="14"/>
  <c r="AD3" i="14"/>
  <c r="AC3" i="14"/>
  <c r="AB3" i="14"/>
  <c r="AA3" i="14"/>
  <c r="Z3" i="14"/>
  <c r="Y3" i="14"/>
  <c r="X3" i="14"/>
  <c r="W3" i="14"/>
  <c r="V3" i="14"/>
  <c r="U3" i="14"/>
  <c r="T3" i="14"/>
  <c r="S3" i="14"/>
  <c r="R3" i="14"/>
  <c r="Q3" i="14"/>
  <c r="P3" i="14"/>
  <c r="O3" i="14"/>
  <c r="N3" i="14"/>
  <c r="L3" i="14"/>
  <c r="K3" i="14"/>
  <c r="J3" i="14"/>
  <c r="I3" i="14"/>
  <c r="AC2" i="14" l="1"/>
  <c r="F11" i="14"/>
  <c r="F10" i="14"/>
  <c r="AB2" i="14"/>
  <c r="S9" i="14"/>
  <c r="S8" i="14" s="1"/>
  <c r="P2" i="14"/>
  <c r="J2" i="14"/>
  <c r="AK2" i="14"/>
  <c r="L2" i="14"/>
  <c r="N2" i="14"/>
  <c r="K2" i="14"/>
  <c r="AK9" i="14"/>
  <c r="AK8" i="14" s="1"/>
  <c r="C34" i="7"/>
  <c r="J9" i="14"/>
  <c r="J8" i="14" s="1"/>
  <c r="AL9" i="14"/>
  <c r="AL13" i="14" s="1"/>
  <c r="C35" i="7"/>
  <c r="K9" i="14"/>
  <c r="K8" i="14" s="1"/>
  <c r="N9" i="14"/>
  <c r="N13" i="14" s="1"/>
  <c r="R9" i="14"/>
  <c r="R8" i="14" s="1"/>
  <c r="Z2" i="14"/>
  <c r="T9" i="14"/>
  <c r="T13" i="14" s="1"/>
  <c r="W2" i="14"/>
  <c r="AE2" i="14"/>
  <c r="L9" i="14"/>
  <c r="L8" i="14" s="1"/>
  <c r="M9" i="14"/>
  <c r="M13" i="14" s="1"/>
  <c r="O9" i="14"/>
  <c r="O8" i="14" s="1"/>
  <c r="P9" i="14"/>
  <c r="P8" i="14" s="1"/>
  <c r="Q9" i="14"/>
  <c r="Q8" i="14" s="1"/>
  <c r="U9" i="14"/>
  <c r="U13" i="14" s="1"/>
  <c r="AF2" i="14"/>
  <c r="AG2" i="14"/>
  <c r="AC9" i="14"/>
  <c r="AC8" i="14" s="1"/>
  <c r="V9" i="14"/>
  <c r="V13" i="14" s="1"/>
  <c r="AD2" i="14"/>
  <c r="AA2" i="14"/>
  <c r="Z9" i="14"/>
  <c r="Z13" i="14" s="1"/>
  <c r="AJ2" i="14"/>
  <c r="Y2" i="14"/>
  <c r="AF9" i="14"/>
  <c r="AF13" i="14" s="1"/>
  <c r="O2" i="14"/>
  <c r="U2" i="14"/>
  <c r="X2" i="14"/>
  <c r="S2" i="14"/>
  <c r="V2" i="14"/>
  <c r="R2" i="14"/>
  <c r="T2" i="14"/>
  <c r="AI2" i="14"/>
  <c r="AD9" i="14"/>
  <c r="AD13" i="14" s="1"/>
  <c r="AE9" i="14"/>
  <c r="AE13" i="14" s="1"/>
  <c r="W9" i="14"/>
  <c r="W8" i="14" s="1"/>
  <c r="X9" i="14"/>
  <c r="X8" i="14" s="1"/>
  <c r="AA9" i="14"/>
  <c r="AA13" i="14" s="1"/>
  <c r="Y9" i="14"/>
  <c r="Y8" i="14" s="1"/>
  <c r="AG9" i="14"/>
  <c r="AG8" i="14" s="1"/>
  <c r="AB9" i="14"/>
  <c r="AB8" i="14" s="1"/>
  <c r="AJ9" i="14"/>
  <c r="AJ13" i="14" s="1"/>
  <c r="AH9" i="14"/>
  <c r="AH8" i="14" s="1"/>
  <c r="AH2" i="14"/>
  <c r="AI9" i="14"/>
  <c r="AI8" i="14" s="1"/>
  <c r="Q2" i="14"/>
  <c r="I9" i="14"/>
  <c r="I4" i="12"/>
  <c r="AM460" i="12"/>
  <c r="AM459" i="12"/>
  <c r="AM458" i="12"/>
  <c r="AM457" i="12"/>
  <c r="AM456" i="12"/>
  <c r="AM455" i="12"/>
  <c r="AM454" i="12"/>
  <c r="AM453" i="12"/>
  <c r="AM452" i="12"/>
  <c r="AM451" i="12"/>
  <c r="AM450" i="12"/>
  <c r="AM449" i="12"/>
  <c r="AM448" i="12"/>
  <c r="AM447" i="12"/>
  <c r="AM446" i="12"/>
  <c r="AM445" i="12"/>
  <c r="AM444" i="12"/>
  <c r="AM443" i="12"/>
  <c r="AM442" i="12"/>
  <c r="AM441" i="12"/>
  <c r="AM440" i="12"/>
  <c r="AM439" i="12"/>
  <c r="AM438" i="12"/>
  <c r="AM437" i="12"/>
  <c r="AM436" i="12"/>
  <c r="AM435" i="12"/>
  <c r="AM434" i="12"/>
  <c r="AM433" i="12"/>
  <c r="AM432" i="12"/>
  <c r="AM431" i="12"/>
  <c r="AM430" i="12"/>
  <c r="AM429" i="12"/>
  <c r="AM428" i="12"/>
  <c r="AM427" i="12"/>
  <c r="AM426" i="12"/>
  <c r="AM425" i="12"/>
  <c r="AM424" i="12"/>
  <c r="AM423" i="12"/>
  <c r="AM422" i="12"/>
  <c r="AM421" i="12"/>
  <c r="AM420" i="12"/>
  <c r="AM419" i="12"/>
  <c r="AM418" i="12"/>
  <c r="AM417" i="12"/>
  <c r="AM416" i="12"/>
  <c r="AM415" i="12"/>
  <c r="AM414" i="12"/>
  <c r="AM413" i="12"/>
  <c r="AM412" i="12"/>
  <c r="AM411" i="12"/>
  <c r="AM410" i="12"/>
  <c r="AM409" i="12"/>
  <c r="AM408" i="12"/>
  <c r="AM407" i="12"/>
  <c r="AM406" i="12"/>
  <c r="AM405" i="12"/>
  <c r="AM404" i="12"/>
  <c r="AM403" i="12"/>
  <c r="AM402" i="12"/>
  <c r="AM401" i="12"/>
  <c r="AM400" i="12"/>
  <c r="AM399" i="12"/>
  <c r="AM398" i="12"/>
  <c r="AM397" i="12"/>
  <c r="AM396" i="12"/>
  <c r="AM395" i="12"/>
  <c r="AM394" i="12"/>
  <c r="AM393" i="12"/>
  <c r="AM392" i="12"/>
  <c r="AM391" i="12"/>
  <c r="AM390" i="12"/>
  <c r="AM389" i="12"/>
  <c r="AM388" i="12"/>
  <c r="AM387" i="12"/>
  <c r="AM386" i="12"/>
  <c r="AM385" i="12"/>
  <c r="AM384" i="12"/>
  <c r="AM383" i="12"/>
  <c r="AM382" i="12"/>
  <c r="AM381" i="12"/>
  <c r="AM380" i="12"/>
  <c r="AM379" i="12"/>
  <c r="AM378" i="12"/>
  <c r="AM377" i="12"/>
  <c r="AM376" i="12"/>
  <c r="AM375" i="12"/>
  <c r="AM374" i="12"/>
  <c r="AM373" i="12"/>
  <c r="AM372" i="12"/>
  <c r="AM371" i="12"/>
  <c r="AM370" i="12"/>
  <c r="AM369" i="12"/>
  <c r="AM368" i="12"/>
  <c r="AM367" i="12"/>
  <c r="AM366" i="12"/>
  <c r="AM365" i="12"/>
  <c r="AM364" i="12"/>
  <c r="AM363" i="12"/>
  <c r="AM362" i="12"/>
  <c r="AM361" i="12"/>
  <c r="AM360" i="12"/>
  <c r="AM359" i="12"/>
  <c r="AM358" i="12"/>
  <c r="AM357" i="12"/>
  <c r="AM356" i="12"/>
  <c r="AM355" i="12"/>
  <c r="AM354" i="12"/>
  <c r="AM353" i="12"/>
  <c r="AM352" i="12"/>
  <c r="AM351" i="12"/>
  <c r="AM350" i="12"/>
  <c r="AM349" i="12"/>
  <c r="AM348" i="12"/>
  <c r="AM347" i="12"/>
  <c r="AM346" i="12"/>
  <c r="AM345" i="12"/>
  <c r="AM344" i="12"/>
  <c r="AM343" i="12"/>
  <c r="AM342" i="12"/>
  <c r="AM341" i="12"/>
  <c r="AM340" i="12"/>
  <c r="AM339" i="12"/>
  <c r="AM338" i="12"/>
  <c r="AM337" i="12"/>
  <c r="AM336" i="12"/>
  <c r="AM335" i="12"/>
  <c r="AM334" i="12"/>
  <c r="AM333" i="12"/>
  <c r="AM332" i="12"/>
  <c r="AM331" i="12"/>
  <c r="AM330" i="12"/>
  <c r="AM329" i="12"/>
  <c r="AM328" i="12"/>
  <c r="AM327" i="12"/>
  <c r="AM326" i="12"/>
  <c r="AM325" i="12"/>
  <c r="AM324" i="12"/>
  <c r="AM323" i="12"/>
  <c r="AM322" i="12"/>
  <c r="AM321" i="12"/>
  <c r="AM320" i="12"/>
  <c r="AM319" i="12"/>
  <c r="AM318" i="12"/>
  <c r="AM317" i="12"/>
  <c r="AM316" i="12"/>
  <c r="AM315" i="12"/>
  <c r="AM314" i="12"/>
  <c r="AM313" i="12"/>
  <c r="AM312" i="12"/>
  <c r="AM311" i="12"/>
  <c r="AM310" i="12"/>
  <c r="AM309" i="12"/>
  <c r="AM308" i="12"/>
  <c r="AM307" i="12"/>
  <c r="AM306" i="12"/>
  <c r="AM305" i="12"/>
  <c r="AM304" i="12"/>
  <c r="AM303" i="12"/>
  <c r="AM302" i="12"/>
  <c r="AM301" i="12"/>
  <c r="AM300" i="12"/>
  <c r="AM299" i="12"/>
  <c r="AM298" i="12"/>
  <c r="AM297" i="12"/>
  <c r="AM296" i="12"/>
  <c r="AM295" i="12"/>
  <c r="AM294" i="12"/>
  <c r="AM293" i="12"/>
  <c r="AM292" i="12"/>
  <c r="AM291" i="12"/>
  <c r="AM290" i="12"/>
  <c r="AM289" i="12"/>
  <c r="AM288" i="12"/>
  <c r="AM287" i="12"/>
  <c r="AM286" i="12"/>
  <c r="AM285" i="12"/>
  <c r="AM284" i="12"/>
  <c r="AM283" i="12"/>
  <c r="AM282" i="12"/>
  <c r="AM281" i="12"/>
  <c r="AM280" i="12"/>
  <c r="AM279" i="12"/>
  <c r="AM278" i="12"/>
  <c r="AM277" i="12"/>
  <c r="AM276" i="12"/>
  <c r="AM275" i="12"/>
  <c r="AM274" i="12"/>
  <c r="AM273" i="12"/>
  <c r="AM272" i="12"/>
  <c r="AM271" i="12"/>
  <c r="AM270" i="12"/>
  <c r="AM269" i="12"/>
  <c r="AM268" i="12"/>
  <c r="AM267" i="12"/>
  <c r="AM266" i="12"/>
  <c r="AM265" i="12"/>
  <c r="AM264" i="12"/>
  <c r="AM263" i="12"/>
  <c r="AM262" i="12"/>
  <c r="AM261" i="12"/>
  <c r="AM260" i="12"/>
  <c r="AM259" i="12"/>
  <c r="AM258" i="12"/>
  <c r="AM257" i="12"/>
  <c r="AM256" i="12"/>
  <c r="AM255" i="12"/>
  <c r="AM254" i="12"/>
  <c r="AM253" i="12"/>
  <c r="AM252" i="12"/>
  <c r="AM251" i="12"/>
  <c r="AM250" i="12"/>
  <c r="AM249" i="12"/>
  <c r="AM248" i="12"/>
  <c r="AM247" i="12"/>
  <c r="AM246" i="12"/>
  <c r="AM245" i="12"/>
  <c r="AM244" i="12"/>
  <c r="AM243" i="12"/>
  <c r="AM242" i="12"/>
  <c r="AM241" i="12"/>
  <c r="AM240" i="12"/>
  <c r="AM239" i="12"/>
  <c r="AM238" i="12"/>
  <c r="AM237" i="12"/>
  <c r="AM236" i="12"/>
  <c r="AM235" i="12"/>
  <c r="AM234" i="12"/>
  <c r="AM233" i="12"/>
  <c r="AM232" i="12"/>
  <c r="AM231" i="12"/>
  <c r="AM230" i="12"/>
  <c r="AM229" i="12"/>
  <c r="AM228" i="12"/>
  <c r="AM227" i="12"/>
  <c r="AM226" i="12"/>
  <c r="AM225" i="12"/>
  <c r="AM224" i="12"/>
  <c r="AM223" i="12"/>
  <c r="AM222" i="12"/>
  <c r="AM221" i="12"/>
  <c r="AM220" i="12"/>
  <c r="AM219" i="12"/>
  <c r="AM218" i="12"/>
  <c r="AM217" i="12"/>
  <c r="AM216" i="12"/>
  <c r="AM215" i="12"/>
  <c r="AM214" i="12"/>
  <c r="AM213" i="12"/>
  <c r="AM212" i="12"/>
  <c r="AM211" i="12"/>
  <c r="AM210" i="12"/>
  <c r="AM209" i="12"/>
  <c r="AM208" i="12"/>
  <c r="AM207" i="12"/>
  <c r="AM206" i="12"/>
  <c r="AM205" i="12"/>
  <c r="AM204" i="12"/>
  <c r="AM203" i="12"/>
  <c r="AM202" i="12"/>
  <c r="AM201" i="12"/>
  <c r="AM200" i="12"/>
  <c r="AM199" i="12"/>
  <c r="AM198" i="12"/>
  <c r="AM197" i="12"/>
  <c r="AM196" i="12"/>
  <c r="AM195" i="12"/>
  <c r="AM194" i="12"/>
  <c r="AM193" i="12"/>
  <c r="AM192" i="12"/>
  <c r="AM191" i="12"/>
  <c r="AM190" i="12"/>
  <c r="AM189" i="12"/>
  <c r="AM188" i="12"/>
  <c r="AM187" i="12"/>
  <c r="AM186" i="12"/>
  <c r="AM185" i="12"/>
  <c r="AM184" i="12"/>
  <c r="AM183" i="12"/>
  <c r="AM182" i="12"/>
  <c r="AM181" i="12"/>
  <c r="AM180" i="12"/>
  <c r="AM179" i="12"/>
  <c r="AM178" i="12"/>
  <c r="AM177" i="12"/>
  <c r="AM176" i="12"/>
  <c r="AM175" i="12"/>
  <c r="AM174" i="12"/>
  <c r="AM173" i="12"/>
  <c r="AM172" i="12"/>
  <c r="AM171" i="12"/>
  <c r="AM170" i="12"/>
  <c r="AM169" i="12"/>
  <c r="AM168" i="12"/>
  <c r="AM167" i="12"/>
  <c r="AM166" i="12"/>
  <c r="AM165" i="12"/>
  <c r="AM164" i="12"/>
  <c r="AM163" i="12"/>
  <c r="AM162" i="12"/>
  <c r="AM161" i="12"/>
  <c r="AM160" i="12"/>
  <c r="AM159" i="12"/>
  <c r="AM158" i="12"/>
  <c r="AM157" i="12"/>
  <c r="AM156" i="12"/>
  <c r="AM155" i="12"/>
  <c r="AM154" i="12"/>
  <c r="AM153" i="12"/>
  <c r="AM152" i="12"/>
  <c r="AM151" i="12"/>
  <c r="AM150" i="12"/>
  <c r="AM149" i="12"/>
  <c r="AM148" i="12"/>
  <c r="AM147" i="12"/>
  <c r="AM146" i="12"/>
  <c r="AM145" i="12"/>
  <c r="AM144" i="12"/>
  <c r="AM143" i="12"/>
  <c r="AM142" i="12"/>
  <c r="AM141" i="12"/>
  <c r="AM140" i="12"/>
  <c r="AM139" i="12"/>
  <c r="AM138" i="12"/>
  <c r="AM137" i="12"/>
  <c r="AM136" i="12"/>
  <c r="AM135" i="12"/>
  <c r="AM134" i="12"/>
  <c r="AM133" i="12"/>
  <c r="AM132" i="12"/>
  <c r="AM131" i="12"/>
  <c r="AM130" i="12"/>
  <c r="AM129" i="12"/>
  <c r="AM128" i="12"/>
  <c r="AM127" i="12"/>
  <c r="AM126" i="12"/>
  <c r="AM125" i="12"/>
  <c r="AM124" i="12"/>
  <c r="AM123" i="12"/>
  <c r="AM122" i="12"/>
  <c r="AM121" i="12"/>
  <c r="AM120" i="12"/>
  <c r="AM119" i="12"/>
  <c r="AM118" i="12"/>
  <c r="AM117" i="12"/>
  <c r="AM116" i="12"/>
  <c r="AM115" i="12"/>
  <c r="AM114" i="12"/>
  <c r="AM113" i="12"/>
  <c r="AM112" i="12"/>
  <c r="AM111" i="12"/>
  <c r="AM110" i="12"/>
  <c r="AM109" i="12"/>
  <c r="AM108" i="12"/>
  <c r="AM107" i="12"/>
  <c r="AM106" i="12"/>
  <c r="AM105" i="12"/>
  <c r="AM104" i="12"/>
  <c r="AM103" i="12"/>
  <c r="AM102" i="12"/>
  <c r="AM101" i="12"/>
  <c r="AM100" i="12"/>
  <c r="AM99" i="12"/>
  <c r="AM98" i="12"/>
  <c r="AM97" i="12"/>
  <c r="AM96" i="12"/>
  <c r="AM95" i="12"/>
  <c r="AM94" i="12"/>
  <c r="AM93" i="12"/>
  <c r="AM92" i="12"/>
  <c r="AM91" i="12"/>
  <c r="AM90" i="12"/>
  <c r="AM89" i="12"/>
  <c r="AM88" i="12"/>
  <c r="AM87" i="12"/>
  <c r="AM86" i="12"/>
  <c r="AM85" i="12"/>
  <c r="AM84" i="12"/>
  <c r="AM83" i="12"/>
  <c r="AM82" i="12"/>
  <c r="AM81" i="12"/>
  <c r="AM80" i="12"/>
  <c r="AM79" i="12"/>
  <c r="AM78" i="12"/>
  <c r="AM77" i="12"/>
  <c r="AM76" i="12"/>
  <c r="AM75" i="12"/>
  <c r="AM74" i="12"/>
  <c r="AM73" i="12"/>
  <c r="AM72" i="12"/>
  <c r="AM71" i="12"/>
  <c r="AM70" i="12"/>
  <c r="AM69" i="12"/>
  <c r="AM68" i="12"/>
  <c r="AM67" i="12"/>
  <c r="AM66" i="12"/>
  <c r="AM65" i="12"/>
  <c r="AM64" i="12"/>
  <c r="AM63" i="12"/>
  <c r="AM62" i="12"/>
  <c r="AM61" i="12"/>
  <c r="AM60" i="12"/>
  <c r="AM59" i="12"/>
  <c r="AM58" i="12"/>
  <c r="AM57" i="12"/>
  <c r="AM56" i="12"/>
  <c r="AM55" i="12"/>
  <c r="AM54" i="12"/>
  <c r="AM53" i="12"/>
  <c r="AM52" i="12"/>
  <c r="AM36" i="12"/>
  <c r="AM35" i="12"/>
  <c r="AM34" i="12"/>
  <c r="AM33" i="12"/>
  <c r="AM32" i="12"/>
  <c r="AM31" i="12"/>
  <c r="AM30" i="12"/>
  <c r="AM29" i="12"/>
  <c r="AM28" i="12"/>
  <c r="AM27" i="12"/>
  <c r="AM26" i="12"/>
  <c r="AM25" i="12"/>
  <c r="AM24" i="12"/>
  <c r="AM23" i="12"/>
  <c r="AM22" i="12"/>
  <c r="AM21" i="12"/>
  <c r="AM20" i="12"/>
  <c r="AM19" i="12"/>
  <c r="AM18" i="12"/>
  <c r="AM17" i="12"/>
  <c r="AM16" i="12"/>
  <c r="AM15" i="12"/>
  <c r="AM14" i="12"/>
  <c r="AM13" i="12"/>
  <c r="AM12" i="12"/>
  <c r="AK4" i="12"/>
  <c r="AI4" i="12"/>
  <c r="AH4" i="12"/>
  <c r="AG4" i="12"/>
  <c r="AF4" i="12"/>
  <c r="AE4" i="12"/>
  <c r="AD4" i="12"/>
  <c r="AC4" i="12"/>
  <c r="Y4" i="12"/>
  <c r="X4" i="12"/>
  <c r="W4" i="12"/>
  <c r="V4" i="12"/>
  <c r="T4" i="12"/>
  <c r="R4" i="12"/>
  <c r="Q4" i="12"/>
  <c r="L4" i="12"/>
  <c r="AL4" i="12"/>
  <c r="AJ4" i="12"/>
  <c r="AB4" i="12"/>
  <c r="AA4" i="12"/>
  <c r="Z4" i="12"/>
  <c r="U4" i="12"/>
  <c r="S4" i="12"/>
  <c r="P4" i="12"/>
  <c r="O4" i="12"/>
  <c r="N4" i="12"/>
  <c r="M4" i="12"/>
  <c r="K4" i="12"/>
  <c r="J4" i="12"/>
  <c r="AL3" i="12"/>
  <c r="AL7" i="12" s="1"/>
  <c r="AK3" i="12"/>
  <c r="AK7" i="12" s="1"/>
  <c r="AJ3" i="12"/>
  <c r="AJ7" i="12" s="1"/>
  <c r="AI3" i="12"/>
  <c r="AH3" i="12"/>
  <c r="AG3" i="12"/>
  <c r="AF3" i="12"/>
  <c r="AE3" i="12"/>
  <c r="AE7" i="12" s="1"/>
  <c r="AD3" i="12"/>
  <c r="AD7" i="12" s="1"/>
  <c r="AC3" i="12"/>
  <c r="AC7" i="12" s="1"/>
  <c r="AB3" i="12"/>
  <c r="AB7" i="12" s="1"/>
  <c r="AA3" i="12"/>
  <c r="AA7" i="12" s="1"/>
  <c r="Z3" i="12"/>
  <c r="Z7" i="12" s="1"/>
  <c r="Y3" i="12"/>
  <c r="X3" i="12"/>
  <c r="X7" i="12" s="1"/>
  <c r="W3" i="12"/>
  <c r="W7" i="12" s="1"/>
  <c r="V3" i="12"/>
  <c r="V7" i="12" s="1"/>
  <c r="U3" i="12"/>
  <c r="U7" i="12" s="1"/>
  <c r="T3" i="12"/>
  <c r="T7" i="12" s="1"/>
  <c r="S3" i="12"/>
  <c r="S7" i="12" s="1"/>
  <c r="R3" i="12"/>
  <c r="R7" i="12" s="1"/>
  <c r="Q3" i="12"/>
  <c r="Q7" i="12" s="1"/>
  <c r="P3" i="12"/>
  <c r="P7" i="12" s="1"/>
  <c r="O3" i="12"/>
  <c r="O7" i="12" s="1"/>
  <c r="N3" i="12"/>
  <c r="N7" i="12" s="1"/>
  <c r="M3" i="12"/>
  <c r="M7" i="12" s="1"/>
  <c r="L3" i="12"/>
  <c r="L7" i="12" s="1"/>
  <c r="K3" i="12"/>
  <c r="K7" i="12" s="1"/>
  <c r="J3" i="12"/>
  <c r="J7" i="12" s="1"/>
  <c r="I3" i="12"/>
  <c r="I7" i="12" s="1"/>
  <c r="AI7" i="12" l="1"/>
  <c r="AI2" i="12"/>
  <c r="S13" i="14"/>
  <c r="N8" i="14"/>
  <c r="AK13" i="14"/>
  <c r="O13" i="14"/>
  <c r="T8" i="14"/>
  <c r="U8" i="14"/>
  <c r="K13" i="14"/>
  <c r="C36" i="7"/>
  <c r="Q13" i="14"/>
  <c r="J13" i="14"/>
  <c r="V8" i="14"/>
  <c r="AC13" i="14"/>
  <c r="R13" i="14"/>
  <c r="P13" i="14"/>
  <c r="L13" i="14"/>
  <c r="M8" i="14"/>
  <c r="Z8" i="14"/>
  <c r="W13" i="14"/>
  <c r="AD8" i="14"/>
  <c r="AE8" i="14"/>
  <c r="AF8" i="14"/>
  <c r="X13" i="14"/>
  <c r="Y13" i="14"/>
  <c r="AA8" i="14"/>
  <c r="AI13" i="14"/>
  <c r="AH13" i="14"/>
  <c r="AJ8" i="14"/>
  <c r="AG13" i="14"/>
  <c r="AB13" i="14"/>
  <c r="I8" i="14"/>
  <c r="I13" i="14"/>
  <c r="J2" i="12"/>
  <c r="J8" i="12" s="1"/>
  <c r="J6" i="12" s="1"/>
  <c r="AB2" i="12"/>
  <c r="AB8" i="12" s="1"/>
  <c r="AB6" i="12" s="1"/>
  <c r="AI8" i="12"/>
  <c r="AI6" i="12" s="1"/>
  <c r="AK2" i="12"/>
  <c r="AK8" i="12" s="1"/>
  <c r="AK6" i="12" s="1"/>
  <c r="AA2" i="12"/>
  <c r="AA8" i="12" s="1"/>
  <c r="AA6" i="12" s="1"/>
  <c r="AL2" i="12"/>
  <c r="AL8" i="12" s="1"/>
  <c r="AL6" i="12" s="1"/>
  <c r="I2" i="12"/>
  <c r="I8" i="12" s="1"/>
  <c r="I6" i="12" s="1"/>
  <c r="S2" i="12"/>
  <c r="S8" i="12" s="1"/>
  <c r="S6" i="12" s="1"/>
  <c r="Y2" i="12"/>
  <c r="Y8" i="12" s="1"/>
  <c r="AF2" i="12"/>
  <c r="AF8" i="12" s="1"/>
  <c r="Y7" i="12"/>
  <c r="M2" i="12"/>
  <c r="M8" i="12" s="1"/>
  <c r="M6" i="12" s="1"/>
  <c r="N2" i="12"/>
  <c r="N8" i="12" s="1"/>
  <c r="N6" i="12" s="1"/>
  <c r="Z2" i="12"/>
  <c r="Z8" i="12" s="1"/>
  <c r="Z6" i="12" s="1"/>
  <c r="V2" i="12"/>
  <c r="V8" i="12" s="1"/>
  <c r="V6" i="12" s="1"/>
  <c r="AJ2" i="12"/>
  <c r="AJ8" i="12" s="1"/>
  <c r="AJ6" i="12" s="1"/>
  <c r="X2" i="12"/>
  <c r="X8" i="12" s="1"/>
  <c r="X6" i="12" s="1"/>
  <c r="K2" i="12"/>
  <c r="K8" i="12" s="1"/>
  <c r="K6" i="12" s="1"/>
  <c r="AC2" i="12"/>
  <c r="AC8" i="12" s="1"/>
  <c r="AC6" i="12" s="1"/>
  <c r="U2" i="12"/>
  <c r="U8" i="12" s="1"/>
  <c r="U6" i="12" s="1"/>
  <c r="O2" i="12"/>
  <c r="O8" i="12" s="1"/>
  <c r="O6" i="12" s="1"/>
  <c r="AD2" i="12"/>
  <c r="AD8" i="12" s="1"/>
  <c r="AD6" i="12" s="1"/>
  <c r="AE2" i="12"/>
  <c r="AE8" i="12" s="1"/>
  <c r="AE6" i="12" s="1"/>
  <c r="W2" i="12"/>
  <c r="W8" i="12" s="1"/>
  <c r="W6" i="12" s="1"/>
  <c r="AG2" i="12"/>
  <c r="AG8" i="12" s="1"/>
  <c r="L2" i="12"/>
  <c r="L8" i="12" s="1"/>
  <c r="L6" i="12" s="1"/>
  <c r="AH2" i="12"/>
  <c r="AH8" i="12" s="1"/>
  <c r="AF7" i="12"/>
  <c r="AG7" i="12"/>
  <c r="P2" i="12"/>
  <c r="P8" i="12" s="1"/>
  <c r="P6" i="12" s="1"/>
  <c r="AH7" i="12"/>
  <c r="Q2" i="12"/>
  <c r="Q8" i="12" s="1"/>
  <c r="Q6" i="12" s="1"/>
  <c r="R2" i="12"/>
  <c r="R8" i="12" s="1"/>
  <c r="R6" i="12" s="1"/>
  <c r="T2" i="12"/>
  <c r="T8" i="12" s="1"/>
  <c r="T6" i="12" s="1"/>
  <c r="F13" i="14" l="1"/>
  <c r="AM13" i="14"/>
  <c r="AF6" i="12"/>
  <c r="Y6" i="12"/>
  <c r="AH6" i="12"/>
  <c r="AG6" i="12"/>
  <c r="E8" i="12"/>
  <c r="E7" i="12"/>
  <c r="G9" i="9" l="1"/>
  <c r="E6" i="12"/>
  <c r="AM10" i="12" s="1"/>
  <c r="H9" i="9"/>
  <c r="AM456" i="5" l="1"/>
  <c r="AM457" i="5"/>
  <c r="AM458" i="5"/>
  <c r="AM459" i="5"/>
  <c r="AM460" i="5"/>
  <c r="AM461" i="5"/>
  <c r="AM352" i="6"/>
  <c r="AM353" i="6"/>
  <c r="AM354" i="6"/>
  <c r="AJ12" i="6" l="1"/>
  <c r="C366" i="6" l="1"/>
  <c r="AI7" i="5" l="1"/>
  <c r="AH7" i="5" l="1"/>
  <c r="AG12" i="6" l="1"/>
  <c r="AG7" i="5" l="1"/>
  <c r="X12" i="6" l="1"/>
  <c r="W12" i="6"/>
  <c r="V12" i="6"/>
  <c r="S12" i="6"/>
  <c r="R12" i="6"/>
  <c r="Q12" i="6"/>
  <c r="P12" i="6"/>
  <c r="O12" i="6"/>
  <c r="L12" i="6"/>
  <c r="X11" i="6"/>
  <c r="W11" i="6"/>
  <c r="V11" i="6"/>
  <c r="U11" i="6"/>
  <c r="T11" i="6"/>
  <c r="S11" i="6"/>
  <c r="R11" i="6"/>
  <c r="Q11" i="6"/>
  <c r="P11" i="6"/>
  <c r="O11" i="6"/>
  <c r="N11" i="6"/>
  <c r="M11" i="6"/>
  <c r="L11" i="6"/>
  <c r="K11" i="6"/>
  <c r="J11" i="6"/>
  <c r="I11" i="6"/>
  <c r="X10" i="6"/>
  <c r="W10" i="6"/>
  <c r="V10" i="6"/>
  <c r="U10" i="6"/>
  <c r="T10" i="6"/>
  <c r="S10" i="6"/>
  <c r="R10" i="6"/>
  <c r="Q10" i="6"/>
  <c r="P10" i="6"/>
  <c r="O10" i="6"/>
  <c r="N10" i="6"/>
  <c r="M10" i="6"/>
  <c r="L10" i="6"/>
  <c r="K10" i="6"/>
  <c r="J10" i="6"/>
  <c r="I10" i="6"/>
  <c r="AF12" i="6"/>
  <c r="X9" i="6" l="1"/>
  <c r="X13" i="6" s="1"/>
  <c r="W9" i="6"/>
  <c r="W13" i="6" s="1"/>
  <c r="V9" i="6"/>
  <c r="V13" i="6" s="1"/>
  <c r="J9" i="6"/>
  <c r="J13" i="6" s="1"/>
  <c r="I9" i="6"/>
  <c r="I13" i="6" s="1"/>
  <c r="K9" i="6"/>
  <c r="K13" i="6" s="1"/>
  <c r="L9" i="6"/>
  <c r="L13" i="6" s="1"/>
  <c r="M9" i="6"/>
  <c r="M13" i="6" s="1"/>
  <c r="N9" i="6"/>
  <c r="N13" i="6" s="1"/>
  <c r="Q9" i="6"/>
  <c r="Q13" i="6" s="1"/>
  <c r="S9" i="6"/>
  <c r="S13" i="6" s="1"/>
  <c r="T9" i="6"/>
  <c r="T13" i="6" s="1"/>
  <c r="O9" i="6"/>
  <c r="O13" i="6" s="1"/>
  <c r="P9" i="6"/>
  <c r="P13" i="6" s="1"/>
  <c r="R9" i="6"/>
  <c r="R13" i="6" s="1"/>
  <c r="U9" i="6"/>
  <c r="U13" i="6" s="1"/>
  <c r="H39" i="9"/>
  <c r="H40" i="9" s="1"/>
  <c r="G39" i="9"/>
  <c r="G40" i="9" s="1"/>
  <c r="F11" i="9"/>
  <c r="F14" i="9"/>
  <c r="AF7" i="5"/>
  <c r="AF6" i="5" s="1"/>
  <c r="AE12" i="6" l="1"/>
  <c r="AE7" i="5" l="1"/>
  <c r="AD12" i="6" l="1"/>
  <c r="AM324" i="6" l="1"/>
  <c r="AM325" i="6"/>
  <c r="AM326" i="6"/>
  <c r="AM327" i="6"/>
  <c r="AM328" i="6"/>
  <c r="AM329" i="6"/>
  <c r="AM330" i="6"/>
  <c r="AM331" i="6"/>
  <c r="AM332" i="6"/>
  <c r="AM333" i="6"/>
  <c r="AM334" i="6"/>
  <c r="AM335" i="6"/>
  <c r="AM336" i="6"/>
  <c r="AM337" i="6"/>
  <c r="AM338" i="6"/>
  <c r="AM339" i="6"/>
  <c r="AM340" i="6"/>
  <c r="AM341" i="6"/>
  <c r="AM342" i="6"/>
  <c r="AM343" i="6"/>
  <c r="AM344" i="6"/>
  <c r="AM345" i="6"/>
  <c r="AM346" i="6"/>
  <c r="AM347" i="6"/>
  <c r="AM348" i="6"/>
  <c r="AM349" i="6"/>
  <c r="AM350" i="6"/>
  <c r="AM351" i="6"/>
  <c r="AM17" i="6"/>
  <c r="AM18" i="6"/>
  <c r="AM19" i="6"/>
  <c r="AM20" i="6"/>
  <c r="AM21" i="6"/>
  <c r="AM22" i="6"/>
  <c r="AM23" i="6"/>
  <c r="AM24" i="6"/>
  <c r="AM25" i="6"/>
  <c r="AM26" i="6"/>
  <c r="AM27" i="6"/>
  <c r="AM28" i="6"/>
  <c r="AM29" i="6"/>
  <c r="AM30" i="6"/>
  <c r="AM31" i="6"/>
  <c r="AM32" i="6"/>
  <c r="AM33" i="6"/>
  <c r="AM34" i="6"/>
  <c r="AM35" i="6"/>
  <c r="AM36" i="6"/>
  <c r="AM37" i="6"/>
  <c r="AM38" i="6"/>
  <c r="AM39" i="6"/>
  <c r="AM40" i="6"/>
  <c r="AM41" i="6"/>
  <c r="AM42" i="6"/>
  <c r="AM43" i="6"/>
  <c r="AM44" i="6"/>
  <c r="AM45" i="6"/>
  <c r="AM46" i="6"/>
  <c r="AM47" i="6"/>
  <c r="AM48" i="6"/>
  <c r="AM49" i="6"/>
  <c r="AM50" i="6"/>
  <c r="AM51" i="6"/>
  <c r="AM52" i="6"/>
  <c r="AM53" i="6"/>
  <c r="AM54" i="6"/>
  <c r="AM55" i="6"/>
  <c r="AM56" i="6"/>
  <c r="AM57" i="6"/>
  <c r="AM58" i="6"/>
  <c r="AM59" i="6"/>
  <c r="AM60" i="6"/>
  <c r="AM61" i="6"/>
  <c r="AM62" i="6"/>
  <c r="AM63" i="6"/>
  <c r="AM64" i="6"/>
  <c r="AM65" i="6"/>
  <c r="AM66" i="6"/>
  <c r="AM67" i="6"/>
  <c r="AM68" i="6"/>
  <c r="AM69" i="6"/>
  <c r="AM70" i="6"/>
  <c r="AM71" i="6"/>
  <c r="AM72" i="6"/>
  <c r="AM73" i="6"/>
  <c r="AM74" i="6"/>
  <c r="AM75" i="6"/>
  <c r="AM76" i="6"/>
  <c r="AM77" i="6"/>
  <c r="AM78" i="6"/>
  <c r="AM79" i="6"/>
  <c r="AM80" i="6"/>
  <c r="AM81" i="6"/>
  <c r="AM82" i="6"/>
  <c r="AM83" i="6"/>
  <c r="AM84" i="6"/>
  <c r="AM85" i="6"/>
  <c r="AM86" i="6"/>
  <c r="AM87" i="6"/>
  <c r="AM88" i="6"/>
  <c r="AM89" i="6"/>
  <c r="AM90" i="6"/>
  <c r="AM91" i="6"/>
  <c r="AM92" i="6"/>
  <c r="AM93" i="6"/>
  <c r="AM94" i="6"/>
  <c r="AM95" i="6"/>
  <c r="AM96" i="6"/>
  <c r="AM97" i="6"/>
  <c r="AM98" i="6"/>
  <c r="AM99" i="6"/>
  <c r="AM100" i="6"/>
  <c r="AM101" i="6"/>
  <c r="AM102" i="6"/>
  <c r="AM103" i="6"/>
  <c r="AM104" i="6"/>
  <c r="AM105" i="6"/>
  <c r="AM106" i="6"/>
  <c r="AM107" i="6"/>
  <c r="AM108" i="6"/>
  <c r="AM109" i="6"/>
  <c r="AM110" i="6"/>
  <c r="AM111" i="6"/>
  <c r="AM112" i="6"/>
  <c r="AM113" i="6"/>
  <c r="AM114" i="6"/>
  <c r="AM115" i="6"/>
  <c r="AM116" i="6"/>
  <c r="AM117" i="6"/>
  <c r="AM118" i="6"/>
  <c r="AM119" i="6"/>
  <c r="AM120" i="6"/>
  <c r="AM121" i="6"/>
  <c r="AM122" i="6"/>
  <c r="AM123" i="6"/>
  <c r="AM124" i="6"/>
  <c r="AM125" i="6"/>
  <c r="AM126" i="6"/>
  <c r="AM127" i="6"/>
  <c r="AM128" i="6"/>
  <c r="AM129" i="6"/>
  <c r="AM130" i="6"/>
  <c r="AM131" i="6"/>
  <c r="AM132" i="6"/>
  <c r="AM133" i="6"/>
  <c r="AM134" i="6"/>
  <c r="AM135" i="6"/>
  <c r="AM136" i="6"/>
  <c r="AM137" i="6"/>
  <c r="AM138" i="6"/>
  <c r="AM139" i="6"/>
  <c r="AM140" i="6"/>
  <c r="AM141" i="6"/>
  <c r="AM142" i="6"/>
  <c r="AM143" i="6"/>
  <c r="AM144" i="6"/>
  <c r="AM145" i="6"/>
  <c r="AM146" i="6"/>
  <c r="AM147" i="6"/>
  <c r="AM148" i="6"/>
  <c r="AM149" i="6"/>
  <c r="AM150" i="6"/>
  <c r="AM151" i="6"/>
  <c r="AM152" i="6"/>
  <c r="AM153" i="6"/>
  <c r="AM154" i="6"/>
  <c r="AM155" i="6"/>
  <c r="AM156" i="6"/>
  <c r="AM157" i="6"/>
  <c r="AM158" i="6"/>
  <c r="AM159" i="6"/>
  <c r="AM160" i="6"/>
  <c r="AM161" i="6"/>
  <c r="AM162" i="6"/>
  <c r="AM163" i="6"/>
  <c r="AM164" i="6"/>
  <c r="AM165" i="6"/>
  <c r="AM166" i="6"/>
  <c r="AM167" i="6"/>
  <c r="AM168" i="6"/>
  <c r="AM169" i="6"/>
  <c r="AM170" i="6"/>
  <c r="AM171" i="6"/>
  <c r="AM172" i="6"/>
  <c r="AM173" i="6"/>
  <c r="AM174" i="6"/>
  <c r="AM175" i="6"/>
  <c r="AM176" i="6"/>
  <c r="AM177" i="6"/>
  <c r="AM178" i="6"/>
  <c r="AM179" i="6"/>
  <c r="AM180" i="6"/>
  <c r="AM181" i="6"/>
  <c r="AM182" i="6"/>
  <c r="AM183" i="6"/>
  <c r="AM184" i="6"/>
  <c r="AM185" i="6"/>
  <c r="AM186" i="6"/>
  <c r="AM187" i="6"/>
  <c r="AM188" i="6"/>
  <c r="AM189" i="6"/>
  <c r="AM190" i="6"/>
  <c r="AM191" i="6"/>
  <c r="AM192" i="6"/>
  <c r="AM193" i="6"/>
  <c r="AM194" i="6"/>
  <c r="AM195" i="6"/>
  <c r="AM196" i="6"/>
  <c r="AM197" i="6"/>
  <c r="AM198" i="6"/>
  <c r="AM199" i="6"/>
  <c r="AM200" i="6"/>
  <c r="AM201" i="6"/>
  <c r="AM202" i="6"/>
  <c r="AM203" i="6"/>
  <c r="AM204" i="6"/>
  <c r="AM205" i="6"/>
  <c r="AM206" i="6"/>
  <c r="AM207" i="6"/>
  <c r="AM208" i="6"/>
  <c r="AM209" i="6"/>
  <c r="AM210" i="6"/>
  <c r="AM211" i="6"/>
  <c r="AM212" i="6"/>
  <c r="AM213" i="6"/>
  <c r="AM214" i="6"/>
  <c r="AM215" i="6"/>
  <c r="AM216" i="6"/>
  <c r="AM217" i="6"/>
  <c r="AM218" i="6"/>
  <c r="AM219" i="6"/>
  <c r="AM220" i="6"/>
  <c r="AM221" i="6"/>
  <c r="AM222" i="6"/>
  <c r="AM223" i="6"/>
  <c r="AM224" i="6"/>
  <c r="AM225" i="6"/>
  <c r="AM226" i="6"/>
  <c r="AM227" i="6"/>
  <c r="AM228" i="6"/>
  <c r="AM229" i="6"/>
  <c r="AM230" i="6"/>
  <c r="AM231" i="6"/>
  <c r="AM232" i="6"/>
  <c r="AM233" i="6"/>
  <c r="AM234" i="6"/>
  <c r="AM235" i="6"/>
  <c r="AM236" i="6"/>
  <c r="AM237" i="6"/>
  <c r="AM238" i="6"/>
  <c r="AM239" i="6"/>
  <c r="AM240" i="6"/>
  <c r="AM241" i="6"/>
  <c r="AM242" i="6"/>
  <c r="AM243" i="6"/>
  <c r="AM244" i="6"/>
  <c r="AM245" i="6"/>
  <c r="AM246" i="6"/>
  <c r="AM247" i="6"/>
  <c r="AM248" i="6"/>
  <c r="AM249" i="6"/>
  <c r="AM250" i="6"/>
  <c r="AM251" i="6"/>
  <c r="AM252" i="6"/>
  <c r="AM253" i="6"/>
  <c r="AM254" i="6"/>
  <c r="AM255" i="6"/>
  <c r="AM256" i="6"/>
  <c r="AM257" i="6"/>
  <c r="AM258" i="6"/>
  <c r="AM259" i="6"/>
  <c r="AM260" i="6"/>
  <c r="AM261" i="6"/>
  <c r="AM262" i="6"/>
  <c r="AM263" i="6"/>
  <c r="AM264" i="6"/>
  <c r="AM265" i="6"/>
  <c r="AM266" i="6"/>
  <c r="AM267" i="6"/>
  <c r="AM268" i="6"/>
  <c r="AM269" i="6"/>
  <c r="AM270" i="6"/>
  <c r="AM271" i="6"/>
  <c r="AM272" i="6"/>
  <c r="AM273" i="6"/>
  <c r="AM274" i="6"/>
  <c r="AM275" i="6"/>
  <c r="AM276" i="6"/>
  <c r="AM277" i="6"/>
  <c r="AM278" i="6"/>
  <c r="AM279" i="6"/>
  <c r="AM280" i="6"/>
  <c r="AM281" i="6"/>
  <c r="AM282" i="6"/>
  <c r="AM283" i="6"/>
  <c r="AM284" i="6"/>
  <c r="AM285" i="6"/>
  <c r="AM286" i="6"/>
  <c r="AM287" i="6"/>
  <c r="AM288" i="6"/>
  <c r="AM289" i="6"/>
  <c r="AM290" i="6"/>
  <c r="AM291" i="6"/>
  <c r="AM292" i="6"/>
  <c r="AM293" i="6"/>
  <c r="AM294" i="6"/>
  <c r="AM295" i="6"/>
  <c r="AM296" i="6"/>
  <c r="AM297" i="6"/>
  <c r="AM298" i="6"/>
  <c r="AM299" i="6"/>
  <c r="AM300" i="6"/>
  <c r="AM301" i="6"/>
  <c r="AM302" i="6"/>
  <c r="AM303" i="6"/>
  <c r="AM304" i="6"/>
  <c r="AM305" i="6"/>
  <c r="AM306" i="6"/>
  <c r="AM307" i="6"/>
  <c r="AM308" i="6"/>
  <c r="AM309" i="6"/>
  <c r="AM310" i="6"/>
  <c r="AM311" i="6"/>
  <c r="AM312" i="6"/>
  <c r="AM313" i="6"/>
  <c r="AM314" i="6"/>
  <c r="AM315" i="6"/>
  <c r="AM316" i="6"/>
  <c r="AM317" i="6"/>
  <c r="AM318" i="6"/>
  <c r="AM319" i="6"/>
  <c r="AM320" i="6"/>
  <c r="AM321" i="6"/>
  <c r="AM322" i="6"/>
  <c r="AM323" i="6"/>
  <c r="AM15" i="5"/>
  <c r="AM16" i="5"/>
  <c r="AM17" i="5"/>
  <c r="AM18" i="5"/>
  <c r="AM19" i="5"/>
  <c r="AM20" i="5"/>
  <c r="AM21" i="5"/>
  <c r="AM22" i="5"/>
  <c r="AM23" i="5"/>
  <c r="AM24" i="5"/>
  <c r="AM25" i="5"/>
  <c r="AM26" i="5"/>
  <c r="AM27" i="5"/>
  <c r="AM28" i="5"/>
  <c r="AM29" i="5"/>
  <c r="AM30" i="5"/>
  <c r="AM31" i="5"/>
  <c r="AM32" i="5"/>
  <c r="AM33" i="5"/>
  <c r="AM34" i="5"/>
  <c r="AM35" i="5"/>
  <c r="AM36" i="5"/>
  <c r="AM37" i="5"/>
  <c r="AM38" i="5"/>
  <c r="AM39" i="5"/>
  <c r="AM40" i="5"/>
  <c r="AM41" i="5"/>
  <c r="AM42" i="5"/>
  <c r="AM43" i="5"/>
  <c r="AM44" i="5"/>
  <c r="AM45" i="5"/>
  <c r="AM46" i="5"/>
  <c r="AM47" i="5"/>
  <c r="AM48" i="5"/>
  <c r="AM49" i="5"/>
  <c r="AM50" i="5"/>
  <c r="AM51" i="5"/>
  <c r="AM52" i="5"/>
  <c r="AM53" i="5"/>
  <c r="AM54" i="5"/>
  <c r="AM55" i="5"/>
  <c r="AM56" i="5"/>
  <c r="AM57" i="5"/>
  <c r="AM58" i="5"/>
  <c r="AM59" i="5"/>
  <c r="AM60" i="5"/>
  <c r="AM61" i="5"/>
  <c r="AM62" i="5"/>
  <c r="AM63" i="5"/>
  <c r="AM64" i="5"/>
  <c r="AM65" i="5"/>
  <c r="AM66" i="5"/>
  <c r="AM67" i="5"/>
  <c r="AM68" i="5"/>
  <c r="AM69" i="5"/>
  <c r="AM70" i="5"/>
  <c r="AM71" i="5"/>
  <c r="AM72" i="5"/>
  <c r="AM73" i="5"/>
  <c r="AM74" i="5"/>
  <c r="AM75" i="5"/>
  <c r="AM76" i="5"/>
  <c r="AM77" i="5"/>
  <c r="AM78" i="5"/>
  <c r="AM79" i="5"/>
  <c r="AM80" i="5"/>
  <c r="AM81" i="5"/>
  <c r="AM82" i="5"/>
  <c r="AM83" i="5"/>
  <c r="AM84" i="5"/>
  <c r="AM85" i="5"/>
  <c r="AM86" i="5"/>
  <c r="AM87" i="5"/>
  <c r="AM88" i="5"/>
  <c r="AM89" i="5"/>
  <c r="AM90" i="5"/>
  <c r="AM91" i="5"/>
  <c r="AM92" i="5"/>
  <c r="AM93" i="5"/>
  <c r="AM94" i="5"/>
  <c r="AM95" i="5"/>
  <c r="AM96" i="5"/>
  <c r="AM97" i="5"/>
  <c r="AM98" i="5"/>
  <c r="AM99" i="5"/>
  <c r="AM100" i="5"/>
  <c r="AM101" i="5"/>
  <c r="AM102" i="5"/>
  <c r="AM103" i="5"/>
  <c r="AM104" i="5"/>
  <c r="AM105" i="5"/>
  <c r="AM106" i="5"/>
  <c r="AM107" i="5"/>
  <c r="AM108" i="5"/>
  <c r="AM109" i="5"/>
  <c r="AM110" i="5"/>
  <c r="AM111" i="5"/>
  <c r="AM112" i="5"/>
  <c r="AM113" i="5"/>
  <c r="AM114" i="5"/>
  <c r="AM115" i="5"/>
  <c r="AM116" i="5"/>
  <c r="AM117" i="5"/>
  <c r="AM118" i="5"/>
  <c r="AM119" i="5"/>
  <c r="AM120" i="5"/>
  <c r="AM121" i="5"/>
  <c r="AM122" i="5"/>
  <c r="AM123" i="5"/>
  <c r="AM124" i="5"/>
  <c r="AM125" i="5"/>
  <c r="AM126" i="5"/>
  <c r="AM127" i="5"/>
  <c r="AM128" i="5"/>
  <c r="AM129" i="5"/>
  <c r="AM130" i="5"/>
  <c r="AM131" i="5"/>
  <c r="AM132" i="5"/>
  <c r="AM133" i="5"/>
  <c r="AM134" i="5"/>
  <c r="AM135" i="5"/>
  <c r="AM136" i="5"/>
  <c r="AM137" i="5"/>
  <c r="AM138" i="5"/>
  <c r="AM139" i="5"/>
  <c r="AM140" i="5"/>
  <c r="AM141" i="5"/>
  <c r="AM142" i="5"/>
  <c r="AM143" i="5"/>
  <c r="AM144" i="5"/>
  <c r="AM145" i="5"/>
  <c r="AM146" i="5"/>
  <c r="AM147" i="5"/>
  <c r="AM148" i="5"/>
  <c r="AM149" i="5"/>
  <c r="AM150" i="5"/>
  <c r="AM151" i="5"/>
  <c r="AM152" i="5"/>
  <c r="AM153" i="5"/>
  <c r="AM154" i="5"/>
  <c r="AM155" i="5"/>
  <c r="AM156" i="5"/>
  <c r="AM157" i="5"/>
  <c r="AM158" i="5"/>
  <c r="AM159" i="5"/>
  <c r="AM160" i="5"/>
  <c r="AM161" i="5"/>
  <c r="AM162" i="5"/>
  <c r="AM163" i="5"/>
  <c r="AM164" i="5"/>
  <c r="AM165" i="5"/>
  <c r="AM166" i="5"/>
  <c r="AM167" i="5"/>
  <c r="AM168" i="5"/>
  <c r="AM169" i="5"/>
  <c r="AM170" i="5"/>
  <c r="AM171" i="5"/>
  <c r="AM172" i="5"/>
  <c r="AM173" i="5"/>
  <c r="AM174" i="5"/>
  <c r="AM175" i="5"/>
  <c r="AM176" i="5"/>
  <c r="AM177" i="5"/>
  <c r="AM178" i="5"/>
  <c r="AM179" i="5"/>
  <c r="AM180" i="5"/>
  <c r="AM181" i="5"/>
  <c r="AM182" i="5"/>
  <c r="AM183" i="5"/>
  <c r="AM184" i="5"/>
  <c r="AM185" i="5"/>
  <c r="AM186" i="5"/>
  <c r="AM187" i="5"/>
  <c r="AM188" i="5"/>
  <c r="AM189" i="5"/>
  <c r="AM190" i="5"/>
  <c r="AM191" i="5"/>
  <c r="AM192" i="5"/>
  <c r="AM193" i="5"/>
  <c r="AM194" i="5"/>
  <c r="AM195" i="5"/>
  <c r="AM196" i="5"/>
  <c r="AM197" i="5"/>
  <c r="AM198" i="5"/>
  <c r="AM199" i="5"/>
  <c r="AM200" i="5"/>
  <c r="AM201" i="5"/>
  <c r="AM202" i="5"/>
  <c r="AM203" i="5"/>
  <c r="AM204" i="5"/>
  <c r="AM205" i="5"/>
  <c r="AM206" i="5"/>
  <c r="AM207" i="5"/>
  <c r="AM208" i="5"/>
  <c r="AM209" i="5"/>
  <c r="AM210" i="5"/>
  <c r="AM211" i="5"/>
  <c r="AM212" i="5"/>
  <c r="AM213" i="5"/>
  <c r="AM214" i="5"/>
  <c r="AM215" i="5"/>
  <c r="AM216" i="5"/>
  <c r="AM217" i="5"/>
  <c r="AM218" i="5"/>
  <c r="AM219" i="5"/>
  <c r="AM220" i="5"/>
  <c r="AM221" i="5"/>
  <c r="AM222" i="5"/>
  <c r="AM223" i="5"/>
  <c r="AM224" i="5"/>
  <c r="AM225" i="5"/>
  <c r="AM226" i="5"/>
  <c r="AM227" i="5"/>
  <c r="AM228" i="5"/>
  <c r="AM229" i="5"/>
  <c r="AM230" i="5"/>
  <c r="AM231" i="5"/>
  <c r="AM232" i="5"/>
  <c r="AM233" i="5"/>
  <c r="AM234" i="5"/>
  <c r="AM235" i="5"/>
  <c r="AM236" i="5"/>
  <c r="AM237" i="5"/>
  <c r="AM238" i="5"/>
  <c r="AM239" i="5"/>
  <c r="AM240" i="5"/>
  <c r="AM241" i="5"/>
  <c r="AM242" i="5"/>
  <c r="AM243" i="5"/>
  <c r="AM244" i="5"/>
  <c r="AM245" i="5"/>
  <c r="AM246" i="5"/>
  <c r="AM247" i="5"/>
  <c r="AM248" i="5"/>
  <c r="AM249" i="5"/>
  <c r="AM250" i="5"/>
  <c r="AM251" i="5"/>
  <c r="AM252" i="5"/>
  <c r="AM253" i="5"/>
  <c r="AM254" i="5"/>
  <c r="AM255" i="5"/>
  <c r="AM256" i="5"/>
  <c r="AM257" i="5"/>
  <c r="AM258" i="5"/>
  <c r="AM259" i="5"/>
  <c r="AM260" i="5"/>
  <c r="AM261" i="5"/>
  <c r="AM262" i="5"/>
  <c r="AM263" i="5"/>
  <c r="AM264" i="5"/>
  <c r="AM265" i="5"/>
  <c r="AM266" i="5"/>
  <c r="AM267" i="5"/>
  <c r="AM268" i="5"/>
  <c r="AM269" i="5"/>
  <c r="AM270" i="5"/>
  <c r="AM271" i="5"/>
  <c r="AM272" i="5"/>
  <c r="AM273" i="5"/>
  <c r="AM274" i="5"/>
  <c r="AM275" i="5"/>
  <c r="AM276" i="5"/>
  <c r="AM277" i="5"/>
  <c r="AM278" i="5"/>
  <c r="AM279" i="5"/>
  <c r="AM280" i="5"/>
  <c r="AM281" i="5"/>
  <c r="AM282" i="5"/>
  <c r="AM283" i="5"/>
  <c r="AM284" i="5"/>
  <c r="AM285" i="5"/>
  <c r="AM286" i="5"/>
  <c r="AM287" i="5"/>
  <c r="AM288" i="5"/>
  <c r="AM289" i="5"/>
  <c r="AM290" i="5"/>
  <c r="AM291" i="5"/>
  <c r="AM292" i="5"/>
  <c r="AM293" i="5"/>
  <c r="AM294" i="5"/>
  <c r="AM295" i="5"/>
  <c r="AM296" i="5"/>
  <c r="AM297" i="5"/>
  <c r="AM298" i="5"/>
  <c r="AM299" i="5"/>
  <c r="AM300" i="5"/>
  <c r="AM301" i="5"/>
  <c r="AM302" i="5"/>
  <c r="AM303" i="5"/>
  <c r="AM304" i="5"/>
  <c r="AM305" i="5"/>
  <c r="AM306" i="5"/>
  <c r="AM307" i="5"/>
  <c r="AM308" i="5"/>
  <c r="AM309" i="5"/>
  <c r="AM310" i="5"/>
  <c r="AM311" i="5"/>
  <c r="AM312" i="5"/>
  <c r="AM313" i="5"/>
  <c r="AM314" i="5"/>
  <c r="AM315" i="5"/>
  <c r="AM316" i="5"/>
  <c r="AM317" i="5"/>
  <c r="AM318" i="5"/>
  <c r="AM319" i="5"/>
  <c r="AM320" i="5"/>
  <c r="AM321" i="5"/>
  <c r="AM322" i="5"/>
  <c r="AM323" i="5"/>
  <c r="AM324" i="5"/>
  <c r="AM325" i="5"/>
  <c r="AM326" i="5"/>
  <c r="AM327" i="5"/>
  <c r="AM328" i="5"/>
  <c r="AM329" i="5"/>
  <c r="AM330" i="5"/>
  <c r="AM331" i="5"/>
  <c r="AM332" i="5"/>
  <c r="AM333" i="5"/>
  <c r="AM334" i="5"/>
  <c r="AM335" i="5"/>
  <c r="AM336" i="5"/>
  <c r="AM337" i="5"/>
  <c r="AM338" i="5"/>
  <c r="AM339" i="5"/>
  <c r="AM340" i="5"/>
  <c r="AM341" i="5"/>
  <c r="AM342" i="5"/>
  <c r="AM343" i="5"/>
  <c r="AM344" i="5"/>
  <c r="AM345" i="5"/>
  <c r="AM346" i="5"/>
  <c r="AM347" i="5"/>
  <c r="AM348" i="5"/>
  <c r="AM349" i="5"/>
  <c r="AM350" i="5"/>
  <c r="AM351" i="5"/>
  <c r="AM352" i="5"/>
  <c r="AM353" i="5"/>
  <c r="AM354" i="5"/>
  <c r="AM355" i="5"/>
  <c r="AM356" i="5"/>
  <c r="AM357" i="5"/>
  <c r="AM358" i="5"/>
  <c r="AM359" i="5"/>
  <c r="AM360" i="5"/>
  <c r="AM361" i="5"/>
  <c r="AM362" i="5"/>
  <c r="AM363" i="5"/>
  <c r="AM364" i="5"/>
  <c r="AM365" i="5"/>
  <c r="AM366" i="5"/>
  <c r="AM367" i="5"/>
  <c r="AM368" i="5"/>
  <c r="AM369" i="5"/>
  <c r="AM370" i="5"/>
  <c r="AM371" i="5"/>
  <c r="AM372" i="5"/>
  <c r="AM373" i="5"/>
  <c r="AM374" i="5"/>
  <c r="AM375" i="5"/>
  <c r="AM376" i="5"/>
  <c r="AM377" i="5"/>
  <c r="AM378" i="5"/>
  <c r="AM379" i="5"/>
  <c r="AM380" i="5"/>
  <c r="AM381" i="5"/>
  <c r="AM382" i="5"/>
  <c r="AM383" i="5"/>
  <c r="AM384" i="5"/>
  <c r="AM385" i="5"/>
  <c r="AM386" i="5"/>
  <c r="AM387" i="5"/>
  <c r="AM388" i="5"/>
  <c r="AM389" i="5"/>
  <c r="AM390" i="5"/>
  <c r="AM391" i="5"/>
  <c r="AM392" i="5"/>
  <c r="AM393" i="5"/>
  <c r="AM394" i="5"/>
  <c r="AM395" i="5"/>
  <c r="AM396" i="5"/>
  <c r="AM397" i="5"/>
  <c r="AM398" i="5"/>
  <c r="AM399" i="5"/>
  <c r="AM400" i="5"/>
  <c r="AM401" i="5"/>
  <c r="AM402" i="5"/>
  <c r="AM403" i="5"/>
  <c r="AM404" i="5"/>
  <c r="AM405" i="5"/>
  <c r="AM406" i="5"/>
  <c r="AM407" i="5"/>
  <c r="AM408" i="5"/>
  <c r="AM409" i="5"/>
  <c r="AM410" i="5"/>
  <c r="AM411" i="5"/>
  <c r="AM412" i="5"/>
  <c r="AM413" i="5"/>
  <c r="AM414" i="5"/>
  <c r="AM415" i="5"/>
  <c r="AM416" i="5"/>
  <c r="AM417" i="5"/>
  <c r="AM418" i="5"/>
  <c r="AM419" i="5"/>
  <c r="AM420" i="5"/>
  <c r="AM421" i="5"/>
  <c r="AM422" i="5"/>
  <c r="AM423" i="5"/>
  <c r="AM424" i="5"/>
  <c r="AM425" i="5"/>
  <c r="AM426" i="5"/>
  <c r="AM427" i="5"/>
  <c r="AM428" i="5"/>
  <c r="AM429" i="5"/>
  <c r="AM430" i="5"/>
  <c r="AM431" i="5"/>
  <c r="AM432" i="5"/>
  <c r="AM433" i="5"/>
  <c r="AM434" i="5"/>
  <c r="AM435" i="5"/>
  <c r="AM436" i="5"/>
  <c r="AM437" i="5"/>
  <c r="AM438" i="5"/>
  <c r="AM439" i="5"/>
  <c r="AM440" i="5"/>
  <c r="AM441" i="5"/>
  <c r="AM442" i="5"/>
  <c r="AM443" i="5"/>
  <c r="AM444" i="5"/>
  <c r="AM445" i="5"/>
  <c r="AM446" i="5"/>
  <c r="AM447" i="5"/>
  <c r="AM448" i="5"/>
  <c r="AM449" i="5"/>
  <c r="AM450" i="5"/>
  <c r="AM451" i="5"/>
  <c r="AM452" i="5"/>
  <c r="AM453" i="5"/>
  <c r="AM454" i="5"/>
  <c r="AM455" i="5"/>
  <c r="AM14" i="5"/>
  <c r="AD7" i="5" l="1"/>
  <c r="AC12" i="6" l="1"/>
  <c r="AC7" i="5" l="1"/>
  <c r="AB7" i="5" l="1"/>
  <c r="AB6" i="5" s="1"/>
  <c r="AA7" i="5" l="1"/>
  <c r="Z7" i="5" l="1"/>
  <c r="Y12" i="6" l="1"/>
  <c r="Y7" i="5"/>
  <c r="D10" i="10" l="1"/>
  <c r="E10" i="10" s="1"/>
  <c r="D4" i="10"/>
  <c r="E4" i="10" s="1"/>
  <c r="D9" i="10"/>
  <c r="E9" i="10" s="1"/>
  <c r="D8" i="10"/>
  <c r="E8" i="10" s="1"/>
  <c r="D5" i="10"/>
  <c r="E5" i="10" s="1"/>
  <c r="X7" i="5" l="1"/>
  <c r="W7" i="5" l="1"/>
  <c r="C449" i="5"/>
  <c r="C450" i="5"/>
  <c r="C451" i="5"/>
  <c r="C448" i="5"/>
  <c r="V7" i="5" l="1"/>
  <c r="D11" i="10" l="1"/>
  <c r="E11" i="10" s="1"/>
  <c r="D7" i="10"/>
  <c r="E7" i="10" s="1"/>
  <c r="D6" i="10"/>
  <c r="E6" i="10" s="1"/>
  <c r="D3" i="10"/>
  <c r="E3" i="10" s="1"/>
  <c r="T7" i="5"/>
  <c r="E13" i="10" l="1"/>
  <c r="S7" i="5"/>
  <c r="Y10" i="6" l="1"/>
  <c r="Z10" i="6"/>
  <c r="AA10" i="6"/>
  <c r="AB10" i="6"/>
  <c r="AC10" i="6"/>
  <c r="AD10" i="6"/>
  <c r="AE10" i="6"/>
  <c r="AF10" i="6"/>
  <c r="AG10" i="6"/>
  <c r="AH10" i="6"/>
  <c r="AI10" i="6"/>
  <c r="AJ10" i="6"/>
  <c r="AK10" i="6"/>
  <c r="AL10" i="6"/>
  <c r="E35" i="7" s="1"/>
  <c r="AM357" i="6"/>
  <c r="AM358" i="6"/>
  <c r="AM359" i="6"/>
  <c r="AM360" i="6"/>
  <c r="AM361" i="6"/>
  <c r="AM362" i="6"/>
  <c r="AM363" i="6"/>
  <c r="AM364" i="6"/>
  <c r="AM365" i="6"/>
  <c r="AM366" i="6"/>
  <c r="AM367" i="6"/>
  <c r="AM368" i="6"/>
  <c r="AM369" i="6"/>
  <c r="AM370" i="6"/>
  <c r="AM371" i="6"/>
  <c r="AM372" i="6"/>
  <c r="AM373" i="6"/>
  <c r="AM374" i="6"/>
  <c r="AM375" i="6"/>
  <c r="AM376" i="6"/>
  <c r="AM377" i="6"/>
  <c r="AM378" i="6"/>
  <c r="AM379" i="6"/>
  <c r="AM380" i="6"/>
  <c r="AM381" i="6"/>
  <c r="AM382" i="6"/>
  <c r="AM383" i="6"/>
  <c r="AM384" i="6"/>
  <c r="AM385" i="6"/>
  <c r="AM386" i="6"/>
  <c r="AM387" i="6"/>
  <c r="AM388" i="6"/>
  <c r="AM389" i="6"/>
  <c r="AM390" i="6"/>
  <c r="AM391" i="6"/>
  <c r="AM392" i="6"/>
  <c r="AM393" i="6"/>
  <c r="AM394" i="6"/>
  <c r="AM395" i="6"/>
  <c r="AM396" i="6"/>
  <c r="AM397" i="6"/>
  <c r="AM398" i="6"/>
  <c r="AM399" i="6"/>
  <c r="AM400" i="6"/>
  <c r="AM401" i="6"/>
  <c r="AM402" i="6"/>
  <c r="AM403" i="6"/>
  <c r="AM404" i="6"/>
  <c r="AM405" i="6"/>
  <c r="AM406" i="6"/>
  <c r="AM407" i="6"/>
  <c r="AM408" i="6"/>
  <c r="AM409" i="6"/>
  <c r="AM410" i="6"/>
  <c r="AM411" i="6"/>
  <c r="AM412" i="6"/>
  <c r="AM413" i="6"/>
  <c r="AM414" i="6"/>
  <c r="AM415" i="6"/>
  <c r="AM416" i="6"/>
  <c r="AM417" i="6"/>
  <c r="AM418" i="6"/>
  <c r="AM419" i="6"/>
  <c r="AM420" i="6"/>
  <c r="AM421" i="6"/>
  <c r="AM422" i="6"/>
  <c r="AM423" i="6"/>
  <c r="AM424" i="6"/>
  <c r="AM425" i="6"/>
  <c r="AM426" i="6"/>
  <c r="AM16" i="6"/>
  <c r="AM427" i="6"/>
  <c r="AM468" i="5"/>
  <c r="AM469" i="5"/>
  <c r="AM470" i="5"/>
  <c r="AM471" i="5"/>
  <c r="AM472" i="5"/>
  <c r="AM473" i="5"/>
  <c r="AM474" i="5"/>
  <c r="AM475" i="5"/>
  <c r="AM476" i="5"/>
  <c r="AM477" i="5"/>
  <c r="AM478" i="5"/>
  <c r="AM479" i="5"/>
  <c r="AM480" i="5"/>
  <c r="AM481" i="5"/>
  <c r="AM482" i="5"/>
  <c r="AM483" i="5"/>
  <c r="AM484" i="5"/>
  <c r="AM485" i="5"/>
  <c r="AM486" i="5"/>
  <c r="AM487" i="5"/>
  <c r="AM488" i="5"/>
  <c r="AM489" i="5"/>
  <c r="AM490" i="5"/>
  <c r="AM491" i="5"/>
  <c r="AM492" i="5"/>
  <c r="AM493" i="5"/>
  <c r="AM494" i="5"/>
  <c r="AM495" i="5"/>
  <c r="AM496" i="5"/>
  <c r="AM497" i="5"/>
  <c r="AM498" i="5"/>
  <c r="AM499" i="5"/>
  <c r="AM500" i="5"/>
  <c r="AM501" i="5"/>
  <c r="AM502" i="5"/>
  <c r="AM503" i="5"/>
  <c r="AM504" i="5"/>
  <c r="AM505" i="5"/>
  <c r="AM506" i="5"/>
  <c r="AM507" i="5"/>
  <c r="AM508" i="5"/>
  <c r="AM509" i="5"/>
  <c r="AM510" i="5"/>
  <c r="AM511" i="5"/>
  <c r="AM512" i="5"/>
  <c r="AM513" i="5"/>
  <c r="AM514" i="5"/>
  <c r="AM515" i="5"/>
  <c r="AM516" i="5"/>
  <c r="AM517" i="5"/>
  <c r="AM518" i="5"/>
  <c r="AM519" i="5"/>
  <c r="AM520" i="5"/>
  <c r="AM521" i="5"/>
  <c r="AM522" i="5"/>
  <c r="AM523" i="5"/>
  <c r="AM524" i="5"/>
  <c r="AM525" i="5"/>
  <c r="AM526" i="5"/>
  <c r="AM527" i="5"/>
  <c r="AM528" i="5"/>
  <c r="AM529" i="5"/>
  <c r="AM530" i="5"/>
  <c r="AM531" i="5"/>
  <c r="AM532" i="5"/>
  <c r="AM533" i="5"/>
  <c r="AM534" i="5"/>
  <c r="AM535" i="5"/>
  <c r="AM536" i="5"/>
  <c r="AM537" i="5"/>
  <c r="AM538" i="5"/>
  <c r="AM539" i="5"/>
  <c r="AM540" i="5"/>
  <c r="AM541" i="5"/>
  <c r="AM542" i="5"/>
  <c r="AM543" i="5"/>
  <c r="AM544" i="5"/>
  <c r="AM545" i="5"/>
  <c r="AM546" i="5"/>
  <c r="AM547" i="5"/>
  <c r="AM548" i="5"/>
  <c r="AM549" i="5"/>
  <c r="AM550" i="5"/>
  <c r="AM551" i="5"/>
  <c r="AM552" i="5"/>
  <c r="AM553" i="5"/>
  <c r="AM554" i="5"/>
  <c r="AM555" i="5"/>
  <c r="AM556" i="5"/>
  <c r="AM557" i="5"/>
  <c r="AM558" i="5"/>
  <c r="AM559" i="5"/>
  <c r="AM560" i="5"/>
  <c r="AM561" i="5"/>
  <c r="AM562" i="5"/>
  <c r="AM563" i="5"/>
  <c r="AM564" i="5"/>
  <c r="AM565" i="5"/>
  <c r="AM566" i="5"/>
  <c r="AM567" i="5"/>
  <c r="AM568" i="5"/>
  <c r="AM569" i="5"/>
  <c r="AM570" i="5"/>
  <c r="AM571" i="5"/>
  <c r="AM572" i="5"/>
  <c r="AM573" i="5"/>
  <c r="AM574" i="5"/>
  <c r="AM575" i="5"/>
  <c r="AM576" i="5"/>
  <c r="AM577" i="5"/>
  <c r="AM578" i="5"/>
  <c r="AM579" i="5"/>
  <c r="AM580" i="5"/>
  <c r="AM581" i="5"/>
  <c r="AM582" i="5"/>
  <c r="AM583" i="5"/>
  <c r="AM584" i="5"/>
  <c r="AM585" i="5"/>
  <c r="AM586" i="5"/>
  <c r="AM587" i="5"/>
  <c r="AM588" i="5"/>
  <c r="AM589" i="5"/>
  <c r="AM590" i="5"/>
  <c r="AM591" i="5"/>
  <c r="AM592" i="5"/>
  <c r="AM593" i="5"/>
  <c r="AM594" i="5"/>
  <c r="AM595" i="5"/>
  <c r="AM596" i="5"/>
  <c r="AM597" i="5"/>
  <c r="AM598" i="5"/>
  <c r="AM599" i="5"/>
  <c r="AM600" i="5"/>
  <c r="AM601" i="5"/>
  <c r="AM602" i="5"/>
  <c r="AM603" i="5"/>
  <c r="AM604" i="5"/>
  <c r="AM605" i="5"/>
  <c r="AM606" i="5"/>
  <c r="AM607" i="5"/>
  <c r="AM608" i="5"/>
  <c r="AM609" i="5"/>
  <c r="AM610" i="5"/>
  <c r="AM611" i="5"/>
  <c r="AM612" i="5"/>
  <c r="AM613" i="5"/>
  <c r="AM614" i="5"/>
  <c r="AM615" i="5"/>
  <c r="AM616" i="5"/>
  <c r="AM617" i="5"/>
  <c r="AM618" i="5"/>
  <c r="AM619" i="5"/>
  <c r="AM620" i="5"/>
  <c r="AM621" i="5"/>
  <c r="AM622" i="5"/>
  <c r="AM623" i="5"/>
  <c r="AM624" i="5"/>
  <c r="AM625" i="5"/>
  <c r="AM626" i="5"/>
  <c r="AM627" i="5"/>
  <c r="AM628" i="5"/>
  <c r="AM629" i="5"/>
  <c r="AM630" i="5"/>
  <c r="AM631" i="5"/>
  <c r="AM632" i="5"/>
  <c r="AM633" i="5"/>
  <c r="AM634" i="5"/>
  <c r="AM635" i="5"/>
  <c r="AM636" i="5"/>
  <c r="R3" i="5"/>
  <c r="F10" i="6" l="1"/>
  <c r="R7" i="5"/>
  <c r="C444" i="5" l="1"/>
  <c r="C445" i="5"/>
  <c r="Q7" i="5" l="1"/>
  <c r="C439" i="5" l="1"/>
  <c r="C440" i="5"/>
  <c r="O7" i="5"/>
  <c r="N3" i="5" l="1"/>
  <c r="N4" i="5"/>
  <c r="M7" i="5"/>
  <c r="Y11" i="6" l="1"/>
  <c r="Z11" i="6"/>
  <c r="AA11" i="6"/>
  <c r="AA9" i="6" s="1"/>
  <c r="AB11" i="6"/>
  <c r="AC11" i="6"/>
  <c r="AC9" i="6" s="1"/>
  <c r="AD11" i="6"/>
  <c r="AE11" i="6"/>
  <c r="F28" i="7" s="1"/>
  <c r="AF11" i="6"/>
  <c r="AG11" i="6"/>
  <c r="AH11" i="6"/>
  <c r="F31" i="7" s="1"/>
  <c r="AI11" i="6"/>
  <c r="F32" i="7" s="1"/>
  <c r="AJ11" i="6"/>
  <c r="F33" i="7" s="1"/>
  <c r="AK11" i="6"/>
  <c r="F34" i="7" s="1"/>
  <c r="AL11" i="6"/>
  <c r="F35" i="7" s="1"/>
  <c r="AL6" i="5"/>
  <c r="AL5" i="5"/>
  <c r="AL4" i="5"/>
  <c r="AL3" i="5"/>
  <c r="AL9" i="5" s="1"/>
  <c r="B35" i="7" s="1"/>
  <c r="L7" i="5"/>
  <c r="B38" i="9" l="1"/>
  <c r="AG9" i="6"/>
  <c r="F30" i="7"/>
  <c r="AF9" i="6"/>
  <c r="F29" i="7"/>
  <c r="AD9" i="6"/>
  <c r="F27" i="7"/>
  <c r="Y9" i="6"/>
  <c r="F11" i="6"/>
  <c r="X8" i="6"/>
  <c r="AL9" i="6"/>
  <c r="AK9" i="6"/>
  <c r="T8" i="6"/>
  <c r="AJ9" i="6"/>
  <c r="AI9" i="6"/>
  <c r="AH9" i="6"/>
  <c r="AE9" i="6"/>
  <c r="AB9" i="6"/>
  <c r="Z9" i="6"/>
  <c r="AL2" i="5"/>
  <c r="AL10" i="5" s="1"/>
  <c r="D35" i="7" s="1"/>
  <c r="J6" i="5"/>
  <c r="K6" i="5"/>
  <c r="L6" i="5"/>
  <c r="M6" i="5"/>
  <c r="N6" i="5"/>
  <c r="O6" i="5"/>
  <c r="P6" i="5"/>
  <c r="Q6" i="5"/>
  <c r="R6" i="5"/>
  <c r="S6" i="5"/>
  <c r="T6" i="5"/>
  <c r="U6" i="5"/>
  <c r="V6" i="5"/>
  <c r="W6" i="5"/>
  <c r="X6" i="5"/>
  <c r="Y6" i="5"/>
  <c r="Z6" i="5"/>
  <c r="AA6" i="5"/>
  <c r="AC6" i="5"/>
  <c r="AD6" i="5"/>
  <c r="AE6" i="5"/>
  <c r="AG6" i="5"/>
  <c r="AH6" i="5"/>
  <c r="AI6" i="5"/>
  <c r="AJ6" i="5"/>
  <c r="AK6" i="5"/>
  <c r="J5" i="5"/>
  <c r="K5" i="5"/>
  <c r="L5" i="5"/>
  <c r="M5" i="5"/>
  <c r="N5" i="5"/>
  <c r="O5" i="5"/>
  <c r="P5" i="5"/>
  <c r="Q5" i="5"/>
  <c r="R5" i="5"/>
  <c r="S5" i="5"/>
  <c r="T5" i="5"/>
  <c r="U5" i="5"/>
  <c r="V5" i="5"/>
  <c r="W5" i="5"/>
  <c r="X5" i="5"/>
  <c r="Y5" i="5"/>
  <c r="Z5" i="5"/>
  <c r="AA5" i="5"/>
  <c r="AB5" i="5"/>
  <c r="AC5" i="5"/>
  <c r="AD5" i="5"/>
  <c r="AE5" i="5"/>
  <c r="AF5" i="5"/>
  <c r="AG5" i="5"/>
  <c r="AH5" i="5"/>
  <c r="AI5" i="5"/>
  <c r="AJ5" i="5"/>
  <c r="AK5" i="5"/>
  <c r="J4" i="5"/>
  <c r="K4" i="5"/>
  <c r="L4" i="5"/>
  <c r="M4" i="5"/>
  <c r="O4" i="5"/>
  <c r="P4" i="5"/>
  <c r="Q4" i="5"/>
  <c r="R4" i="5"/>
  <c r="S4" i="5"/>
  <c r="T4" i="5"/>
  <c r="U4" i="5"/>
  <c r="V4" i="5"/>
  <c r="W4" i="5"/>
  <c r="X4" i="5"/>
  <c r="Y4" i="5"/>
  <c r="Z4" i="5"/>
  <c r="AA4" i="5"/>
  <c r="AB4" i="5"/>
  <c r="AC4" i="5"/>
  <c r="AD4" i="5"/>
  <c r="AE4" i="5"/>
  <c r="AF4" i="5"/>
  <c r="AG4" i="5"/>
  <c r="AH4" i="5"/>
  <c r="AI4" i="5"/>
  <c r="AJ4" i="5"/>
  <c r="AK4" i="5"/>
  <c r="J3" i="5"/>
  <c r="K3" i="5"/>
  <c r="L3" i="5"/>
  <c r="M3" i="5"/>
  <c r="O3" i="5"/>
  <c r="P3" i="5"/>
  <c r="Q3" i="5"/>
  <c r="S3" i="5"/>
  <c r="T3" i="5"/>
  <c r="U3" i="5"/>
  <c r="V3" i="5"/>
  <c r="W3" i="5"/>
  <c r="X3" i="5"/>
  <c r="Y3" i="5"/>
  <c r="Z3" i="5"/>
  <c r="AA3" i="5"/>
  <c r="AB3" i="5"/>
  <c r="AC3" i="5"/>
  <c r="AD3" i="5"/>
  <c r="AE3" i="5"/>
  <c r="AF3" i="5"/>
  <c r="AG3" i="5"/>
  <c r="AH3" i="5"/>
  <c r="AI3" i="5"/>
  <c r="AJ3" i="5"/>
  <c r="AK3" i="5"/>
  <c r="AL13" i="6" l="1"/>
  <c r="AL8" i="6"/>
  <c r="AL8" i="5"/>
  <c r="C38" i="9"/>
  <c r="I5" i="5"/>
  <c r="I4" i="5"/>
  <c r="I3" i="5"/>
  <c r="I7" i="5" l="1"/>
  <c r="I6" i="5" s="1"/>
  <c r="AM784" i="5" l="1"/>
  <c r="D78" i="7"/>
  <c r="D77" i="7"/>
  <c r="D76" i="7"/>
  <c r="D75" i="7"/>
  <c r="D74" i="7"/>
  <c r="D73" i="7"/>
  <c r="D72" i="7"/>
  <c r="D71" i="7"/>
  <c r="D70" i="7"/>
  <c r="D69" i="7"/>
  <c r="D68" i="7"/>
  <c r="D67" i="7"/>
  <c r="D66" i="7"/>
  <c r="D64" i="7"/>
  <c r="D63" i="7"/>
  <c r="D62" i="7"/>
  <c r="D61" i="7"/>
  <c r="D60" i="7"/>
  <c r="D59" i="7"/>
  <c r="D58" i="7"/>
  <c r="D57" i="7"/>
  <c r="D56" i="7"/>
  <c r="D55" i="7"/>
  <c r="D54" i="7"/>
  <c r="D53" i="7"/>
  <c r="D52" i="7"/>
  <c r="D51" i="7"/>
  <c r="D50" i="7"/>
  <c r="D49" i="7"/>
  <c r="AJ13" i="6"/>
  <c r="F26" i="7"/>
  <c r="F25" i="7"/>
  <c r="F23" i="7"/>
  <c r="F22" i="7"/>
  <c r="F21" i="7"/>
  <c r="F20" i="7"/>
  <c r="F19" i="7"/>
  <c r="F18" i="7"/>
  <c r="F17" i="7"/>
  <c r="F16" i="7"/>
  <c r="F15" i="7"/>
  <c r="F14" i="7"/>
  <c r="F13" i="7"/>
  <c r="F12" i="7"/>
  <c r="F11" i="7"/>
  <c r="F6" i="7"/>
  <c r="E34" i="7"/>
  <c r="E33" i="7"/>
  <c r="E32" i="7"/>
  <c r="E31" i="7"/>
  <c r="E30" i="7"/>
  <c r="E29" i="7"/>
  <c r="E28" i="7"/>
  <c r="E27" i="7"/>
  <c r="E26" i="7"/>
  <c r="E24" i="7"/>
  <c r="E22" i="7"/>
  <c r="E21" i="7"/>
  <c r="E20" i="7"/>
  <c r="E19" i="7"/>
  <c r="E18" i="7"/>
  <c r="E17" i="7"/>
  <c r="E16" i="7"/>
  <c r="E10" i="7"/>
  <c r="E9" i="7"/>
  <c r="E8" i="7"/>
  <c r="E7" i="7"/>
  <c r="E6" i="7"/>
  <c r="AJ8" i="6"/>
  <c r="AK4" i="6"/>
  <c r="AJ4" i="6"/>
  <c r="AI4" i="6"/>
  <c r="AH4" i="6"/>
  <c r="AG4" i="6"/>
  <c r="AF4" i="6"/>
  <c r="AE4" i="6"/>
  <c r="AD4" i="6"/>
  <c r="AC4" i="6"/>
  <c r="AB4" i="6"/>
  <c r="AA4" i="6"/>
  <c r="Z4" i="6"/>
  <c r="Y4" i="6"/>
  <c r="X4" i="6"/>
  <c r="W4" i="6"/>
  <c r="V4" i="6"/>
  <c r="U4" i="6"/>
  <c r="T4" i="6"/>
  <c r="S4" i="6"/>
  <c r="R4" i="6"/>
  <c r="Q4" i="6"/>
  <c r="P4" i="6"/>
  <c r="O4" i="6"/>
  <c r="N4" i="6"/>
  <c r="L4" i="6"/>
  <c r="K4" i="6"/>
  <c r="J4" i="6"/>
  <c r="I4" i="6"/>
  <c r="AK3" i="6"/>
  <c r="AJ3" i="6"/>
  <c r="AI3" i="6"/>
  <c r="AH3" i="6"/>
  <c r="AG3" i="6"/>
  <c r="AF3" i="6"/>
  <c r="AE3" i="6"/>
  <c r="AD3" i="6"/>
  <c r="AC3" i="6"/>
  <c r="AB3" i="6"/>
  <c r="AA3" i="6"/>
  <c r="Z3" i="6"/>
  <c r="Y3" i="6"/>
  <c r="X3" i="6"/>
  <c r="W3" i="6"/>
  <c r="V3" i="6"/>
  <c r="U3" i="6"/>
  <c r="T3" i="6"/>
  <c r="S3" i="6"/>
  <c r="R3" i="6"/>
  <c r="Q3" i="6"/>
  <c r="P3" i="6"/>
  <c r="O3" i="6"/>
  <c r="N3" i="6"/>
  <c r="L3" i="6"/>
  <c r="K3" i="6"/>
  <c r="J3" i="6"/>
  <c r="I3" i="6"/>
  <c r="AK9" i="5"/>
  <c r="AH9" i="5"/>
  <c r="AG9" i="5"/>
  <c r="AF9" i="5"/>
  <c r="AE9" i="5"/>
  <c r="AD9" i="5"/>
  <c r="AC9" i="5"/>
  <c r="Z9" i="5"/>
  <c r="Y9" i="5"/>
  <c r="X9" i="5"/>
  <c r="W9" i="5"/>
  <c r="V9" i="5"/>
  <c r="U9" i="5"/>
  <c r="R9" i="5"/>
  <c r="Q9" i="5"/>
  <c r="P9" i="5"/>
  <c r="O9" i="5"/>
  <c r="N9" i="5"/>
  <c r="M9" i="5"/>
  <c r="J9" i="5"/>
  <c r="I9" i="5"/>
  <c r="B30" i="7" l="1"/>
  <c r="B27" i="7"/>
  <c r="B34" i="7"/>
  <c r="B29" i="7"/>
  <c r="B31" i="7"/>
  <c r="B28" i="7"/>
  <c r="F8" i="7"/>
  <c r="F7" i="7"/>
  <c r="O2" i="6"/>
  <c r="AB2" i="6"/>
  <c r="Y2" i="6"/>
  <c r="O8" i="6"/>
  <c r="K2" i="6"/>
  <c r="R8" i="6"/>
  <c r="Z2" i="6"/>
  <c r="AD2" i="6"/>
  <c r="N8" i="6"/>
  <c r="AK2" i="6"/>
  <c r="W2" i="6"/>
  <c r="S2" i="6"/>
  <c r="AG2" i="6"/>
  <c r="T2" i="6"/>
  <c r="P8" i="6"/>
  <c r="Q2" i="6"/>
  <c r="Q8" i="6"/>
  <c r="AE2" i="6"/>
  <c r="AF2" i="6"/>
  <c r="AH2" i="6"/>
  <c r="Z8" i="6"/>
  <c r="AF8" i="6"/>
  <c r="AH8" i="6"/>
  <c r="F39" i="9" s="1"/>
  <c r="F40" i="9" s="1"/>
  <c r="H41" i="9" s="1"/>
  <c r="P2" i="6"/>
  <c r="R2" i="6"/>
  <c r="N2" i="6"/>
  <c r="AC2" i="6"/>
  <c r="AA13" i="6"/>
  <c r="AD13" i="6"/>
  <c r="E23" i="7"/>
  <c r="M8" i="6"/>
  <c r="L2" i="6"/>
  <c r="U2" i="6"/>
  <c r="V2" i="6"/>
  <c r="X2" i="6"/>
  <c r="J2" i="6"/>
  <c r="AA2" i="6"/>
  <c r="AI2" i="6"/>
  <c r="AJ2" i="6"/>
  <c r="Z13" i="6"/>
  <c r="AB8" i="6"/>
  <c r="AB13" i="6"/>
  <c r="F9" i="7"/>
  <c r="F10" i="7"/>
  <c r="F24" i="7"/>
  <c r="E11" i="7"/>
  <c r="E25" i="7"/>
  <c r="E12" i="7"/>
  <c r="E13" i="7"/>
  <c r="E14" i="7"/>
  <c r="E15" i="7"/>
  <c r="AC2" i="5"/>
  <c r="AC10" i="5" s="1"/>
  <c r="AF2" i="5"/>
  <c r="AF10" i="5" s="1"/>
  <c r="D29" i="7" s="1"/>
  <c r="M2" i="5"/>
  <c r="M10" i="5" s="1"/>
  <c r="AD2" i="5"/>
  <c r="AD10" i="5" s="1"/>
  <c r="D27" i="7" s="1"/>
  <c r="AK2" i="5"/>
  <c r="AK10" i="5" s="1"/>
  <c r="V2" i="5"/>
  <c r="V10" i="5" s="1"/>
  <c r="AA2" i="5"/>
  <c r="AA10" i="5" s="1"/>
  <c r="X2" i="5"/>
  <c r="X10" i="5" s="1"/>
  <c r="S2" i="5"/>
  <c r="S10" i="5" s="1"/>
  <c r="P2" i="5"/>
  <c r="P10" i="5" s="1"/>
  <c r="K2" i="5"/>
  <c r="K10" i="5" s="1"/>
  <c r="D48" i="7"/>
  <c r="D79" i="7" s="1"/>
  <c r="Q2" i="5"/>
  <c r="Q10" i="5" s="1"/>
  <c r="AI2" i="5"/>
  <c r="AI10" i="5" s="1"/>
  <c r="D32" i="7" s="1"/>
  <c r="Y2" i="5"/>
  <c r="Y10" i="5" s="1"/>
  <c r="L2" i="5"/>
  <c r="L10" i="5" s="1"/>
  <c r="T2" i="5"/>
  <c r="T10" i="5" s="1"/>
  <c r="AB2" i="5"/>
  <c r="AB10" i="5" s="1"/>
  <c r="AJ2" i="5"/>
  <c r="AJ10" i="5" s="1"/>
  <c r="D33" i="7" s="1"/>
  <c r="O2" i="5"/>
  <c r="O10" i="5" s="1"/>
  <c r="W2" i="5"/>
  <c r="W10" i="5" s="1"/>
  <c r="AE2" i="5"/>
  <c r="AE10" i="5" s="1"/>
  <c r="D28" i="7" s="1"/>
  <c r="Z2" i="5"/>
  <c r="Z10" i="5" s="1"/>
  <c r="AH2" i="5"/>
  <c r="AH10" i="5" s="1"/>
  <c r="D31" i="7" s="1"/>
  <c r="U2" i="5"/>
  <c r="U10" i="5" s="1"/>
  <c r="I2" i="5"/>
  <c r="I10" i="5" s="1"/>
  <c r="N2" i="5"/>
  <c r="N10" i="5" s="1"/>
  <c r="AG2" i="5"/>
  <c r="AG10" i="5" s="1"/>
  <c r="D30" i="7" s="1"/>
  <c r="B6" i="7"/>
  <c r="B7" i="7"/>
  <c r="B23" i="7"/>
  <c r="B10" i="7"/>
  <c r="B18" i="7"/>
  <c r="B26" i="7"/>
  <c r="B22" i="7"/>
  <c r="B11" i="7"/>
  <c r="B19" i="7"/>
  <c r="B14" i="7"/>
  <c r="B15" i="7"/>
  <c r="B12" i="7"/>
  <c r="B20" i="7"/>
  <c r="B13" i="7"/>
  <c r="B21" i="7"/>
  <c r="K9" i="5"/>
  <c r="S9" i="5"/>
  <c r="AA9" i="5"/>
  <c r="AI9" i="5"/>
  <c r="L9" i="5"/>
  <c r="T9" i="5"/>
  <c r="AB9" i="5"/>
  <c r="AJ9" i="5"/>
  <c r="J2" i="5"/>
  <c r="J10" i="5" s="1"/>
  <c r="R2" i="5"/>
  <c r="R10" i="5" s="1"/>
  <c r="B24" i="9" l="1"/>
  <c r="B17" i="9"/>
  <c r="B14" i="9"/>
  <c r="B34" i="9"/>
  <c r="B22" i="9"/>
  <c r="B21" i="9"/>
  <c r="B13" i="9"/>
  <c r="B32" i="9"/>
  <c r="B23" i="9"/>
  <c r="B18" i="9"/>
  <c r="B37" i="9"/>
  <c r="B31" i="9"/>
  <c r="B10" i="9"/>
  <c r="B30" i="9"/>
  <c r="B16" i="9"/>
  <c r="B15" i="9"/>
  <c r="B25" i="9"/>
  <c r="B29" i="9"/>
  <c r="B26" i="9"/>
  <c r="B9" i="9"/>
  <c r="B33" i="9"/>
  <c r="H42" i="9"/>
  <c r="H43" i="9" s="1"/>
  <c r="B33" i="7"/>
  <c r="B32" i="7"/>
  <c r="G35" i="7"/>
  <c r="D34" i="7"/>
  <c r="F36" i="7"/>
  <c r="E36" i="7"/>
  <c r="E9" i="5"/>
  <c r="T8" i="5"/>
  <c r="D15" i="7"/>
  <c r="D26" i="7"/>
  <c r="C36" i="9"/>
  <c r="D11" i="7"/>
  <c r="D9" i="7"/>
  <c r="D13" i="7"/>
  <c r="D7" i="7"/>
  <c r="D18" i="7"/>
  <c r="D23" i="7"/>
  <c r="D20" i="7"/>
  <c r="D12" i="7"/>
  <c r="D17" i="7"/>
  <c r="D10" i="7"/>
  <c r="D22" i="7"/>
  <c r="D21" i="7"/>
  <c r="D25" i="7"/>
  <c r="C35" i="9"/>
  <c r="D14" i="7"/>
  <c r="D8" i="7"/>
  <c r="D16" i="7"/>
  <c r="D24" i="7"/>
  <c r="D19" i="7"/>
  <c r="E10" i="5"/>
  <c r="AF13" i="6"/>
  <c r="AH13" i="6"/>
  <c r="AD8" i="6"/>
  <c r="AA8" i="6"/>
  <c r="I8" i="6"/>
  <c r="AK13" i="6"/>
  <c r="AK8" i="6"/>
  <c r="Y8" i="6"/>
  <c r="Y13" i="6"/>
  <c r="U8" i="6"/>
  <c r="L8" i="6"/>
  <c r="S8" i="6"/>
  <c r="V8" i="6"/>
  <c r="W8" i="6"/>
  <c r="J8" i="6"/>
  <c r="AF8" i="5"/>
  <c r="AC8" i="6"/>
  <c r="AC13" i="6"/>
  <c r="K8" i="6"/>
  <c r="AE13" i="6"/>
  <c r="AE8" i="6"/>
  <c r="AI8" i="6"/>
  <c r="AI13" i="6"/>
  <c r="AG8" i="6"/>
  <c r="AG13" i="6"/>
  <c r="AC8" i="5"/>
  <c r="M8" i="5"/>
  <c r="V8" i="5"/>
  <c r="AK8" i="5"/>
  <c r="AD8" i="5"/>
  <c r="O8" i="5"/>
  <c r="Y8" i="5"/>
  <c r="AH8" i="5"/>
  <c r="U8" i="5"/>
  <c r="AE8" i="5"/>
  <c r="Z8" i="5"/>
  <c r="X8" i="5"/>
  <c r="W8" i="5"/>
  <c r="Q8" i="5"/>
  <c r="P8" i="5"/>
  <c r="I8" i="5"/>
  <c r="AG8" i="5"/>
  <c r="D6" i="7"/>
  <c r="N8" i="5"/>
  <c r="J8" i="5"/>
  <c r="B16" i="7"/>
  <c r="S8" i="5"/>
  <c r="B24" i="7"/>
  <c r="AA8" i="5"/>
  <c r="AJ8" i="5"/>
  <c r="B25" i="7"/>
  <c r="AB8" i="5"/>
  <c r="B17" i="7"/>
  <c r="B9" i="7"/>
  <c r="L8" i="5"/>
  <c r="R8" i="5"/>
  <c r="B8" i="7"/>
  <c r="K8" i="5"/>
  <c r="AI8" i="5"/>
  <c r="C12" i="9" l="1"/>
  <c r="B35" i="9"/>
  <c r="B36" i="9"/>
  <c r="B28" i="9"/>
  <c r="D35" i="9"/>
  <c r="B27" i="9"/>
  <c r="C27" i="9"/>
  <c r="B19" i="9"/>
  <c r="C20" i="9"/>
  <c r="B11" i="9"/>
  <c r="C11" i="9"/>
  <c r="C28" i="9"/>
  <c r="D28" i="9" s="1"/>
  <c r="B20" i="9"/>
  <c r="C9" i="9"/>
  <c r="B12" i="9"/>
  <c r="D12" i="9" s="1"/>
  <c r="C19" i="9"/>
  <c r="D36" i="9"/>
  <c r="B36" i="7"/>
  <c r="C41" i="7" s="1"/>
  <c r="D36" i="7"/>
  <c r="C42" i="7" s="1"/>
  <c r="F13" i="6"/>
  <c r="AM13" i="6"/>
  <c r="G14" i="7"/>
  <c r="C17" i="9"/>
  <c r="D17" i="9" s="1"/>
  <c r="G12" i="7"/>
  <c r="C15" i="9"/>
  <c r="D15" i="9" s="1"/>
  <c r="G23" i="7"/>
  <c r="C26" i="9"/>
  <c r="D26" i="9" s="1"/>
  <c r="G18" i="7"/>
  <c r="C21" i="9"/>
  <c r="D21" i="9" s="1"/>
  <c r="G13" i="7"/>
  <c r="C16" i="9"/>
  <c r="D16" i="9" s="1"/>
  <c r="G21" i="7"/>
  <c r="C24" i="9"/>
  <c r="D24" i="9" s="1"/>
  <c r="G34" i="7"/>
  <c r="C37" i="9"/>
  <c r="D37" i="9" s="1"/>
  <c r="G29" i="7"/>
  <c r="C32" i="9"/>
  <c r="D32" i="9" s="1"/>
  <c r="G31" i="7"/>
  <c r="C34" i="9"/>
  <c r="D34" i="9" s="1"/>
  <c r="G30" i="7"/>
  <c r="C33" i="9"/>
  <c r="D33" i="9" s="1"/>
  <c r="G11" i="7"/>
  <c r="C14" i="9"/>
  <c r="D14" i="9" s="1"/>
  <c r="G26" i="7"/>
  <c r="C29" i="9"/>
  <c r="D29" i="9" s="1"/>
  <c r="G15" i="7"/>
  <c r="C18" i="9"/>
  <c r="D18" i="9" s="1"/>
  <c r="G27" i="7"/>
  <c r="C30" i="9"/>
  <c r="D30" i="9" s="1"/>
  <c r="G19" i="7"/>
  <c r="C22" i="9"/>
  <c r="D22" i="9" s="1"/>
  <c r="G22" i="7"/>
  <c r="C25" i="9"/>
  <c r="D25" i="9" s="1"/>
  <c r="G10" i="7"/>
  <c r="C13" i="9"/>
  <c r="D13" i="9" s="1"/>
  <c r="G20" i="7"/>
  <c r="C23" i="9"/>
  <c r="D23" i="9" s="1"/>
  <c r="G7" i="7"/>
  <c r="C10" i="9"/>
  <c r="D10" i="9" s="1"/>
  <c r="G28" i="7"/>
  <c r="C31" i="9"/>
  <c r="D31" i="9" s="1"/>
  <c r="E8" i="5"/>
  <c r="G6" i="7"/>
  <c r="G24" i="7"/>
  <c r="G16" i="7"/>
  <c r="G8" i="7"/>
  <c r="G17" i="7"/>
  <c r="G9" i="7"/>
  <c r="G25" i="7"/>
  <c r="G32" i="7"/>
  <c r="G33" i="7"/>
  <c r="D20" i="9" l="1"/>
  <c r="D27" i="9"/>
  <c r="D19" i="9"/>
  <c r="D11" i="9"/>
  <c r="B39" i="9"/>
  <c r="C45" i="9" s="1"/>
  <c r="D45" i="9" s="1"/>
  <c r="C39" i="9"/>
  <c r="C46" i="9" s="1"/>
  <c r="D46" i="9" s="1"/>
  <c r="D47" i="9" s="1"/>
  <c r="D48" i="9" s="1"/>
  <c r="G36" i="7"/>
  <c r="D9" i="9"/>
  <c r="D42" i="7"/>
  <c r="D38" i="9"/>
  <c r="AM12" i="5"/>
  <c r="D41" i="7"/>
  <c r="D39" i="9" l="1"/>
  <c r="D43" i="7"/>
  <c r="C43" i="7"/>
  <c r="C47" i="9"/>
  <c r="D4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U4" authorId="0" shapeId="0" xr:uid="{00000000-0006-0000-0100-000001000000}">
      <text>
        <r>
          <rPr>
            <b/>
            <sz val="9"/>
            <rFont val="Tahoma"/>
            <family val="2"/>
          </rPr>
          <t>Administrator:</t>
        </r>
        <r>
          <rPr>
            <sz val="9"/>
            <rFont val="Tahoma"/>
            <family val="2"/>
          </rPr>
          <t xml:space="preserve">
trợ lý c Nga 1p</t>
        </r>
      </text>
    </comment>
    <comment ref="V4" authorId="0" shapeId="0" xr:uid="{00000000-0006-0000-0100-000002000000}">
      <text>
        <r>
          <rPr>
            <b/>
            <sz val="9"/>
            <rFont val="Tahoma"/>
            <family val="2"/>
          </rPr>
          <t>Administrator:</t>
        </r>
        <r>
          <rPr>
            <sz val="9"/>
            <rFont val="Tahoma"/>
            <family val="2"/>
          </rPr>
          <t xml:space="preserve">
1p khách, Triết</t>
        </r>
      </text>
    </comment>
    <comment ref="W4" authorId="0" shapeId="0" xr:uid="{00000000-0006-0000-0100-000003000000}">
      <text>
        <r>
          <rPr>
            <b/>
            <sz val="9"/>
            <rFont val="Tahoma"/>
            <family val="2"/>
          </rPr>
          <t>Administrator:</t>
        </r>
        <r>
          <rPr>
            <sz val="9"/>
            <rFont val="Tahoma"/>
            <family val="2"/>
          </rPr>
          <t xml:space="preserve">
1p khách, Triết</t>
        </r>
      </text>
    </comment>
    <comment ref="X4" authorId="0" shapeId="0" xr:uid="{00000000-0006-0000-0100-000004000000}">
      <text>
        <r>
          <rPr>
            <b/>
            <sz val="9"/>
            <rFont val="Tahoma"/>
            <family val="2"/>
          </rPr>
          <t>Administrator:</t>
        </r>
        <r>
          <rPr>
            <sz val="9"/>
            <rFont val="Tahoma"/>
            <family val="2"/>
          </rPr>
          <t xml:space="preserve">
thêm 1p Triết</t>
        </r>
      </text>
    </comment>
    <comment ref="Y4" authorId="0" shapeId="0" xr:uid="{00000000-0006-0000-0100-000005000000}">
      <text>
        <r>
          <rPr>
            <b/>
            <sz val="9"/>
            <rFont val="Tahoma"/>
            <family val="2"/>
          </rPr>
          <t>Administrator:</t>
        </r>
        <r>
          <rPr>
            <sz val="9"/>
            <rFont val="Tahoma"/>
            <family val="2"/>
          </rPr>
          <t xml:space="preserve">
thêm 1p Triết</t>
        </r>
      </text>
    </comment>
    <comment ref="AA4" authorId="0" shapeId="0" xr:uid="{00000000-0006-0000-0100-000006000000}">
      <text>
        <r>
          <rPr>
            <b/>
            <sz val="9"/>
            <rFont val="Tahoma"/>
            <family val="2"/>
          </rPr>
          <t>Administrator:</t>
        </r>
        <r>
          <rPr>
            <sz val="9"/>
            <rFont val="Tahoma"/>
            <family val="2"/>
          </rPr>
          <t xml:space="preserve">
1p khách</t>
        </r>
      </text>
    </comment>
    <comment ref="AB4" authorId="0" shapeId="0" xr:uid="{00000000-0006-0000-0100-000007000000}">
      <text>
        <r>
          <rPr>
            <b/>
            <sz val="9"/>
            <rFont val="Tahoma"/>
            <family val="2"/>
          </rPr>
          <t>Administrator:</t>
        </r>
        <r>
          <rPr>
            <sz val="9"/>
            <rFont val="Tahoma"/>
            <family val="2"/>
          </rPr>
          <t xml:space="preserve">
1p khách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18" authorId="0" shapeId="0" xr:uid="{00000000-0006-0000-0200-000008000000}">
      <text>
        <r>
          <rPr>
            <sz val="9"/>
            <rFont val="Tahoma"/>
            <family val="2"/>
          </rPr>
          <t>Làm bên PTT từ 07/05/2025</t>
        </r>
      </text>
    </comment>
    <comment ref="H119" authorId="0" shapeId="0" xr:uid="{00000000-0006-0000-0200-000009000000}">
      <text>
        <r>
          <rPr>
            <sz val="9"/>
            <rFont val="Tahoma"/>
            <family val="2"/>
          </rPr>
          <t>Làm bên PTT từ 08/05/2025</t>
        </r>
      </text>
    </comment>
    <comment ref="H120" authorId="0" shapeId="0" xr:uid="{00000000-0006-0000-0200-00000F000000}">
      <text>
        <r>
          <rPr>
            <sz val="9"/>
            <rFont val="Tahoma"/>
            <family val="2"/>
          </rPr>
          <t>Làm bên PTT từ 21/05/2025</t>
        </r>
      </text>
    </comment>
    <comment ref="H123" authorId="0" shapeId="0" xr:uid="{00000000-0006-0000-0200-000010000000}">
      <text>
        <r>
          <rPr>
            <b/>
            <sz val="9"/>
            <rFont val="Tahoma"/>
            <family val="2"/>
          </rPr>
          <t>Làm PTT từ 28/5/2025</t>
        </r>
      </text>
    </comment>
    <comment ref="H124" authorId="0" shapeId="0" xr:uid="{00000000-0006-0000-0200-000011000000}">
      <text>
        <r>
          <rPr>
            <b/>
            <sz val="9"/>
            <rFont val="Tahoma"/>
            <family val="2"/>
          </rPr>
          <t>Làm PTT từ 3/6/2025</t>
        </r>
      </text>
    </comment>
    <comment ref="H125" authorId="0" shapeId="0" xr:uid="{00000000-0006-0000-0200-000012000000}">
      <text>
        <r>
          <rPr>
            <b/>
            <sz val="9"/>
            <rFont val="Tahoma"/>
            <family val="2"/>
          </rPr>
          <t>Làm PTT từ 27/5/2025</t>
        </r>
      </text>
    </comment>
    <comment ref="H126" authorId="0" shapeId="0" xr:uid="{00000000-0006-0000-0200-000013000000}">
      <text>
        <r>
          <rPr>
            <b/>
            <sz val="9"/>
            <rFont val="Tahoma"/>
            <family val="2"/>
          </rPr>
          <t>Làm PTT từ 27/5/2025</t>
        </r>
      </text>
    </comment>
    <comment ref="H127" authorId="0" shapeId="0" xr:uid="{00000000-0006-0000-0200-000014000000}">
      <text>
        <r>
          <rPr>
            <b/>
            <sz val="9"/>
            <rFont val="Tahoma"/>
            <family val="2"/>
          </rPr>
          <t>Làm PTT từ 27/5/2025</t>
        </r>
      </text>
    </comment>
    <comment ref="H128" authorId="0" shapeId="0" xr:uid="{00000000-0006-0000-0200-000015000000}">
      <text>
        <r>
          <rPr>
            <b/>
            <sz val="9"/>
            <rFont val="Tahoma"/>
            <family val="2"/>
          </rPr>
          <t>Làm PTT từ 3/6/2025</t>
        </r>
      </text>
    </comment>
    <comment ref="H129" authorId="0" shapeId="0" xr:uid="{00000000-0006-0000-0200-000016000000}">
      <text>
        <r>
          <rPr>
            <b/>
            <sz val="9"/>
            <rFont val="Tahoma"/>
            <family val="2"/>
          </rPr>
          <t>Làm PTT từ 6/6/2025</t>
        </r>
      </text>
    </comment>
    <comment ref="H130" authorId="0" shapeId="0" xr:uid="{00000000-0006-0000-0200-000017000000}">
      <text>
        <r>
          <rPr>
            <b/>
            <sz val="9"/>
            <rFont val="Tahoma"/>
            <family val="2"/>
          </rPr>
          <t>Làm PTT từ 11/6/2025</t>
        </r>
      </text>
    </comment>
    <comment ref="H131" authorId="0" shapeId="0" xr:uid="{00000000-0006-0000-0200-000019000000}">
      <text>
        <r>
          <rPr>
            <b/>
            <sz val="9"/>
            <rFont val="Tahoma"/>
            <family val="2"/>
          </rPr>
          <t>Làm PTT từ 13/6/2025</t>
        </r>
      </text>
    </comment>
    <comment ref="H132" authorId="0" shapeId="0" xr:uid="{00000000-0006-0000-0200-00001A000000}">
      <text>
        <r>
          <rPr>
            <b/>
            <sz val="9"/>
            <rFont val="Tahoma"/>
            <family val="2"/>
          </rPr>
          <t>Làm PTT từ 13/6/2025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19" authorId="0" shapeId="0" xr:uid="{34DB0CB7-FCF6-41CD-AA73-0C5A3923B22B}">
      <text>
        <r>
          <rPr>
            <sz val="9"/>
            <rFont val="Tahoma"/>
            <family val="2"/>
          </rPr>
          <t>Làm bên PTT từ 07/05/2025</t>
        </r>
      </text>
    </comment>
    <comment ref="H120" authorId="0" shapeId="0" xr:uid="{47E20EA1-A3F9-4227-ACF6-A7B97D0B2E0B}">
      <text>
        <r>
          <rPr>
            <sz val="9"/>
            <rFont val="Tahoma"/>
            <family val="2"/>
          </rPr>
          <t>Làm bên PTT từ 08/05/2025</t>
        </r>
      </text>
    </comment>
    <comment ref="H121" authorId="0" shapeId="0" xr:uid="{DD7540C7-ACBD-4140-8E18-E56673D0E34E}">
      <text>
        <r>
          <rPr>
            <sz val="9"/>
            <rFont val="Tahoma"/>
            <family val="2"/>
          </rPr>
          <t>Làm bên PTT từ 21/05/2025</t>
        </r>
      </text>
    </comment>
    <comment ref="H124" authorId="0" shapeId="0" xr:uid="{DAE697A8-1E69-4FF2-9C62-28F52DDD8D7A}">
      <text>
        <r>
          <rPr>
            <b/>
            <sz val="9"/>
            <rFont val="Tahoma"/>
            <family val="2"/>
          </rPr>
          <t>Làm PTT từ 28/5/2025</t>
        </r>
      </text>
    </comment>
    <comment ref="H125" authorId="0" shapeId="0" xr:uid="{7F20ED33-4350-4DA6-BF60-0BCE7642C62B}">
      <text>
        <r>
          <rPr>
            <b/>
            <sz val="9"/>
            <rFont val="Tahoma"/>
            <family val="2"/>
          </rPr>
          <t>Làm PTT từ 3/6/2025</t>
        </r>
      </text>
    </comment>
    <comment ref="H126" authorId="0" shapeId="0" xr:uid="{11DD7DD9-3CC8-4528-B59F-CB944ACA9670}">
      <text>
        <r>
          <rPr>
            <b/>
            <sz val="9"/>
            <rFont val="Tahoma"/>
            <family val="2"/>
          </rPr>
          <t>Làm PTT từ 27/5/2025</t>
        </r>
      </text>
    </comment>
    <comment ref="H127" authorId="0" shapeId="0" xr:uid="{87D44215-1FC6-45BC-90AC-793296035989}">
      <text>
        <r>
          <rPr>
            <b/>
            <sz val="9"/>
            <rFont val="Tahoma"/>
            <family val="2"/>
          </rPr>
          <t>Làm PTT từ 27/5/2025</t>
        </r>
      </text>
    </comment>
    <comment ref="H128" authorId="0" shapeId="0" xr:uid="{18E7890D-C365-4FF3-A82F-64A412D3004C}">
      <text>
        <r>
          <rPr>
            <b/>
            <sz val="9"/>
            <rFont val="Tahoma"/>
            <family val="2"/>
          </rPr>
          <t>Làm PTT từ 27/5/2025</t>
        </r>
      </text>
    </comment>
    <comment ref="H129" authorId="0" shapeId="0" xr:uid="{3D6C985C-4C48-4FB8-BE23-A385A7A6915F}">
      <text>
        <r>
          <rPr>
            <b/>
            <sz val="9"/>
            <rFont val="Tahoma"/>
            <family val="2"/>
          </rPr>
          <t>Làm PTT từ 3/6/2025</t>
        </r>
      </text>
    </comment>
    <comment ref="H130" authorId="0" shapeId="0" xr:uid="{0ACCB10B-6FE5-4A0C-B56E-E9FB1FDD4942}">
      <text>
        <r>
          <rPr>
            <b/>
            <sz val="9"/>
            <rFont val="Tahoma"/>
            <family val="2"/>
          </rPr>
          <t>Làm PTT từ 6/6/2025</t>
        </r>
      </text>
    </comment>
    <comment ref="H131" authorId="0" shapeId="0" xr:uid="{63978FE5-6D7F-4810-83FD-53224157BC61}">
      <text>
        <r>
          <rPr>
            <b/>
            <sz val="9"/>
            <rFont val="Tahoma"/>
            <family val="2"/>
          </rPr>
          <t>Làm PTT từ 11/6/2025</t>
        </r>
      </text>
    </comment>
    <comment ref="H132" authorId="0" shapeId="0" xr:uid="{A38663BD-B693-4D6E-81FF-A31EE176321F}">
      <text>
        <r>
          <rPr>
            <b/>
            <sz val="9"/>
            <rFont val="Tahoma"/>
            <family val="2"/>
          </rPr>
          <t>Làm PTT từ 13/6/2025</t>
        </r>
      </text>
    </comment>
    <comment ref="H133" authorId="0" shapeId="0" xr:uid="{3F62BFAD-8DC4-4A63-AE3D-719F52E109B1}">
      <text>
        <r>
          <rPr>
            <b/>
            <sz val="9"/>
            <rFont val="Tahoma"/>
            <family val="2"/>
          </rPr>
          <t>Làm PTT từ 13/6/2025</t>
        </r>
      </text>
    </comment>
  </commentList>
</comments>
</file>

<file path=xl/sharedStrings.xml><?xml version="1.0" encoding="utf-8"?>
<sst xmlns="http://schemas.openxmlformats.org/spreadsheetml/2006/main" count="20176" uniqueCount="1068">
  <si>
    <t>Row Labels</t>
  </si>
  <si>
    <t>Sum of Total meals per day</t>
  </si>
  <si>
    <t>COO - Assistant</t>
  </si>
  <si>
    <t>COO - Maintenance</t>
  </si>
  <si>
    <t>COO - Exim</t>
  </si>
  <si>
    <t>COO - WWT</t>
  </si>
  <si>
    <t>COO - IT</t>
  </si>
  <si>
    <t>COO Office</t>
  </si>
  <si>
    <t>PMC - Quality</t>
  </si>
  <si>
    <t>COO - Purchasing</t>
  </si>
  <si>
    <t>PMC - WH</t>
  </si>
  <si>
    <t>Pro - Aging</t>
  </si>
  <si>
    <t>COO Assistant</t>
  </si>
  <si>
    <t>Pro - Auto Polishing</t>
  </si>
  <si>
    <t>Pro - CNC</t>
  </si>
  <si>
    <t>Finance - Accounting</t>
  </si>
  <si>
    <t>Pro - Expat</t>
  </si>
  <si>
    <t>HR Admin</t>
  </si>
  <si>
    <t>Pro - Fabrication</t>
  </si>
  <si>
    <t>Pro - Gold Applying</t>
  </si>
  <si>
    <t>PMC - Plan</t>
  </si>
  <si>
    <t>Pro - Packaging</t>
  </si>
  <si>
    <t>Pro - Painting</t>
  </si>
  <si>
    <t>Pro - Polishing</t>
  </si>
  <si>
    <t>PMC Staff</t>
  </si>
  <si>
    <t>Pro - Welding</t>
  </si>
  <si>
    <t>Production</t>
  </si>
  <si>
    <t>SubContractor</t>
  </si>
  <si>
    <t>Pro - Data</t>
  </si>
  <si>
    <t>Pro - Manual Lathe</t>
  </si>
  <si>
    <t>Grand Total</t>
  </si>
  <si>
    <t>Purchase Staff</t>
  </si>
  <si>
    <t>Subcontractor</t>
  </si>
  <si>
    <t>Shift 1 + normal shift</t>
  </si>
  <si>
    <t>Ca sáng</t>
  </si>
  <si>
    <t>DS- CN food</t>
  </si>
  <si>
    <t>Sáng - Trung</t>
  </si>
  <si>
    <t>DS- VN food - Office</t>
  </si>
  <si>
    <t>Sáng - Mặn - VP</t>
  </si>
  <si>
    <t>DS- Vegetarian rice - Office</t>
  </si>
  <si>
    <t>Sáng - Chay - VP</t>
  </si>
  <si>
    <t>DS- VN food</t>
  </si>
  <si>
    <t>Sáng - Mặn - Xưởng</t>
  </si>
  <si>
    <t>DS- Vegetarian rice</t>
  </si>
  <si>
    <t>Sáng - Chay - Xưởng</t>
  </si>
  <si>
    <t>Total Expat Meals</t>
  </si>
  <si>
    <t>Total Vietnamese Meals</t>
  </si>
  <si>
    <t>Status</t>
  </si>
  <si>
    <t>Code</t>
  </si>
  <si>
    <t>Fullname VN</t>
  </si>
  <si>
    <t>Department</t>
  </si>
  <si>
    <t>Section</t>
  </si>
  <si>
    <t>Place</t>
  </si>
  <si>
    <t>Last day</t>
  </si>
  <si>
    <t>Total meals per day</t>
  </si>
  <si>
    <t>Active</t>
  </si>
  <si>
    <t>HOLA001</t>
  </si>
  <si>
    <t>Trần Thị Thúy Phượng</t>
  </si>
  <si>
    <t>Factory</t>
  </si>
  <si>
    <t>HOLA003</t>
  </si>
  <si>
    <t>Trần Thị Lệ Sáng</t>
  </si>
  <si>
    <t>HOLA004</t>
  </si>
  <si>
    <t>Nguyễn Thị Chỉnh</t>
  </si>
  <si>
    <t>Office</t>
  </si>
  <si>
    <t>Chay</t>
  </si>
  <si>
    <t>HOLA005</t>
  </si>
  <si>
    <t>Nguyễn Thị Chín</t>
  </si>
  <si>
    <t>PTT0451</t>
  </si>
  <si>
    <t>Trần Huy Cường</t>
  </si>
  <si>
    <t>Sùng Thị Thúy Loan</t>
  </si>
  <si>
    <t>Lê Thị Trang</t>
  </si>
  <si>
    <t>Huỳnh Bé Gái</t>
  </si>
  <si>
    <t>Hoàng Thị Hương</t>
  </si>
  <si>
    <t>Phạm Thị Hợp</t>
  </si>
  <si>
    <t>Nguyễn Thị An</t>
  </si>
  <si>
    <t>Nguyễn Thị Vân</t>
  </si>
  <si>
    <t>Lê Ngọc Duyên</t>
  </si>
  <si>
    <t>PTT0537</t>
  </si>
  <si>
    <t>Nguyễn Quang Khải</t>
  </si>
  <si>
    <t>PTT0546</t>
  </si>
  <si>
    <t>Nguyễn Phạm Kim Ngân</t>
  </si>
  <si>
    <t>Nguyễn Thị Diễm</t>
  </si>
  <si>
    <t>PTT0556</t>
  </si>
  <si>
    <t>Phan Thị Ngọc Mai</t>
  </si>
  <si>
    <t>Thị Vượng</t>
  </si>
  <si>
    <t>Dương Thị Xum</t>
  </si>
  <si>
    <t>Phạm Thị Hạnh</t>
  </si>
  <si>
    <t>PTT0572</t>
  </si>
  <si>
    <t>Phan Tấn Hữu</t>
  </si>
  <si>
    <t>PTT0583</t>
  </si>
  <si>
    <t>Võ Thị Ánh Nguyệt</t>
  </si>
  <si>
    <t>Dương Thị Ngọc Loan</t>
  </si>
  <si>
    <t>PTT0591</t>
  </si>
  <si>
    <t>Nguyễn Thị Thủy</t>
  </si>
  <si>
    <t>PTT0592</t>
  </si>
  <si>
    <t>Nguyễn Thị Hương</t>
  </si>
  <si>
    <t>PTT0593</t>
  </si>
  <si>
    <t>Nguyễn Thị Thanh Huyền</t>
  </si>
  <si>
    <t>PTT0598</t>
  </si>
  <si>
    <t>Nguyễn Hải Yến</t>
  </si>
  <si>
    <t>PTT0599</t>
  </si>
  <si>
    <t>Trịnh Thị Nương Em</t>
  </si>
  <si>
    <t>Trịnh Thị Thái Hiền</t>
  </si>
  <si>
    <t>PTT0615</t>
  </si>
  <si>
    <t>Nguyễn Văn Phước</t>
  </si>
  <si>
    <t>Hồ Thanh Tuấn</t>
  </si>
  <si>
    <t>PTT0618</t>
  </si>
  <si>
    <t>Từ Tuấn Tú</t>
  </si>
  <si>
    <t>PTT0625</t>
  </si>
  <si>
    <t>Nguyễn Thị Hồng Dung</t>
  </si>
  <si>
    <t>PTT0632</t>
  </si>
  <si>
    <t>Hà Văn Dần</t>
  </si>
  <si>
    <t>PTT0633</t>
  </si>
  <si>
    <t>Lý Văn Luôl</t>
  </si>
  <si>
    <t>PTT0634</t>
  </si>
  <si>
    <t>Khưu Thị Cẩm Lai</t>
  </si>
  <si>
    <t>PTT0636</t>
  </si>
  <si>
    <t>Hà Thị Thanh</t>
  </si>
  <si>
    <t>PTT0637</t>
  </si>
  <si>
    <t>Đào Thị Kim Oanh</t>
  </si>
  <si>
    <t>Trần Thị Quỳnh Như</t>
  </si>
  <si>
    <t>PTT0639</t>
  </si>
  <si>
    <t>Võ Thị Kim Chung</t>
  </si>
  <si>
    <t>TNBH0020</t>
  </si>
  <si>
    <t>Lê Tuyết Anh</t>
  </si>
  <si>
    <t>Huỳnh Manh Vũ</t>
  </si>
  <si>
    <t>Vòng Thín Pẩu</t>
  </si>
  <si>
    <t>VCV0002</t>
  </si>
  <si>
    <t>Dương Thị Vy Thảo</t>
  </si>
  <si>
    <t>VCV0004</t>
  </si>
  <si>
    <t>Trần Thu Thủy</t>
  </si>
  <si>
    <t>VCV0007</t>
  </si>
  <si>
    <t>Hoàng Thị Thanh Xuân</t>
  </si>
  <si>
    <t>VCV0009</t>
  </si>
  <si>
    <t>Nguyễn Hoàng Khang</t>
  </si>
  <si>
    <t>VCV0011</t>
  </si>
  <si>
    <t>Nguyễn Thị Minh Hiền</t>
  </si>
  <si>
    <t>VCV0012</t>
  </si>
  <si>
    <t>Nguyễn Kim Chi</t>
  </si>
  <si>
    <t>VCV0015</t>
  </si>
  <si>
    <t>Trương Phát Minh</t>
  </si>
  <si>
    <t>VCV0018</t>
  </si>
  <si>
    <t>Vương Nhựt Lân</t>
  </si>
  <si>
    <t>VCV0019</t>
  </si>
  <si>
    <t>Nguyễn Quốc Anh</t>
  </si>
  <si>
    <t>VCV0024</t>
  </si>
  <si>
    <t>Huỳnh Thị Huyền Trang</t>
  </si>
  <si>
    <t>CT</t>
  </si>
  <si>
    <t>VCV0025</t>
  </si>
  <si>
    <t>Phạm Thị Ngọc Diễm</t>
  </si>
  <si>
    <t>VCV0028</t>
  </si>
  <si>
    <t>Bùi Long Phi</t>
  </si>
  <si>
    <t>VCV0029</t>
  </si>
  <si>
    <t>Đoàn Thị Chút</t>
  </si>
  <si>
    <t>VCV0030</t>
  </si>
  <si>
    <t>Thị Thủy</t>
  </si>
  <si>
    <t>VCV0031</t>
  </si>
  <si>
    <t>Thòng Cooc Làn</t>
  </si>
  <si>
    <t>VCV0032</t>
  </si>
  <si>
    <t>Nguyễn Thị Ngọc Trâm</t>
  </si>
  <si>
    <t>VCV0033</t>
  </si>
  <si>
    <t>Nguyễn Phương Thanh</t>
  </si>
  <si>
    <t>VCV0035</t>
  </si>
  <si>
    <t>Hoàng Thanh Hoa</t>
  </si>
  <si>
    <t>VCV0036</t>
  </si>
  <si>
    <t>Bùi Hồng Giang</t>
  </si>
  <si>
    <t>VCV0037</t>
  </si>
  <si>
    <t>Hồ Thị Quỳnh Thoa</t>
  </si>
  <si>
    <t>VCV0041</t>
  </si>
  <si>
    <t>Yan Wei</t>
  </si>
  <si>
    <t>Chinese</t>
  </si>
  <si>
    <t>VCV0042</t>
  </si>
  <si>
    <t>Chen Jianyun</t>
  </si>
  <si>
    <t>VCV0043</t>
  </si>
  <si>
    <t>Lu Changxi</t>
  </si>
  <si>
    <t>VCV0044</t>
  </si>
  <si>
    <t>Yu Zichun</t>
  </si>
  <si>
    <t>VCV0047</t>
  </si>
  <si>
    <t>Chen Xiaojun</t>
  </si>
  <si>
    <t>VCV0048</t>
  </si>
  <si>
    <t>Ren Mingguang</t>
  </si>
  <si>
    <t>VCV0049</t>
  </si>
  <si>
    <t>Yang Xingwen</t>
  </si>
  <si>
    <t>VCV0050</t>
  </si>
  <si>
    <t>Luo Goutian</t>
  </si>
  <si>
    <t>VCV0051</t>
  </si>
  <si>
    <t>Xu Jingang</t>
  </si>
  <si>
    <t>VCV0052</t>
  </si>
  <si>
    <t>Chen Fengliang</t>
  </si>
  <si>
    <t>VCV0059</t>
  </si>
  <si>
    <t>Nguyễn Thị Kiều Nga</t>
  </si>
  <si>
    <t>VCV0060</t>
  </si>
  <si>
    <t>Vũ Văn Dần</t>
  </si>
  <si>
    <t>VCV0061</t>
  </si>
  <si>
    <t>Trần Minh Công</t>
  </si>
  <si>
    <t xml:space="preserve">VCV0063 </t>
  </si>
  <si>
    <t>Trần Cường</t>
  </si>
  <si>
    <t>VCV0065</t>
  </si>
  <si>
    <t>Nguyễn Hoàng Vũ</t>
  </si>
  <si>
    <t>VCV0069</t>
  </si>
  <si>
    <t>Đinh Thị Ngọc Thùy</t>
  </si>
  <si>
    <t>VCV0072</t>
  </si>
  <si>
    <t>Trương Thị Hóa</t>
  </si>
  <si>
    <t>VCV0073</t>
  </si>
  <si>
    <t>Nguyễn Thành Dư</t>
  </si>
  <si>
    <t>VCV0085</t>
  </si>
  <si>
    <t>Yang Defen</t>
  </si>
  <si>
    <t>VCV0088</t>
  </si>
  <si>
    <t>Bùi Thị Vân Anh</t>
  </si>
  <si>
    <t>VCV0091</t>
  </si>
  <si>
    <t>Vòng Quyền Chi</t>
  </si>
  <si>
    <t>VCV0095</t>
  </si>
  <si>
    <t>Siu Dôi</t>
  </si>
  <si>
    <t>VCV0099</t>
  </si>
  <si>
    <t>Lê Thị Kim Hoàng</t>
  </si>
  <si>
    <t>VCV0103</t>
  </si>
  <si>
    <t>Lê Thị Hải</t>
  </si>
  <si>
    <t>VCV0106</t>
  </si>
  <si>
    <t>Phạm Thị Nhung</t>
  </si>
  <si>
    <t>VCV0108</t>
  </si>
  <si>
    <t>Li WenQiang</t>
  </si>
  <si>
    <t>VCV0109</t>
  </si>
  <si>
    <t>VCV0111</t>
  </si>
  <si>
    <t>Phạm Thị Xuân Liễu</t>
  </si>
  <si>
    <t>VCV0113</t>
  </si>
  <si>
    <t>Trần Văn Luyện</t>
  </si>
  <si>
    <t>VCV0115</t>
  </si>
  <si>
    <t>Phạm Thị Hồng</t>
  </si>
  <si>
    <t>VCV0116</t>
  </si>
  <si>
    <t>Nguyễn Văn Giang</t>
  </si>
  <si>
    <t>VCV0119</t>
  </si>
  <si>
    <t>Rah Lan H in</t>
  </si>
  <si>
    <t>VCV0121</t>
  </si>
  <si>
    <t>Trần Thị Thủy</t>
  </si>
  <si>
    <t>VCV0123</t>
  </si>
  <si>
    <t>Bùi Văn Tâm</t>
  </si>
  <si>
    <t>VCV0124</t>
  </si>
  <si>
    <t>Nguyễn Thị Kim Thanh</t>
  </si>
  <si>
    <t>VCV0128</t>
  </si>
  <si>
    <t>Đoàn Gia Hào</t>
  </si>
  <si>
    <t>VCV0132</t>
  </si>
  <si>
    <t>Võ Thị Kim Thủy</t>
  </si>
  <si>
    <t>VCV0133</t>
  </si>
  <si>
    <t>Ngô Thị Kim Thao</t>
  </si>
  <si>
    <t>VCV0134</t>
  </si>
  <si>
    <t>Đặng Thị Nhân</t>
  </si>
  <si>
    <t>VCV0136</t>
  </si>
  <si>
    <t>Lương Ngọc Cẩm Hà</t>
  </si>
  <si>
    <t>VCV0137</t>
  </si>
  <si>
    <t>Kim Thanh Hiệp</t>
  </si>
  <si>
    <t>VCV0138</t>
  </si>
  <si>
    <t>Lê Thị Lệ Quyên</t>
  </si>
  <si>
    <t>VCV0140</t>
  </si>
  <si>
    <t>Phạm Thành Đạt</t>
  </si>
  <si>
    <t>VCV0141</t>
  </si>
  <si>
    <t>Nguyễn Thị Hiền</t>
  </si>
  <si>
    <t>VCV0143</t>
  </si>
  <si>
    <t>Phan Thị Lục</t>
  </si>
  <si>
    <t>VCV0145</t>
  </si>
  <si>
    <t>Lâm Thị Ra</t>
  </si>
  <si>
    <t>VCV0148</t>
  </si>
  <si>
    <t>Thái Thị Mến</t>
  </si>
  <si>
    <t>VCV0149</t>
  </si>
  <si>
    <t>Phạm Văn Khoai</t>
  </si>
  <si>
    <t>VCV0154</t>
  </si>
  <si>
    <t>Nguyễn Thị Nghĩa</t>
  </si>
  <si>
    <t>VCV0156</t>
  </si>
  <si>
    <t>Nguyễn Thị Ngọc Giàu</t>
  </si>
  <si>
    <t>VCV0157</t>
  </si>
  <si>
    <t>Lê Thị Thu Hà</t>
  </si>
  <si>
    <t>VCV0159</t>
  </si>
  <si>
    <t>Đinh Thị Giáng Xuân</t>
  </si>
  <si>
    <t>VCV0160</t>
  </si>
  <si>
    <t>Trần Cỏng Dếnh</t>
  </si>
  <si>
    <t>VCV0163</t>
  </si>
  <si>
    <t>Đinh Văn Thiết</t>
  </si>
  <si>
    <t>VCV0165</t>
  </si>
  <si>
    <t>Nguyễn Trường Chính</t>
  </si>
  <si>
    <t>VCV0166</t>
  </si>
  <si>
    <t>Trương Thị Đào</t>
  </si>
  <si>
    <t>VCV0168</t>
  </si>
  <si>
    <t>Lê Thị Thu Thủy</t>
  </si>
  <si>
    <t>VCV0169</t>
  </si>
  <si>
    <t>Hà Thị Hồng</t>
  </si>
  <si>
    <t>VCV0171</t>
  </si>
  <si>
    <t>Bùi Thị Thanh Liễu</t>
  </si>
  <si>
    <t>VCV0172</t>
  </si>
  <si>
    <t>Phạm Thị Ngọc Hà</t>
  </si>
  <si>
    <t>VCV0176</t>
  </si>
  <si>
    <t>Bàng Thị Hương Giang</t>
  </si>
  <si>
    <t>VCV0178</t>
  </si>
  <si>
    <t>Nguyễn Hoàng Văn</t>
  </si>
  <si>
    <t>VCV0181</t>
  </si>
  <si>
    <t>Dương Thành Sang</t>
  </si>
  <si>
    <t>VCV0183</t>
  </si>
  <si>
    <t>Phạm Văn Giang</t>
  </si>
  <si>
    <t>VCV0184</t>
  </si>
  <si>
    <t>Nguyễn Văn Học</t>
  </si>
  <si>
    <t>VCV0186</t>
  </si>
  <si>
    <t>Nguyễn Thị Thùy Ngân</t>
  </si>
  <si>
    <t>VCV0193</t>
  </si>
  <si>
    <t>Triệu Minh Tiền</t>
  </si>
  <si>
    <t>VCV0194</t>
  </si>
  <si>
    <t>Triệu Minh Tài</t>
  </si>
  <si>
    <t>VCV0195</t>
  </si>
  <si>
    <t>Trần Thiện Duy</t>
  </si>
  <si>
    <t>VCV0196</t>
  </si>
  <si>
    <t>Hồ Anh Khương</t>
  </si>
  <si>
    <t>VCV0198</t>
  </si>
  <si>
    <t>Lã Công Trung</t>
  </si>
  <si>
    <t>VCV0200</t>
  </si>
  <si>
    <t>Hà Trung Dũng</t>
  </si>
  <si>
    <t>VCV0201</t>
  </si>
  <si>
    <t>Đào Văn Tuyển</t>
  </si>
  <si>
    <t>VCV0206</t>
  </si>
  <si>
    <t>Đặng Văn Long</t>
  </si>
  <si>
    <t>VCV0207</t>
  </si>
  <si>
    <t>Vũ Ngọc Thiên Nhan</t>
  </si>
  <si>
    <t>VCV0208</t>
  </si>
  <si>
    <t>Phạm Văn Tuân</t>
  </si>
  <si>
    <t>VCV0209</t>
  </si>
  <si>
    <t>Hoàng Thị Thảo</t>
  </si>
  <si>
    <t>VCV0211</t>
  </si>
  <si>
    <t>Hu Wenge</t>
  </si>
  <si>
    <t>VCV0213</t>
  </si>
  <si>
    <t>Xu Fang</t>
  </si>
  <si>
    <t>VCV0214</t>
  </si>
  <si>
    <t>Zhang Taosu</t>
  </si>
  <si>
    <t>VCV0217</t>
  </si>
  <si>
    <t>Dai Liuan</t>
  </si>
  <si>
    <t>VCV0218</t>
  </si>
  <si>
    <t>Liu Guosheng</t>
  </si>
  <si>
    <t>VCV0219</t>
  </si>
  <si>
    <t>Sun Baoyong</t>
  </si>
  <si>
    <t>VCV0220</t>
  </si>
  <si>
    <t>Zheng Wanjun</t>
  </si>
  <si>
    <t>VCV0221</t>
  </si>
  <si>
    <t>Sun Hongjie</t>
  </si>
  <si>
    <t>VCV0222</t>
  </si>
  <si>
    <t>Yang Zhengxian</t>
  </si>
  <si>
    <t>VCV0227</t>
  </si>
  <si>
    <t>Shen Chengshun</t>
  </si>
  <si>
    <t>VCV0228</t>
  </si>
  <si>
    <t>Nguyễn Duy Luân</t>
  </si>
  <si>
    <t>VCV0229</t>
  </si>
  <si>
    <t>Nguyễn Thị Chúc</t>
  </si>
  <si>
    <t>VCV0230</t>
  </si>
  <si>
    <t>Phạm Quang Khải</t>
  </si>
  <si>
    <t>VCV0231</t>
  </si>
  <si>
    <t>Tsần Phát Đạt</t>
  </si>
  <si>
    <t>VCV0237</t>
  </si>
  <si>
    <t>Đoàn Thị Diễn</t>
  </si>
  <si>
    <t>VCV0239</t>
  </si>
  <si>
    <t>Trần Văn Nguyên</t>
  </si>
  <si>
    <t>VCV0244</t>
  </si>
  <si>
    <t>Lý Văn Chống</t>
  </si>
  <si>
    <t>VCV0247</t>
  </si>
  <si>
    <t>Zhang Yi</t>
  </si>
  <si>
    <t>VCV0251</t>
  </si>
  <si>
    <t>Ngô Thị Thùy Em</t>
  </si>
  <si>
    <t>VCV0258</t>
  </si>
  <si>
    <t>Nguyễn Hoàng Hải</t>
  </si>
  <si>
    <t>VCV0260</t>
  </si>
  <si>
    <t>Nguyễn Văn Thuần</t>
  </si>
  <si>
    <t>VCV0265</t>
  </si>
  <si>
    <t>Phạm Thị Thu Trang</t>
  </si>
  <si>
    <t>VCV0266</t>
  </si>
  <si>
    <t>Mai Huỳnh Phi Long</t>
  </si>
  <si>
    <t>VCV0268</t>
  </si>
  <si>
    <t>Phạm Quỳnh Minh Quang</t>
  </si>
  <si>
    <t>VCV0273</t>
  </si>
  <si>
    <t>Lê Trọng Thuận</t>
  </si>
  <si>
    <t>VCV0279</t>
  </si>
  <si>
    <t>Trần Nhớ</t>
  </si>
  <si>
    <t>Nguyễn Văn Tuấn</t>
  </si>
  <si>
    <t>VCV0283</t>
  </si>
  <si>
    <t>Phạm Duy Nam</t>
  </si>
  <si>
    <t>VCV0284</t>
  </si>
  <si>
    <t>Phạm Thị Lượng</t>
  </si>
  <si>
    <t>VCV0285</t>
  </si>
  <si>
    <t>Trần Thị Thanh Thúy</t>
  </si>
  <si>
    <t>VCV0286</t>
  </si>
  <si>
    <t>Đoàn Thị Thủy</t>
  </si>
  <si>
    <t>VCV0287</t>
  </si>
  <si>
    <t>Hà Thị Hồng Năm</t>
  </si>
  <si>
    <t>VCV0289</t>
  </si>
  <si>
    <t>Quan Huệ Phương</t>
  </si>
  <si>
    <t>VCV0290</t>
  </si>
  <si>
    <t>Trần Văn Long</t>
  </si>
  <si>
    <t>VCV0291</t>
  </si>
  <si>
    <t>Trịnh Thị Bình</t>
  </si>
  <si>
    <t>VCV0292</t>
  </si>
  <si>
    <t>Đàm Thị Hương</t>
  </si>
  <si>
    <t>VCV0294</t>
  </si>
  <si>
    <t>Nguyễn Duy Phương</t>
  </si>
  <si>
    <t>VCV0295</t>
  </si>
  <si>
    <t>Trần Thị Mỹ Tuyền</t>
  </si>
  <si>
    <t>VCV0297</t>
  </si>
  <si>
    <t>Nguyễn Thị Kim Nga</t>
  </si>
  <si>
    <t>VCV0298</t>
  </si>
  <si>
    <t>Nguyễn Thị Ngọc Trinh</t>
  </si>
  <si>
    <t>VCV0299</t>
  </si>
  <si>
    <t>Ninh Xuân Trường</t>
  </si>
  <si>
    <t>VCV0300</t>
  </si>
  <si>
    <t>Huỳnh Chinh Nhật Minh</t>
  </si>
  <si>
    <t>VCV0301</t>
  </si>
  <si>
    <t>Nguyễn Trần Hưng</t>
  </si>
  <si>
    <t>VCV0303</t>
  </si>
  <si>
    <t>Lê Văn Bảo</t>
  </si>
  <si>
    <t>VCV0308</t>
  </si>
  <si>
    <t>Song Shanping</t>
  </si>
  <si>
    <t>VCV0309</t>
  </si>
  <si>
    <t>Lê Hữu Tấn</t>
  </si>
  <si>
    <t>VCV0310</t>
  </si>
  <si>
    <t>Lâm Thị Mộng Thúy</t>
  </si>
  <si>
    <t>VCV0311</t>
  </si>
  <si>
    <t>Nguyễn Thị Hải Đường</t>
  </si>
  <si>
    <t>VCV0315</t>
  </si>
  <si>
    <t>Vũ Thị Thùy</t>
  </si>
  <si>
    <t>VCV0316</t>
  </si>
  <si>
    <t>Nguyễn Ngọc Minh Châu</t>
  </si>
  <si>
    <t>VCV0317</t>
  </si>
  <si>
    <t>Phạm Thị Lan</t>
  </si>
  <si>
    <t>VCV0318</t>
  </si>
  <si>
    <t>Đỗ Thị Hạnh</t>
  </si>
  <si>
    <t>VCV0319</t>
  </si>
  <si>
    <t>Dương Ngọc Sơn</t>
  </si>
  <si>
    <t>VCV0320</t>
  </si>
  <si>
    <t>Đỗ Lệ Ngọc</t>
  </si>
  <si>
    <t>VCV0321</t>
  </si>
  <si>
    <t>Nguyễn Văn Thi</t>
  </si>
  <si>
    <t>VCV0322</t>
  </si>
  <si>
    <t>Phạm Thị Thanh Xuân</t>
  </si>
  <si>
    <t>VCV0325</t>
  </si>
  <si>
    <t>Phan Văn Dần</t>
  </si>
  <si>
    <t>VCV0328</t>
  </si>
  <si>
    <t>Trần Thị Hoa Ly</t>
  </si>
  <si>
    <t>VCV0330</t>
  </si>
  <si>
    <t>Nguyễn Phạm Đức Thịnh</t>
  </si>
  <si>
    <t>VCV0335</t>
  </si>
  <si>
    <t>Nguyễn Hoàng Thiên Phú</t>
  </si>
  <si>
    <t>VCV0339</t>
  </si>
  <si>
    <t>Nguyễn Thị Hoàng Yến</t>
  </si>
  <si>
    <t>VCV0342</t>
  </si>
  <si>
    <t>Nguyễn Hữu Thọ</t>
  </si>
  <si>
    <t>VCV0343</t>
  </si>
  <si>
    <t>Sú Phóng Cóng</t>
  </si>
  <si>
    <t>VCV0351</t>
  </si>
  <si>
    <t>Nguyễn Văn Duy Mạnh</t>
  </si>
  <si>
    <t>VCV0353</t>
  </si>
  <si>
    <t>Trang Duy Tùng</t>
  </si>
  <si>
    <t>VCV0354</t>
  </si>
  <si>
    <t>Vòng A Sình</t>
  </si>
  <si>
    <t>VCV0361</t>
  </si>
  <si>
    <t>Nguyễn Sỹ Khôi</t>
  </si>
  <si>
    <t>VCV0362</t>
  </si>
  <si>
    <t>Lê Văn Tâm</t>
  </si>
  <si>
    <t>VCV0364</t>
  </si>
  <si>
    <t>Trần Thị Thu Lại</t>
  </si>
  <si>
    <t>VCV0365</t>
  </si>
  <si>
    <t>Lê Thị Hiền</t>
  </si>
  <si>
    <t>VCV0366</t>
  </si>
  <si>
    <t>Phạm Thị Trang</t>
  </si>
  <si>
    <t>VCV0367</t>
  </si>
  <si>
    <t>Nguyễn Thị Minh</t>
  </si>
  <si>
    <t>VCV0368</t>
  </si>
  <si>
    <t>Lý Ngọc Nhí</t>
  </si>
  <si>
    <t>VCV0369</t>
  </si>
  <si>
    <t>Nguyễn Thị Minh Hiếu</t>
  </si>
  <si>
    <t>VCV0370</t>
  </si>
  <si>
    <t>Đoàn Thị Thắm</t>
  </si>
  <si>
    <t>VCV0371</t>
  </si>
  <si>
    <t>Trịnh Thị Loan</t>
  </si>
  <si>
    <t>VCV0374</t>
  </si>
  <si>
    <t>Lê Thị Hồng</t>
  </si>
  <si>
    <t>VCV0376</t>
  </si>
  <si>
    <t>Lý Thanh Đông Thức</t>
  </si>
  <si>
    <t>VCV0377</t>
  </si>
  <si>
    <t>Lương Trọng Thắng</t>
  </si>
  <si>
    <t>VCV0378</t>
  </si>
  <si>
    <t>Lê Thị Phương Linh</t>
  </si>
  <si>
    <t>VCV0383</t>
  </si>
  <si>
    <t>Ká Hoan</t>
  </si>
  <si>
    <t>VCV0395</t>
  </si>
  <si>
    <t>Nguyên Văn Còn</t>
  </si>
  <si>
    <t>VCV0396</t>
  </si>
  <si>
    <t>Phạm Gia Bảo</t>
  </si>
  <si>
    <t>VCV0397</t>
  </si>
  <si>
    <t>Nguyễn Thị Tuyết</t>
  </si>
  <si>
    <t>VCV0398</t>
  </si>
  <si>
    <t>Phạm Đức Tuy</t>
  </si>
  <si>
    <t>VCV0399</t>
  </si>
  <si>
    <t>Đỗ Thị Lộc</t>
  </si>
  <si>
    <t>VCV0400</t>
  </si>
  <si>
    <t>Trần Đình Sơn</t>
  </si>
  <si>
    <t>VCV0401</t>
  </si>
  <si>
    <t>Lê Gia Bảo</t>
  </si>
  <si>
    <t>VCV0402</t>
  </si>
  <si>
    <t>VCV0405</t>
  </si>
  <si>
    <t>Hoàng Thị Kim Loan</t>
  </si>
  <si>
    <t>VCV0408</t>
  </si>
  <si>
    <t>Trịnh Hải Nam</t>
  </si>
  <si>
    <t>VCV0409</t>
  </si>
  <si>
    <t>Nguyễn Minh Đức</t>
  </si>
  <si>
    <t>VCV0414</t>
  </si>
  <si>
    <t>Nông Thị Thu Trang</t>
  </si>
  <si>
    <t>VCV0423</t>
  </si>
  <si>
    <t>Đinh Nguyễn Thảo Trinh</t>
  </si>
  <si>
    <t>VCV0426</t>
  </si>
  <si>
    <t>Đào Thanh Xuân</t>
  </si>
  <si>
    <t>VCV0427</t>
  </si>
  <si>
    <t>VCV0428</t>
  </si>
  <si>
    <t>Nguyễn Đình Bảo</t>
  </si>
  <si>
    <t>VCV0431</t>
  </si>
  <si>
    <t>Nguyễn Anh Tuấn</t>
  </si>
  <si>
    <t>VCV0432</t>
  </si>
  <si>
    <t>Lê Bá Hoàng</t>
  </si>
  <si>
    <t>VCV0433</t>
  </si>
  <si>
    <t>Nguyễn Hoàng Nam</t>
  </si>
  <si>
    <t>VCV0435</t>
  </si>
  <si>
    <t>Vũ Ngọc Đức</t>
  </si>
  <si>
    <t>VCV0442</t>
  </si>
  <si>
    <t>Trương Thành Cường</t>
  </si>
  <si>
    <t>VCV0444</t>
  </si>
  <si>
    <t>Lê Doãn Hội</t>
  </si>
  <si>
    <t>VCV0445</t>
  </si>
  <si>
    <t>Đỗ Khương Thịnh</t>
  </si>
  <si>
    <t>VCV0452</t>
  </si>
  <si>
    <t>Lỷ Sẹc Chắn</t>
  </si>
  <si>
    <t>VCV0453</t>
  </si>
  <si>
    <t>Nguyễn Văn Chiến</t>
  </si>
  <si>
    <t>VCV0454</t>
  </si>
  <si>
    <t>Đoàn Thanh Hương</t>
  </si>
  <si>
    <t>VCV0464</t>
  </si>
  <si>
    <t>Nguyễn Thị Hồng Ly</t>
  </si>
  <si>
    <t>VCV0465</t>
  </si>
  <si>
    <t>Trương Thị Quỳnh Diễm</t>
  </si>
  <si>
    <t>VCV0467</t>
  </si>
  <si>
    <t>Nguyễn Thị Chung</t>
  </si>
  <si>
    <t>VCV0468</t>
  </si>
  <si>
    <t>Nguyễn Lê Trường Bảo</t>
  </si>
  <si>
    <t>VCV0469</t>
  </si>
  <si>
    <t>Trần Thị Bến</t>
  </si>
  <si>
    <t>VCV0471</t>
  </si>
  <si>
    <t>Vũ Thị Huyền</t>
  </si>
  <si>
    <t>VCV0477</t>
  </si>
  <si>
    <t>Lý Hoàng Chương</t>
  </si>
  <si>
    <t>VCV0501</t>
  </si>
  <si>
    <t>VCV0503</t>
  </si>
  <si>
    <t>Lưu Duy Hà</t>
  </si>
  <si>
    <t>VCV0505</t>
  </si>
  <si>
    <t>Đặng Nghĩa Bảo</t>
  </si>
  <si>
    <t>VCV0506</t>
  </si>
  <si>
    <t>Tăng Trần Hồng Liêm</t>
  </si>
  <si>
    <t>VCV0507</t>
  </si>
  <si>
    <t>Nguyẽn Minh Triết</t>
  </si>
  <si>
    <t>VCV0509</t>
  </si>
  <si>
    <t>Nguyễn Thị Thúy Na</t>
  </si>
  <si>
    <t>VCV0510</t>
  </si>
  <si>
    <t>Phan Thị Phương</t>
  </si>
  <si>
    <t>VCV0511</t>
  </si>
  <si>
    <t>Hoàng Thị Luận</t>
  </si>
  <si>
    <t>VCV0512</t>
  </si>
  <si>
    <t>Trần Thị Bích Thủy</t>
  </si>
  <si>
    <t>VCV0513</t>
  </si>
  <si>
    <t>Trần Minh Ngọc</t>
  </si>
  <si>
    <t>VCV0514</t>
  </si>
  <si>
    <t>Phạm Thị Thanh Thủy</t>
  </si>
  <si>
    <t>VCV0516</t>
  </si>
  <si>
    <t>Trần Thị Kiều Mỹ Trinh</t>
  </si>
  <si>
    <t>VCV0517</t>
  </si>
  <si>
    <t>Đinh Thị Mỹ Loan</t>
  </si>
  <si>
    <t>VCV0518</t>
  </si>
  <si>
    <t>Trương Khánh Huy</t>
  </si>
  <si>
    <t>VCV0520</t>
  </si>
  <si>
    <t>Nguyễn Hoàng Dũng</t>
  </si>
  <si>
    <t>VCV0521</t>
  </si>
  <si>
    <t>Nguyễn Thị Kim Oanh</t>
  </si>
  <si>
    <t>VCV0522</t>
  </si>
  <si>
    <t>Bùi Thị Kim Thoa</t>
  </si>
  <si>
    <t>VCV0523</t>
  </si>
  <si>
    <t>Nguyễn Thị Hồng Hiền</t>
  </si>
  <si>
    <t>VCV0524</t>
  </si>
  <si>
    <t>Nguyễn Thị Minh Hồng</t>
  </si>
  <si>
    <t>VCV0525</t>
  </si>
  <si>
    <t>Đào Thị Thanh Tuyền</t>
  </si>
  <si>
    <t>VCV0526</t>
  </si>
  <si>
    <t>Bùi Thị Ngọc Tuyết</t>
  </si>
  <si>
    <t>VCV0527</t>
  </si>
  <si>
    <t>Trần Thị Ánh</t>
  </si>
  <si>
    <t>VCV0528</t>
  </si>
  <si>
    <t>Ngô Thị Ngọc Thanh</t>
  </si>
  <si>
    <t>VCV0529</t>
  </si>
  <si>
    <t>Nguyễn Viết Hưng</t>
  </si>
  <si>
    <t>VCV0530</t>
  </si>
  <si>
    <t>Lầm Siu Hà</t>
  </si>
  <si>
    <t>VCV0531</t>
  </si>
  <si>
    <t>Hoàng Thị Dung</t>
  </si>
  <si>
    <t>VCV0532</t>
  </si>
  <si>
    <t>Chắng A Dưỡng</t>
  </si>
  <si>
    <t>VCV0533</t>
  </si>
  <si>
    <t>Nguyễn Văn Hoài</t>
  </si>
  <si>
    <t>VCV0535</t>
  </si>
  <si>
    <t>Hoàng Nữ Duyên Mai</t>
  </si>
  <si>
    <t>VCV0536</t>
  </si>
  <si>
    <t>Nguyễn Thị Kim Phương</t>
  </si>
  <si>
    <t>VCV0537</t>
  </si>
  <si>
    <t>Phạm Công Tuấn</t>
  </si>
  <si>
    <t>VCV0538</t>
  </si>
  <si>
    <t>Nguyễn Thị Thu Huyền</t>
  </si>
  <si>
    <t>VCV0540</t>
  </si>
  <si>
    <t>Trương Thị Hồng Mỹ</t>
  </si>
  <si>
    <t>VCV0542</t>
  </si>
  <si>
    <t>Vũ Đình Duy</t>
  </si>
  <si>
    <t>VCV0545</t>
  </si>
  <si>
    <t>Nguyễn Trần Giang Châu</t>
  </si>
  <si>
    <t>VCV0546</t>
  </si>
  <si>
    <t>Phùng Thị Diễm Lệ</t>
  </si>
  <si>
    <t>VCV0547</t>
  </si>
  <si>
    <t>Đinh Văn Quý</t>
  </si>
  <si>
    <t>VCV0555</t>
  </si>
  <si>
    <t>Nguyễn Minh Thi</t>
  </si>
  <si>
    <t>VCV0559</t>
  </si>
  <si>
    <t>Nguyễn Văn Thưởng</t>
  </si>
  <si>
    <t>VCV0561</t>
  </si>
  <si>
    <t>Nguyễn Nhật Anh</t>
  </si>
  <si>
    <t>VCV0562</t>
  </si>
  <si>
    <t>Đinh Thị Kim Phấn</t>
  </si>
  <si>
    <t>VCV0564</t>
  </si>
  <si>
    <t>Lý Thị Kiều</t>
  </si>
  <si>
    <t>VCV0565</t>
  </si>
  <si>
    <t>Trần A Cúc</t>
  </si>
  <si>
    <t>VCV0566</t>
  </si>
  <si>
    <t>VCV0568</t>
  </si>
  <si>
    <t>Nguyễn Minh Khánh</t>
  </si>
  <si>
    <t>VCV0570</t>
  </si>
  <si>
    <t>Nguyễn Hoàng Gia Bảo</t>
  </si>
  <si>
    <t>VCV0571</t>
  </si>
  <si>
    <t>Thạch Thị Mường</t>
  </si>
  <si>
    <t>VCV0572</t>
  </si>
  <si>
    <t>Nguyễn Gia Bảo</t>
  </si>
  <si>
    <t>VCV0573</t>
  </si>
  <si>
    <t>Lê Trọng Tiến</t>
  </si>
  <si>
    <t>VCV0575</t>
  </si>
  <si>
    <t>Kha Thanh Tuyen</t>
  </si>
  <si>
    <t>VCV0579</t>
  </si>
  <si>
    <t xml:space="preserve">Voòng Cún Lìn </t>
  </si>
  <si>
    <t>VCV0580</t>
  </si>
  <si>
    <t>Phan Ngọc Bích Châu</t>
  </si>
  <si>
    <t>VCV0581</t>
  </si>
  <si>
    <t>Ngàn Phát Sầu</t>
  </si>
  <si>
    <t>VCV0598</t>
  </si>
  <si>
    <t>Đào Thị Thùy Hương</t>
  </si>
  <si>
    <t>VCV0602</t>
  </si>
  <si>
    <t>Đào Thị Kim Thư</t>
  </si>
  <si>
    <t>VCV0604</t>
  </si>
  <si>
    <t>Trần Sang</t>
  </si>
  <si>
    <t>VCV0605</t>
  </si>
  <si>
    <t>U Bi Gô</t>
  </si>
  <si>
    <t>VCV0606</t>
  </si>
  <si>
    <t>Nguyễn Nhựt Du</t>
  </si>
  <si>
    <t>VCV0607</t>
  </si>
  <si>
    <t>Tằng Nhịt Phùng</t>
  </si>
  <si>
    <t>VCV0610</t>
  </si>
  <si>
    <t>Nguyễn Thị Sinh</t>
  </si>
  <si>
    <t>VCV0611</t>
  </si>
  <si>
    <t>Võ Thị Cẩm Tiên</t>
  </si>
  <si>
    <t>VCV0614</t>
  </si>
  <si>
    <t>Đặng Thị Thu Trang</t>
  </si>
  <si>
    <t>VCV0615</t>
  </si>
  <si>
    <t>Vũ Đại Thắng</t>
  </si>
  <si>
    <t>VCV0618</t>
  </si>
  <si>
    <t>Vi Thị Dục</t>
  </si>
  <si>
    <t>VCV0619</t>
  </si>
  <si>
    <t>Trần Thị Phúc</t>
  </si>
  <si>
    <t>VCV0620</t>
  </si>
  <si>
    <t>Đinh Thị Nở</t>
  </si>
  <si>
    <t>VCV0621</t>
  </si>
  <si>
    <t>Nguyễn Thị Kim Chi</t>
  </si>
  <si>
    <t>VCV0622</t>
  </si>
  <si>
    <t>Nguyễn Thị Phương Dung</t>
  </si>
  <si>
    <t>VCV0623</t>
  </si>
  <si>
    <t>Phạm Văn Tuấn</t>
  </si>
  <si>
    <t>VCV0631</t>
  </si>
  <si>
    <t>Tsằn Ký Deng</t>
  </si>
  <si>
    <t>VCV0634</t>
  </si>
  <si>
    <t>Lâm Phát Vạn</t>
  </si>
  <si>
    <t>VCV0635</t>
  </si>
  <si>
    <t>Nguyễn Hoàng Vinh</t>
  </si>
  <si>
    <t>VCV0636</t>
  </si>
  <si>
    <t>Đỗ Ánh Hồng</t>
  </si>
  <si>
    <t>VCV0638</t>
  </si>
  <si>
    <t>Chương Bích Phượng</t>
  </si>
  <si>
    <t>VCV0640</t>
  </si>
  <si>
    <t>Wu Huiming</t>
  </si>
  <si>
    <t>VCV0645</t>
  </si>
  <si>
    <t>Bùi Thị Ngọc Ý</t>
  </si>
  <si>
    <t>VCV0646</t>
  </si>
  <si>
    <t>Lê Thị Hồng Cẩm</t>
  </si>
  <si>
    <t>VCV0647</t>
  </si>
  <si>
    <t>Võ Thị Dân</t>
  </si>
  <si>
    <t>VCV0649</t>
  </si>
  <si>
    <t>VCV0650</t>
  </si>
  <si>
    <t>Nguyễn Văn Lâm</t>
  </si>
  <si>
    <t>VCV0652</t>
  </si>
  <si>
    <t>Trần Thị Mỹ Duyên</t>
  </si>
  <si>
    <t>VCV0657</t>
  </si>
  <si>
    <t>VCV0659</t>
  </si>
  <si>
    <t>Nguyễn Thanh Lâm</t>
  </si>
  <si>
    <t>VCV0660</t>
  </si>
  <si>
    <t>Lương Linh Tý</t>
  </si>
  <si>
    <t>VCV0661</t>
  </si>
  <si>
    <t>Âu Thị Thúy Nhi</t>
  </si>
  <si>
    <t>VCV0662</t>
  </si>
  <si>
    <t>Nguyễn Tấn Anh</t>
  </si>
  <si>
    <t>VCV0663</t>
  </si>
  <si>
    <t>VCV0664</t>
  </si>
  <si>
    <t>VCV0665</t>
  </si>
  <si>
    <t>VCV0666</t>
  </si>
  <si>
    <t>VCV0667</t>
  </si>
  <si>
    <t>VCV0668</t>
  </si>
  <si>
    <t>VCV0669</t>
  </si>
  <si>
    <t>VCV0670</t>
  </si>
  <si>
    <t>VCV0671</t>
  </si>
  <si>
    <t>VCV0672</t>
  </si>
  <si>
    <t>VCV0673</t>
  </si>
  <si>
    <t>VCV0674</t>
  </si>
  <si>
    <t>VCV0675</t>
  </si>
  <si>
    <t>VCV0676</t>
  </si>
  <si>
    <t>VCV0677</t>
  </si>
  <si>
    <t>VCV0678</t>
  </si>
  <si>
    <t>Lê Văn Tèo</t>
  </si>
  <si>
    <t>VCV0679</t>
  </si>
  <si>
    <t>Đinh Văn Quang</t>
  </si>
  <si>
    <t>VCV0681</t>
  </si>
  <si>
    <t>Làm Thị Út Sà Quyền</t>
  </si>
  <si>
    <t>VCV0682</t>
  </si>
  <si>
    <t>Lê Triệu Vy</t>
  </si>
  <si>
    <t>VCV0683</t>
  </si>
  <si>
    <t>Ká Ngọc</t>
  </si>
  <si>
    <t>VCV0684</t>
  </si>
  <si>
    <t>Trương Mỹ Lan</t>
  </si>
  <si>
    <t>VCV0685</t>
  </si>
  <si>
    <t>Phún Nhật Chấn</t>
  </si>
  <si>
    <t>VCV0686</t>
  </si>
  <si>
    <t>Hoàng Ngọc Hưng</t>
  </si>
  <si>
    <t>VCV0688</t>
  </si>
  <si>
    <t>Lin Hà Sấm Phụng</t>
  </si>
  <si>
    <t>VCV0689</t>
  </si>
  <si>
    <t>Lê Bảo Ngọc</t>
  </si>
  <si>
    <t>VCV0692</t>
  </si>
  <si>
    <t>LiYong</t>
  </si>
  <si>
    <t>VCV0694</t>
  </si>
  <si>
    <t xml:space="preserve">Trần Quỳnh Loan </t>
  </si>
  <si>
    <t>VCV0696</t>
  </si>
  <si>
    <t>VCV0702</t>
  </si>
  <si>
    <t>Phạm Thanh Minh</t>
  </si>
  <si>
    <t>VCV0703</t>
  </si>
  <si>
    <t>Trần Hùng Vươn</t>
  </si>
  <si>
    <t>VCV0705</t>
  </si>
  <si>
    <t>Phạm Tiến Đạt</t>
  </si>
  <si>
    <t>VCV0706</t>
  </si>
  <si>
    <t>Nguyễn Thiện Nhân</t>
  </si>
  <si>
    <t>VCV0708</t>
  </si>
  <si>
    <t>Nguyễn Văn Linh</t>
  </si>
  <si>
    <t>VCV0709</t>
  </si>
  <si>
    <t>Trần Văn Hiển</t>
  </si>
  <si>
    <t>VCV0710</t>
  </si>
  <si>
    <t>Nguyễn Hữu Ninh</t>
  </si>
  <si>
    <t>Mike</t>
  </si>
  <si>
    <t>Wilson</t>
  </si>
  <si>
    <t>Vincent</t>
  </si>
  <si>
    <t>Thomas</t>
  </si>
  <si>
    <t>Andy</t>
  </si>
  <si>
    <t>Nick</t>
  </si>
  <si>
    <t>Arnold</t>
  </si>
  <si>
    <t>Nguyễn Thị Hồng Nga</t>
  </si>
  <si>
    <t>Ano's Customer</t>
  </si>
  <si>
    <t>Driver</t>
  </si>
  <si>
    <t xml:space="preserve">Sercuirty </t>
  </si>
  <si>
    <t>VCV0406</t>
  </si>
  <si>
    <t>Nguyễn Lê Phương Dung</t>
  </si>
  <si>
    <t>VCV0718</t>
  </si>
  <si>
    <t>Nguyễn Văn Lâu</t>
  </si>
  <si>
    <t>VCV0577</t>
  </si>
  <si>
    <t>Nguyễn Trung Hiếu</t>
  </si>
  <si>
    <t>DG</t>
  </si>
  <si>
    <t>VCV0719</t>
  </si>
  <si>
    <t>Trịnh Xuân Trường</t>
  </si>
  <si>
    <t>VCV0723</t>
  </si>
  <si>
    <t>Worker - Packaging</t>
  </si>
  <si>
    <t>VCV0644</t>
  </si>
  <si>
    <t>Trần Nhất Linh</t>
  </si>
  <si>
    <t>VCV0724</t>
  </si>
  <si>
    <t>Lê Hồ Thị Hồng Phấn</t>
  </si>
  <si>
    <t>VCV0730</t>
  </si>
  <si>
    <t>Vũ Thị Len</t>
  </si>
  <si>
    <t>VCV0735</t>
  </si>
  <si>
    <t>Đinh Thị Trâm Anh</t>
  </si>
  <si>
    <t>VCV0736</t>
  </si>
  <si>
    <t>Đinh Thị Hà Lan</t>
  </si>
  <si>
    <t>VCV0738</t>
  </si>
  <si>
    <t>VCV0740</t>
  </si>
  <si>
    <t>Mai Thị Dung</t>
  </si>
  <si>
    <t>VCV0726</t>
  </si>
  <si>
    <t>VCV0727</t>
  </si>
  <si>
    <t>VCV0728</t>
  </si>
  <si>
    <t>VCV0729</t>
  </si>
  <si>
    <t>VCV0743</t>
  </si>
  <si>
    <t>VCV0744</t>
  </si>
  <si>
    <t>Hồ Nhục Thanh</t>
  </si>
  <si>
    <t>VCV0741</t>
  </si>
  <si>
    <t>VCV0745</t>
  </si>
  <si>
    <t>Hoàng Thị Bình</t>
  </si>
  <si>
    <t>VCV0746</t>
  </si>
  <si>
    <t>Chu Quang Tiến</t>
  </si>
  <si>
    <t>VCV0747</t>
  </si>
  <si>
    <t>Nguyễn Quang Đạo</t>
  </si>
  <si>
    <t>VCV0748</t>
  </si>
  <si>
    <t>Nguyễn Văn Nho</t>
  </si>
  <si>
    <t>VCV0749</t>
  </si>
  <si>
    <t>Nguyễn Thị Thanh Hoa</t>
  </si>
  <si>
    <t>VCV0750</t>
  </si>
  <si>
    <t>Huỳnh Khánh Duy</t>
  </si>
  <si>
    <t>Tô Ngọc Thanh</t>
  </si>
  <si>
    <t>VCV0753</t>
  </si>
  <si>
    <t>Thạch Thị Na Huy</t>
  </si>
  <si>
    <t>VCV0754</t>
  </si>
  <si>
    <t>Nguyễn Thị Hồng Diễm</t>
  </si>
  <si>
    <t>VCV0755</t>
  </si>
  <si>
    <t>Kim Minh Phương</t>
  </si>
  <si>
    <t>VCV0756</t>
  </si>
  <si>
    <t>Lường Chắn Hoa</t>
  </si>
  <si>
    <t>VCV0757</t>
  </si>
  <si>
    <t>Nguyễn Ngô Thanh Vy</t>
  </si>
  <si>
    <t>VCV0760</t>
  </si>
  <si>
    <t>H Chintale MLô</t>
  </si>
  <si>
    <t>VCV0761</t>
  </si>
  <si>
    <t>Phạm Văn Phường</t>
  </si>
  <si>
    <t>VCV0763</t>
  </si>
  <si>
    <t>Lê Thị Thùy Trinh</t>
  </si>
  <si>
    <t>VCV0764</t>
  </si>
  <si>
    <t>Thị Huyền</t>
  </si>
  <si>
    <t>VCV0768</t>
  </si>
  <si>
    <t>Bùi Thị Thanh Thúy</t>
  </si>
  <si>
    <t>VCV0769</t>
  </si>
  <si>
    <t>Nguyễn Thu Sương</t>
  </si>
  <si>
    <t>VCV0762</t>
  </si>
  <si>
    <t>VCV0765</t>
  </si>
  <si>
    <t>VCV0767</t>
  </si>
  <si>
    <t>VCV0773</t>
  </si>
  <si>
    <t>Hoàng Văn Cường</t>
  </si>
  <si>
    <t>VCV0774</t>
  </si>
  <si>
    <t>Nguyễn Thị Phước Thủy</t>
  </si>
  <si>
    <t>VCV0775</t>
  </si>
  <si>
    <t>Nguyễn Vĩnh Phúc</t>
  </si>
  <si>
    <t>VCV0776</t>
  </si>
  <si>
    <t>Lê Gia Đạt</t>
  </si>
  <si>
    <t>VCV0717</t>
  </si>
  <si>
    <t>Chu Ngọc Anh</t>
  </si>
  <si>
    <t>VCV0770</t>
  </si>
  <si>
    <t>Tsần Thị Hồng Linh</t>
  </si>
  <si>
    <t>VCV0772</t>
  </si>
  <si>
    <t>Trần Thu Hiền</t>
  </si>
  <si>
    <t>VCV0779</t>
  </si>
  <si>
    <t>Thạch Thị Chi</t>
  </si>
  <si>
    <t>VCV0777</t>
  </si>
  <si>
    <t>Lê Thị Quỳnh Như</t>
  </si>
  <si>
    <t>Cơm ca đêm</t>
  </si>
  <si>
    <t>Shift 2</t>
  </si>
  <si>
    <t>Ca chiều</t>
  </si>
  <si>
    <t>Savory Dinner</t>
  </si>
  <si>
    <t>Cơm Chiều Mặn</t>
  </si>
  <si>
    <t>Overtime meal</t>
  </si>
  <si>
    <t>Cơm Ca 2</t>
  </si>
  <si>
    <t>Cơm Tăng Ca</t>
  </si>
  <si>
    <t>Vegan Dinner</t>
  </si>
  <si>
    <t>Cơm Chiều Chay</t>
  </si>
  <si>
    <t>Total</t>
  </si>
  <si>
    <t>Nguyễn Văn Còn</t>
  </si>
  <si>
    <t xml:space="preserve">Nguyễn Văn Tuấn </t>
  </si>
  <si>
    <t>Thạch Thị Hoa</t>
  </si>
  <si>
    <t>Trần Hùng Vương</t>
  </si>
  <si>
    <t>Ân Lâm Mỹ Huyền</t>
  </si>
  <si>
    <t>Sercurity</t>
  </si>
  <si>
    <t>Hoàng Duy Khánh</t>
  </si>
  <si>
    <t>Phan Văn Phường</t>
  </si>
  <si>
    <t>Bùi Thị Thanh Thuý</t>
  </si>
  <si>
    <t xml:space="preserve">Nguyễn Vĩnh Phúc </t>
  </si>
  <si>
    <t xml:space="preserve">Lê Gia Đạt </t>
  </si>
  <si>
    <t xml:space="preserve">Chu Ngọc Anh </t>
  </si>
  <si>
    <t>Meal Consumption &amp; Cost Summary on May 2026</t>
  </si>
  <si>
    <t>1. Meal Summary by Date</t>
  </si>
  <si>
    <t>Date</t>
  </si>
  <si>
    <t>Total Meals 
Tổng phần ăn</t>
  </si>
  <si>
    <t>2. Cost Summary</t>
  </si>
  <si>
    <t>Category</t>
  </si>
  <si>
    <t>Cost per Meal (VND)</t>
  </si>
  <si>
    <t>Total Meals</t>
  </si>
  <si>
    <t>Total Amount (VND)</t>
  </si>
  <si>
    <t>Expat Meals</t>
  </si>
  <si>
    <t>Amount to pay</t>
  </si>
  <si>
    <t>3. Cost per Department</t>
  </si>
  <si>
    <t>Deparment</t>
  </si>
  <si>
    <t>Total Meal per deaprtment</t>
  </si>
  <si>
    <t>Cos per Meal</t>
  </si>
  <si>
    <t>Total Amount per Department</t>
  </si>
  <si>
    <t>Dương Anh Thư</t>
  </si>
  <si>
    <t xml:space="preserve">Trần Thị Cẩm Thạch </t>
  </si>
  <si>
    <t>VCV0267</t>
  </si>
  <si>
    <t>VCV0751</t>
  </si>
  <si>
    <t>VCV0752</t>
  </si>
  <si>
    <t>Huỳnh Minh Hiếu</t>
  </si>
  <si>
    <t>Nguyễn Thành Thiên</t>
  </si>
  <si>
    <t>Cơm tăng ca</t>
  </si>
  <si>
    <t>Cơm ca 2</t>
  </si>
  <si>
    <t>Yang Min</t>
  </si>
  <si>
    <t>VCV0167</t>
  </si>
  <si>
    <t>VCV0063</t>
  </si>
  <si>
    <t>VCV0715</t>
  </si>
  <si>
    <t>VCV0725</t>
  </si>
  <si>
    <t>VCV0742</t>
  </si>
  <si>
    <t>VCV0771</t>
  </si>
  <si>
    <t>VCV0781</t>
  </si>
  <si>
    <t>VCV0782</t>
  </si>
  <si>
    <t>VCV0783</t>
  </si>
  <si>
    <t>VCV0785</t>
  </si>
  <si>
    <t>VCV0786</t>
  </si>
  <si>
    <t>VCV0789</t>
  </si>
  <si>
    <t>Trương Kha Nhỉ</t>
  </si>
  <si>
    <t>Trần Minh Trung</t>
  </si>
  <si>
    <t>Nguyễn Đình Nhật Quang</t>
  </si>
  <si>
    <t>Phạm Văn Phúc</t>
  </si>
  <si>
    <t>Pro - Manual Polishing</t>
  </si>
  <si>
    <t>VCV0793</t>
  </si>
  <si>
    <t>VCV0794</t>
  </si>
  <si>
    <t>VCV0795</t>
  </si>
  <si>
    <t>VCV0796</t>
  </si>
  <si>
    <t>VCV0797</t>
  </si>
  <si>
    <t>VCV0784</t>
  </si>
  <si>
    <t>VCV0792</t>
  </si>
  <si>
    <t>VCV0790</t>
  </si>
  <si>
    <t>VCV0791</t>
  </si>
  <si>
    <t>Nguyễn Thanh Hà</t>
  </si>
  <si>
    <t>Nguyễn Phúc Ân</t>
  </si>
  <si>
    <t xml:space="preserve"> Diệu Ngọc</t>
  </si>
  <si>
    <t>VCV0804</t>
  </si>
  <si>
    <t>VCV0802</t>
  </si>
  <si>
    <t xml:space="preserve">Danh Anh Khoa </t>
  </si>
  <si>
    <t xml:space="preserve">Trần Thiện Thắng </t>
  </si>
  <si>
    <t>Robbert</t>
  </si>
  <si>
    <t xml:space="preserve">VCV0787 </t>
  </si>
  <si>
    <t>VAT</t>
  </si>
  <si>
    <t>Total Amount (exclude VAT)</t>
  </si>
  <si>
    <t>giao</t>
  </si>
  <si>
    <t>ca 18</t>
  </si>
  <si>
    <t>VCV0799</t>
  </si>
  <si>
    <t>Trần Quang Thái</t>
  </si>
  <si>
    <t>VCV0800</t>
  </si>
  <si>
    <t>VCV0805</t>
  </si>
  <si>
    <t>VCV0801</t>
  </si>
  <si>
    <t>VCV0806</t>
  </si>
  <si>
    <t xml:space="preserve"> VCV0788</t>
  </si>
  <si>
    <t>VCV0798</t>
  </si>
  <si>
    <t xml:space="preserve">Trần Minh Lục </t>
  </si>
  <si>
    <t>Nguyễn Bá Tuân</t>
  </si>
  <si>
    <t>Trương Thị Phấn</t>
  </si>
  <si>
    <t>Nguyễn Quốc Cường</t>
  </si>
  <si>
    <t>Trần Vũ Thanh Trọng</t>
  </si>
  <si>
    <t>VCV0803</t>
  </si>
  <si>
    <t>VCV0808</t>
  </si>
  <si>
    <t>VCV0809</t>
  </si>
  <si>
    <t>VCV0810</t>
  </si>
  <si>
    <t>VCV0811</t>
  </si>
  <si>
    <t>Thị Cẩm Tú</t>
  </si>
  <si>
    <t>Trần Thị Ánh Hồng</t>
  </si>
  <si>
    <t>Phan Trọng Nhân</t>
  </si>
  <si>
    <t>Đặng Thành Ty Hô</t>
  </si>
  <si>
    <t>Nguyễn Đức Long</t>
  </si>
  <si>
    <t>ĐẠI DIỆN BÊN MUA
BUYER'S REPRESENTATIVE</t>
  </si>
  <si>
    <t>ĐẠI DIỆN BÊN BÁN
SELLER'S REPRESENTATIVE</t>
  </si>
  <si>
    <t>DƯƠNG ANH THƯ</t>
  </si>
  <si>
    <t>NGUYỄN THỊ THU HƯƠNG</t>
  </si>
  <si>
    <t>Huỳnh Thị Thảo</t>
  </si>
  <si>
    <t>Đặng Thành Ty</t>
  </si>
  <si>
    <t>VCV0807</t>
  </si>
  <si>
    <t>Mã Cắm Phùng</t>
  </si>
  <si>
    <t>Họ và tên</t>
  </si>
  <si>
    <t xml:space="preserve">Số lượng </t>
  </si>
  <si>
    <t>Tổng thanh toán</t>
  </si>
  <si>
    <t>Trần Duy Anh</t>
  </si>
  <si>
    <t>Đào Ngọc Lướt</t>
  </si>
  <si>
    <t>VCV0812</t>
  </si>
  <si>
    <t>VCV0813</t>
  </si>
  <si>
    <t>VCV0814</t>
  </si>
  <si>
    <t>Nguyễn Xuân Vũ</t>
  </si>
  <si>
    <t>Bùi Nguyễn Minh Hoàng</t>
  </si>
  <si>
    <t>Lương Thị Thuỳ Trang</t>
  </si>
  <si>
    <t>Tổng phần hoàn
OT không giao (VN)</t>
  </si>
  <si>
    <r>
      <t xml:space="preserve">BIÊN BẢN XÁC NHẬN SUẤT ĂN
</t>
    </r>
    <r>
      <rPr>
        <b/>
        <i/>
        <sz val="16"/>
        <color theme="1"/>
        <rFont val="Calibri"/>
        <family val="2"/>
      </rPr>
      <t>MEAL QUANTITY CONFIRMATION MINUTES</t>
    </r>
  </si>
  <si>
    <r>
      <t xml:space="preserve">Căn cứ Hợp đồng dịch vụ cung cấp suất ăn công nghiệp ký ngày 01/08/2026 giữa Công ty TNHH Visual Comfort Việt Nam và Công ty TNHH Hoàng Giang Food;
</t>
    </r>
    <r>
      <rPr>
        <i/>
        <sz val="12"/>
        <color theme="1"/>
        <rFont val="Calibri"/>
        <family val="2"/>
      </rPr>
      <t>Pursuant to the Industrial Catering Meal Supply Service Contract dated August 01, 2026 between Visual Comfort VietNam Co., Ltd and Hoang Giang Food Co., Ltd.;</t>
    </r>
  </si>
  <si>
    <r>
      <t xml:space="preserve">Căn cứ số lượng suất ăn thực tế phát sinh trong tháng 09/2026;
</t>
    </r>
    <r>
      <rPr>
        <i/>
        <sz val="12"/>
        <color theme="1"/>
        <rFont val="Calibri"/>
        <family val="2"/>
      </rPr>
      <t>Based on the actual meal quantities incurred in September 2026;</t>
    </r>
  </si>
  <si>
    <r>
      <t xml:space="preserve">Hôm nay, ngày 30 tháng 09 năm 2026, hai bên cùng xác nhận số lượng suất ăn và giá trị thanh toán trong tháng 09/2026 như sau:
</t>
    </r>
    <r>
      <rPr>
        <i/>
        <sz val="12"/>
        <color theme="1"/>
        <rFont val="Calibri"/>
        <family val="2"/>
      </rPr>
      <t>Today, on September 30th, 2026, both parties confirm the meal quantities and payment amount for September 2026 as follows:</t>
    </r>
  </si>
  <si>
    <r>
      <t xml:space="preserve">1. CHI TIẾT SỐ LƯỢNG SUẤT ĂN / </t>
    </r>
    <r>
      <rPr>
        <b/>
        <i/>
        <sz val="12"/>
        <color theme="1"/>
        <rFont val="Calibri"/>
        <family val="2"/>
      </rPr>
      <t>MEAL QUANTITY DETAILS</t>
    </r>
  </si>
  <si>
    <r>
      <t xml:space="preserve">Expat Meals
</t>
    </r>
    <r>
      <rPr>
        <i/>
        <sz val="12"/>
        <color theme="1"/>
        <rFont val="Calibri"/>
        <family val="2"/>
      </rPr>
      <t>Cơm chuyên gia Trung Quốc</t>
    </r>
  </si>
  <si>
    <r>
      <t xml:space="preserve">Vietnamese Meals
</t>
    </r>
    <r>
      <rPr>
        <i/>
        <sz val="12"/>
        <color theme="1"/>
        <rFont val="Calibri"/>
        <family val="2"/>
      </rPr>
      <t>Cơm người Việt</t>
    </r>
  </si>
  <si>
    <r>
      <t xml:space="preserve">Total Meals per day
</t>
    </r>
    <r>
      <rPr>
        <i/>
        <sz val="12"/>
        <color theme="1"/>
        <rFont val="Calibri"/>
        <family val="2"/>
      </rPr>
      <t>Tổng phần ăn</t>
    </r>
  </si>
  <si>
    <r>
      <t xml:space="preserve">2. XÁC NHẬN GIÁ TRỊ THANH TOÁN / </t>
    </r>
    <r>
      <rPr>
        <b/>
        <i/>
        <sz val="12"/>
        <color theme="1"/>
        <rFont val="Calibri"/>
        <family val="2"/>
      </rPr>
      <t>PAYMENT VALUE CONFIRMATION</t>
    </r>
  </si>
  <si>
    <r>
      <t xml:space="preserve">Vietnamese Meals
</t>
    </r>
    <r>
      <rPr>
        <i/>
        <sz val="12"/>
        <color theme="1"/>
        <rFont val="Calibri"/>
        <family val="2"/>
      </rPr>
      <t>( Shift 1, Nomal, Overtime, and Shift 2)</t>
    </r>
  </si>
  <si>
    <r>
      <t xml:space="preserve">Hai bên thống nhất xác nhận số liệu nêu trên là căn cứ để Bên cung cấp lập hóa đơn và thực hiện thủ tục thanh toán theo Hợp đồng đã ký kết.
</t>
    </r>
    <r>
      <rPr>
        <i/>
        <sz val="12"/>
        <color theme="1"/>
        <rFont val="Calibri"/>
        <family val="2"/>
      </rPr>
      <t>Both parties agree that the above figures shall serve as the basis for the Supplier to issue the invoice and proceed with payment procedures in accordance with the signed Contract.</t>
    </r>
  </si>
  <si>
    <t>Tổng phần hoàn
Dầu Giây (VN)</t>
  </si>
  <si>
    <t>Tổng phần hoàn
Dầu Giây (TQ)</t>
  </si>
  <si>
    <t>(blank)</t>
  </si>
  <si>
    <t>Dầu Giây</t>
  </si>
  <si>
    <t>Nguyễn Thị Ngọc Nữ</t>
  </si>
  <si>
    <t>Trần Minh Thiện</t>
  </si>
  <si>
    <t>Trần Thị Oanh Đào</t>
  </si>
  <si>
    <t>Nguyễn Minh Lâm</t>
  </si>
  <si>
    <t>Nguyễn Ngọc Quỳnh Như</t>
  </si>
  <si>
    <t>Nguyễn Văn Duyên</t>
  </si>
  <si>
    <t>Trần Minh Kim</t>
  </si>
  <si>
    <t>Phan Huynh Ngọc Diễm</t>
  </si>
  <si>
    <t>Lê Đức Quyền</t>
  </si>
  <si>
    <t>Nguyễn Văn Thông</t>
  </si>
  <si>
    <t>Lê Phạm Như Quỳnh</t>
  </si>
  <si>
    <t>Trương Vũ Thiên Nhi</t>
  </si>
  <si>
    <t>Phạm Anh Vũ</t>
  </si>
  <si>
    <t>Bùi Vũ Bảo Trâm</t>
  </si>
  <si>
    <t>Thòng Hoàng Long</t>
  </si>
  <si>
    <t>Trần Hoài Yến Nhi</t>
  </si>
  <si>
    <t>Phạm Thị Thuỳ Tiên</t>
  </si>
  <si>
    <t>Võ Minh Đạt</t>
  </si>
  <si>
    <t>Đõ Lệ Ngọc</t>
  </si>
  <si>
    <t>Diệu Ngọc</t>
  </si>
  <si>
    <t>Huỳnh Khang Duy</t>
  </si>
  <si>
    <t>Trần Minh Hiếu</t>
  </si>
  <si>
    <t>Phạm Song Quý</t>
  </si>
  <si>
    <t>Đỗ Đông Đức</t>
  </si>
  <si>
    <t>Nguyễn Ngân</t>
  </si>
  <si>
    <t>Nguyễn Đức Ân</t>
  </si>
  <si>
    <t>Phạm Quan Thái</t>
  </si>
  <si>
    <t>Trần Kim Hải</t>
  </si>
  <si>
    <t>Lý Văn Trung</t>
  </si>
  <si>
    <t>Security</t>
  </si>
  <si>
    <t>HHVCV</t>
  </si>
  <si>
    <t>Shipping fee</t>
  </si>
  <si>
    <t>PRIOVOT Dầu Giây Sáng</t>
  </si>
  <si>
    <t>PRIOVOT Dầu Giây Chiều</t>
  </si>
  <si>
    <t>PRIOVOT VCV Sáng</t>
  </si>
  <si>
    <t>PRIOVOT VCV Chiều</t>
  </si>
  <si>
    <t xml:space="preserve">ZHANG LANG XING </t>
  </si>
  <si>
    <t xml:space="preserve">ZHANG FANXING </t>
  </si>
  <si>
    <t xml:space="preserve">ZHANG CHUMING </t>
  </si>
  <si>
    <t xml:space="preserve">ZHANG WEXING </t>
  </si>
  <si>
    <t xml:space="preserve">MA JIANJIE </t>
  </si>
  <si>
    <t xml:space="preserve">WANG GUANRONG </t>
  </si>
  <si>
    <t xml:space="preserve">HU ZONG </t>
  </si>
  <si>
    <t xml:space="preserve">LU CHANG XI </t>
  </si>
  <si>
    <t>Cơm tăng Ca - TQ</t>
  </si>
  <si>
    <t>Tổng hoàn</t>
  </si>
  <si>
    <t xml:space="preserve">backup </t>
  </si>
  <si>
    <t>Nguyễn Minh Phụng</t>
  </si>
  <si>
    <t>Tổng cộng</t>
  </si>
  <si>
    <t>Danh Anh Khoa</t>
  </si>
  <si>
    <r>
      <t xml:space="preserve">Expat Meals - Overtime
</t>
    </r>
    <r>
      <rPr>
        <i/>
        <sz val="12"/>
        <color theme="1"/>
        <rFont val="Calibri"/>
        <family val="2"/>
      </rPr>
      <t>Cơm chuyên gia Trung Quốc - Tăng ca</t>
    </r>
  </si>
  <si>
    <r>
      <t xml:space="preserve">Shift 1+ Nomal Meals
</t>
    </r>
    <r>
      <rPr>
        <i/>
        <sz val="12"/>
        <color theme="1"/>
        <rFont val="Calibri"/>
        <family val="2"/>
      </rPr>
      <t>Cơm ca 1 + Cơm hành chính</t>
    </r>
  </si>
  <si>
    <r>
      <t xml:space="preserve">Shift 2 Meals 
</t>
    </r>
    <r>
      <rPr>
        <i/>
        <sz val="12"/>
        <color theme="1"/>
        <rFont val="Calibri"/>
        <family val="2"/>
      </rPr>
      <t>Cơm ca 2</t>
    </r>
  </si>
  <si>
    <r>
      <t xml:space="preserve">Overtime Meals
</t>
    </r>
    <r>
      <rPr>
        <i/>
        <sz val="12"/>
        <color theme="1"/>
        <rFont val="Calibri"/>
        <family val="2"/>
      </rPr>
      <t>Cơm tăng 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</si>
</sst>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 #,##0_-;_-* &quot;-&quot;??_-;_-@_-"/>
    <numFmt numFmtId="165" formatCode="[$-1010000]d/m/yyyy;@"/>
    <numFmt numFmtId="166" formatCode="dd/mm/yyyy"/>
  </numFmts>
  <fonts count="46" x14ac:knownFonts="1">
    <font>
      <sz val="11"/>
      <color theme="1"/>
      <name val="Arial"/>
      <charset val="163"/>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2"/>
      <color theme="1"/>
      <name val="Arial"/>
      <family val="2"/>
      <scheme val="minor"/>
    </font>
    <font>
      <sz val="12"/>
      <color theme="1"/>
      <name val="Arial"/>
      <family val="2"/>
      <scheme val="minor"/>
    </font>
    <font>
      <sz val="12"/>
      <color theme="1"/>
      <name val="Arial"/>
      <family val="2"/>
      <scheme val="minor"/>
    </font>
    <font>
      <b/>
      <sz val="12"/>
      <color theme="0"/>
      <name val="Calibri"/>
      <family val="2"/>
    </font>
    <font>
      <b/>
      <sz val="12"/>
      <color theme="1"/>
      <name val="Arial"/>
      <family val="2"/>
      <scheme val="minor"/>
    </font>
    <font>
      <b/>
      <sz val="12"/>
      <color theme="1"/>
      <name val="Calibri"/>
      <family val="2"/>
    </font>
    <font>
      <b/>
      <sz val="12"/>
      <color rgb="FFFF0000"/>
      <name val="Arial"/>
      <family val="2"/>
      <scheme val="minor"/>
    </font>
    <font>
      <b/>
      <sz val="10"/>
      <color theme="0"/>
      <name val="Calibri"/>
      <family val="2"/>
    </font>
    <font>
      <sz val="10"/>
      <name val="Calibri"/>
      <family val="2"/>
    </font>
    <font>
      <sz val="11"/>
      <color theme="1"/>
      <name val="Calibri"/>
      <family val="2"/>
    </font>
    <font>
      <sz val="12"/>
      <color theme="1"/>
      <name val="Calibri"/>
      <family val="2"/>
    </font>
    <font>
      <sz val="10"/>
      <color theme="1"/>
      <name val="Calibri"/>
      <family val="2"/>
    </font>
    <font>
      <b/>
      <sz val="12"/>
      <color rgb="FFFF0000"/>
      <name val="Calibri"/>
      <family val="2"/>
    </font>
    <font>
      <sz val="10"/>
      <color rgb="FF000000"/>
      <name val="Calibri"/>
      <family val="2"/>
    </font>
    <font>
      <sz val="10"/>
      <color theme="1"/>
      <name val="Arial"/>
      <family val="2"/>
      <scheme val="minor"/>
    </font>
    <font>
      <sz val="11"/>
      <color theme="1"/>
      <name val="Arial"/>
      <family val="2"/>
    </font>
    <font>
      <b/>
      <sz val="11"/>
      <color theme="1"/>
      <name val="Arial"/>
      <family val="2"/>
      <scheme val="minor"/>
    </font>
    <font>
      <sz val="11"/>
      <color theme="1"/>
      <name val="Arial"/>
      <family val="2"/>
      <scheme val="minor"/>
    </font>
    <font>
      <sz val="12"/>
      <color theme="1"/>
      <name val="Arial"/>
      <family val="2"/>
      <scheme val="minor"/>
    </font>
    <font>
      <sz val="12"/>
      <color theme="1"/>
      <name val="Times New Roman"/>
      <family val="1"/>
    </font>
    <font>
      <sz val="10"/>
      <color rgb="FF000000"/>
      <name val="Arial"/>
      <family val="2"/>
      <scheme val="minor"/>
    </font>
    <font>
      <sz val="11"/>
      <color theme="1"/>
      <name val="Arial"/>
      <family val="2"/>
      <scheme val="minor"/>
    </font>
    <font>
      <sz val="11"/>
      <color rgb="FF006100"/>
      <name val="Arial"/>
      <family val="2"/>
      <scheme val="minor"/>
    </font>
    <font>
      <sz val="11"/>
      <color theme="1"/>
      <name val="Arial"/>
      <family val="2"/>
      <scheme val="minor"/>
    </font>
    <font>
      <b/>
      <sz val="9"/>
      <name val="Tahoma"/>
      <family val="2"/>
    </font>
    <font>
      <sz val="9"/>
      <name val="Tahoma"/>
      <family val="2"/>
    </font>
    <font>
      <sz val="11"/>
      <color theme="1"/>
      <name val="Arial"/>
      <family val="2"/>
      <scheme val="minor"/>
    </font>
    <font>
      <sz val="12"/>
      <color theme="1"/>
      <name val="Arial"/>
      <family val="2"/>
      <charset val="163"/>
      <scheme val="minor"/>
    </font>
    <font>
      <sz val="11"/>
      <color theme="1"/>
      <name val="Arial"/>
      <family val="2"/>
      <scheme val="minor"/>
    </font>
    <font>
      <b/>
      <sz val="16"/>
      <color theme="1"/>
      <name val="Calibri"/>
      <family val="2"/>
    </font>
    <font>
      <b/>
      <i/>
      <sz val="16"/>
      <color theme="1"/>
      <name val="Calibri"/>
      <family val="2"/>
    </font>
    <font>
      <i/>
      <sz val="12"/>
      <color theme="1"/>
      <name val="Calibri"/>
      <family val="2"/>
    </font>
    <font>
      <b/>
      <i/>
      <sz val="12"/>
      <color theme="1"/>
      <name val="Calibri"/>
      <family val="2"/>
    </font>
    <font>
      <b/>
      <sz val="16"/>
      <color rgb="FFFF0000"/>
      <name val="Calibri"/>
      <family val="2"/>
    </font>
    <font>
      <b/>
      <sz val="11"/>
      <color theme="1"/>
      <name val="Arial"/>
      <family val="2"/>
      <scheme val="minor"/>
    </font>
    <font>
      <b/>
      <sz val="24"/>
      <color theme="1"/>
      <name val="Calibri"/>
      <family val="2"/>
    </font>
    <font>
      <b/>
      <sz val="11"/>
      <color theme="0"/>
      <name val="Calibri"/>
      <family val="2"/>
    </font>
    <font>
      <b/>
      <sz val="14"/>
      <color theme="1"/>
      <name val="Calibri"/>
      <family val="2"/>
    </font>
  </fonts>
  <fills count="12">
    <fill>
      <patternFill patternType="none"/>
    </fill>
    <fill>
      <patternFill patternType="gray125"/>
    </fill>
    <fill>
      <patternFill patternType="solid">
        <fgColor theme="3" tint="0.499984740745262"/>
        <bgColor indexed="64"/>
      </patternFill>
    </fill>
    <fill>
      <patternFill patternType="solid">
        <fgColor rgb="FF0070C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C6EFCE"/>
        <bgColor indexed="64"/>
      </patternFill>
    </fill>
    <fill>
      <patternFill patternType="solid">
        <fgColor theme="3" tint="0.89999084444715716"/>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4" tint="0.79998168889431442"/>
        <bgColor theme="4" tint="0.79998168889431442"/>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style="thin">
        <color auto="1"/>
      </left>
      <right style="thin">
        <color auto="1"/>
      </right>
      <top/>
      <bottom/>
      <diagonal/>
    </border>
  </borders>
  <cellStyleXfs count="50">
    <xf numFmtId="0" fontId="0" fillId="0" borderId="0"/>
    <xf numFmtId="43" fontId="34" fillId="0" borderId="0" applyFont="0" applyFill="0" applyBorder="0" applyAlignment="0" applyProtection="0"/>
    <xf numFmtId="41" fontId="34" fillId="0" borderId="0" applyFont="0" applyFill="0" applyBorder="0" applyAlignment="0" applyProtection="0"/>
    <xf numFmtId="0" fontId="25" fillId="0" borderId="0"/>
    <xf numFmtId="0" fontId="25" fillId="0" borderId="0"/>
    <xf numFmtId="43" fontId="26" fillId="0" borderId="0" applyFont="0" applyFill="0" applyBorder="0" applyAlignment="0" applyProtection="0"/>
    <xf numFmtId="0" fontId="25" fillId="0" borderId="0"/>
    <xf numFmtId="0" fontId="25" fillId="0" borderId="0"/>
    <xf numFmtId="0" fontId="27" fillId="0" borderId="0"/>
    <xf numFmtId="0" fontId="28" fillId="0" borderId="0"/>
    <xf numFmtId="0" fontId="29" fillId="0" borderId="0"/>
    <xf numFmtId="0" fontId="29" fillId="0" borderId="0"/>
    <xf numFmtId="0" fontId="25" fillId="0" borderId="0"/>
    <xf numFmtId="0" fontId="29" fillId="0" borderId="0"/>
    <xf numFmtId="0" fontId="25" fillId="0" borderId="0"/>
    <xf numFmtId="0" fontId="29" fillId="0" borderId="0"/>
    <xf numFmtId="0" fontId="25" fillId="0" borderId="0"/>
    <xf numFmtId="0" fontId="29" fillId="0" borderId="0"/>
    <xf numFmtId="0" fontId="25" fillId="0" borderId="0"/>
    <xf numFmtId="0" fontId="29" fillId="0" borderId="0"/>
    <xf numFmtId="0" fontId="25" fillId="0" borderId="0"/>
    <xf numFmtId="0" fontId="25" fillId="0" borderId="0"/>
    <xf numFmtId="0" fontId="25" fillId="0" borderId="0"/>
    <xf numFmtId="0" fontId="25" fillId="0" borderId="0"/>
    <xf numFmtId="0" fontId="29" fillId="0" borderId="0"/>
    <xf numFmtId="0" fontId="25" fillId="0" borderId="0"/>
    <xf numFmtId="0" fontId="25" fillId="0" borderId="0">
      <alignment vertical="center"/>
    </xf>
    <xf numFmtId="0" fontId="25" fillId="0" borderId="0">
      <alignment vertical="center"/>
    </xf>
    <xf numFmtId="0" fontId="29" fillId="0" borderId="0"/>
    <xf numFmtId="0" fontId="25" fillId="0" borderId="0"/>
    <xf numFmtId="0" fontId="29" fillId="0" borderId="0"/>
    <xf numFmtId="0" fontId="25" fillId="0" borderId="0"/>
    <xf numFmtId="0" fontId="29" fillId="0" borderId="0"/>
    <xf numFmtId="0" fontId="25" fillId="0" borderId="0"/>
    <xf numFmtId="0" fontId="29" fillId="0" borderId="0"/>
    <xf numFmtId="0" fontId="25" fillId="0" borderId="0"/>
    <xf numFmtId="0" fontId="26" fillId="0" borderId="0"/>
    <xf numFmtId="0" fontId="25" fillId="0" borderId="0"/>
    <xf numFmtId="0" fontId="29" fillId="0" borderId="0"/>
    <xf numFmtId="0" fontId="29" fillId="0" borderId="0"/>
    <xf numFmtId="0" fontId="25" fillId="0" borderId="0"/>
    <xf numFmtId="0" fontId="30" fillId="6" borderId="0" applyNumberFormat="0" applyBorder="0" applyAlignment="0" applyProtection="0"/>
    <xf numFmtId="0" fontId="31" fillId="0" borderId="0">
      <alignment vertical="center"/>
    </xf>
    <xf numFmtId="0" fontId="25" fillId="0" borderId="0">
      <alignment vertical="center"/>
    </xf>
    <xf numFmtId="0" fontId="36" fillId="0" borderId="0"/>
    <xf numFmtId="0" fontId="7" fillId="0" borderId="0"/>
    <xf numFmtId="0" fontId="7" fillId="0" borderId="0">
      <alignment vertical="center"/>
    </xf>
    <xf numFmtId="0" fontId="6" fillId="0" borderId="0"/>
    <xf numFmtId="0" fontId="5" fillId="0" borderId="0"/>
    <xf numFmtId="0" fontId="5" fillId="0" borderId="0">
      <alignment vertical="center"/>
    </xf>
  </cellStyleXfs>
  <cellXfs count="116">
    <xf numFmtId="0" fontId="0" fillId="0" borderId="0" xfId="0"/>
    <xf numFmtId="41" fontId="0" fillId="0" borderId="0" xfId="0" applyNumberFormat="1"/>
    <xf numFmtId="41" fontId="10" fillId="0" borderId="0" xfId="0" applyNumberFormat="1" applyFont="1"/>
    <xf numFmtId="0" fontId="10" fillId="0" borderId="0" xfId="0" applyFont="1" applyAlignment="1">
      <alignment horizontal="center"/>
    </xf>
    <xf numFmtId="0" fontId="0" fillId="0" borderId="0" xfId="0" applyAlignment="1">
      <alignment horizontal="left"/>
    </xf>
    <xf numFmtId="0" fontId="10" fillId="0" borderId="0" xfId="0" applyFont="1"/>
    <xf numFmtId="0" fontId="10" fillId="0" borderId="0" xfId="0" applyFont="1" applyAlignment="1">
      <alignment horizontal="left"/>
    </xf>
    <xf numFmtId="165" fontId="11" fillId="3" borderId="5" xfId="8" applyNumberFormat="1" applyFont="1" applyFill="1" applyBorder="1" applyAlignment="1">
      <alignment horizontal="right" vertical="center"/>
    </xf>
    <xf numFmtId="0" fontId="12" fillId="4" borderId="0" xfId="0" applyFont="1" applyFill="1"/>
    <xf numFmtId="41" fontId="13" fillId="4" borderId="0" xfId="2" applyFont="1" applyFill="1" applyBorder="1" applyAlignment="1">
      <alignment horizontal="left" vertical="center" wrapText="1"/>
    </xf>
    <xf numFmtId="41" fontId="10" fillId="0" borderId="0" xfId="2" applyFont="1" applyAlignment="1">
      <alignment horizontal="left"/>
    </xf>
    <xf numFmtId="0" fontId="14" fillId="0" borderId="0" xfId="0" applyFont="1"/>
    <xf numFmtId="41" fontId="14" fillId="0" borderId="0" xfId="2" applyFont="1" applyAlignment="1">
      <alignment horizontal="left"/>
    </xf>
    <xf numFmtId="41" fontId="8" fillId="0" borderId="0" xfId="2" applyFont="1" applyAlignment="1">
      <alignment horizontal="left"/>
    </xf>
    <xf numFmtId="0" fontId="15" fillId="3" borderId="6" xfId="0" applyFont="1" applyFill="1" applyBorder="1" applyAlignment="1">
      <alignment horizontal="center" vertical="center" wrapText="1"/>
    </xf>
    <xf numFmtId="0" fontId="15" fillId="3" borderId="6" xfId="0" applyFont="1" applyFill="1" applyBorder="1" applyAlignment="1">
      <alignment horizontal="left" vertical="center" wrapText="1"/>
    </xf>
    <xf numFmtId="0" fontId="11" fillId="3" borderId="6" xfId="0" applyFont="1" applyFill="1" applyBorder="1" applyAlignment="1">
      <alignment horizontal="center" vertical="center" wrapText="1"/>
    </xf>
    <xf numFmtId="3" fontId="11" fillId="3" borderId="6" xfId="0" applyNumberFormat="1" applyFont="1" applyFill="1" applyBorder="1" applyAlignment="1">
      <alignment horizontal="center" vertical="center" wrapText="1"/>
    </xf>
    <xf numFmtId="3" fontId="11" fillId="3" borderId="7" xfId="0" applyNumberFormat="1" applyFont="1" applyFill="1" applyBorder="1" applyAlignment="1">
      <alignment horizontal="center" vertical="center" wrapText="1"/>
    </xf>
    <xf numFmtId="0" fontId="16" fillId="0" borderId="1" xfId="0" applyFont="1" applyBorder="1" applyAlignment="1">
      <alignment horizontal="center" vertical="center"/>
    </xf>
    <xf numFmtId="0" fontId="17" fillId="0" borderId="1" xfId="0" applyFont="1" applyBorder="1"/>
    <xf numFmtId="0" fontId="10" fillId="0" borderId="1" xfId="0" applyFont="1" applyBorder="1"/>
    <xf numFmtId="0" fontId="18" fillId="0" borderId="0" xfId="0" applyFont="1"/>
    <xf numFmtId="0" fontId="0" fillId="0" borderId="1" xfId="0" applyBorder="1" applyAlignment="1">
      <alignment horizontal="left"/>
    </xf>
    <xf numFmtId="0" fontId="16" fillId="0" borderId="0" xfId="0" applyFont="1" applyAlignment="1">
      <alignment horizontal="center" vertical="center"/>
    </xf>
    <xf numFmtId="0" fontId="16" fillId="0" borderId="8" xfId="0" applyFont="1" applyBorder="1" applyAlignment="1">
      <alignment horizontal="center" vertical="center"/>
    </xf>
    <xf numFmtId="0" fontId="17" fillId="0" borderId="0" xfId="0" applyFont="1"/>
    <xf numFmtId="0" fontId="18" fillId="0" borderId="0" xfId="0" applyFont="1" applyAlignment="1">
      <alignment horizontal="center"/>
    </xf>
    <xf numFmtId="0" fontId="19" fillId="0" borderId="0" xfId="0" applyFont="1" applyAlignment="1">
      <alignment horizontal="left"/>
    </xf>
    <xf numFmtId="0" fontId="18" fillId="0" borderId="0" xfId="0" applyFont="1" applyAlignment="1">
      <alignment horizontal="left"/>
    </xf>
    <xf numFmtId="0" fontId="13" fillId="4" borderId="0" xfId="0" applyFont="1" applyFill="1"/>
    <xf numFmtId="0" fontId="13" fillId="0" borderId="0" xfId="0" applyFont="1"/>
    <xf numFmtId="41" fontId="18" fillId="0" borderId="0" xfId="2" applyFont="1" applyAlignment="1">
      <alignment horizontal="left"/>
    </xf>
    <xf numFmtId="0" fontId="20" fillId="0" borderId="0" xfId="0" applyFont="1"/>
    <xf numFmtId="41" fontId="20" fillId="0" borderId="0" xfId="2" applyFont="1" applyAlignment="1">
      <alignment horizontal="left"/>
    </xf>
    <xf numFmtId="41" fontId="13" fillId="0" borderId="0" xfId="2" applyFont="1" applyAlignment="1">
      <alignment horizontal="left"/>
    </xf>
    <xf numFmtId="41" fontId="13" fillId="0" borderId="0" xfId="2" applyFont="1" applyAlignment="1">
      <alignment horizontal="left" vertical="top"/>
    </xf>
    <xf numFmtId="41" fontId="18" fillId="0" borderId="0" xfId="0" applyNumberFormat="1" applyFont="1"/>
    <xf numFmtId="0" fontId="19" fillId="0" borderId="1" xfId="0" applyFont="1" applyBorder="1" applyAlignment="1">
      <alignment horizontal="left"/>
    </xf>
    <xf numFmtId="0" fontId="18" fillId="0" borderId="1" xfId="0" applyFont="1" applyBorder="1"/>
    <xf numFmtId="14" fontId="18" fillId="0" borderId="1" xfId="0" applyNumberFormat="1" applyFont="1" applyBorder="1"/>
    <xf numFmtId="0" fontId="21" fillId="0" borderId="1" xfId="0" applyFont="1" applyBorder="1" applyAlignment="1">
      <alignment vertical="center"/>
    </xf>
    <xf numFmtId="0" fontId="22" fillId="0" borderId="1" xfId="0" applyFont="1" applyBorder="1" applyAlignment="1">
      <alignment vertical="center"/>
    </xf>
    <xf numFmtId="0" fontId="16" fillId="0" borderId="1" xfId="0" applyFont="1" applyBorder="1" applyAlignment="1">
      <alignment horizontal="left" vertical="center"/>
    </xf>
    <xf numFmtId="0" fontId="16" fillId="0" borderId="1" xfId="0" applyFont="1" applyBorder="1"/>
    <xf numFmtId="0" fontId="23" fillId="0" borderId="1" xfId="0" applyFont="1" applyBorder="1" applyAlignment="1">
      <alignment horizontal="left"/>
    </xf>
    <xf numFmtId="0" fontId="24" fillId="5" borderId="0" xfId="0" applyFont="1" applyFill="1"/>
    <xf numFmtId="0" fontId="0" fillId="0" borderId="0" xfId="0" pivotButton="1"/>
    <xf numFmtId="0" fontId="17" fillId="0" borderId="6" xfId="0" applyFont="1" applyBorder="1"/>
    <xf numFmtId="0" fontId="19" fillId="0" borderId="6" xfId="0" applyFont="1" applyBorder="1" applyAlignment="1">
      <alignment horizontal="left"/>
    </xf>
    <xf numFmtId="0" fontId="18" fillId="0" borderId="6" xfId="0" applyFont="1" applyBorder="1"/>
    <xf numFmtId="14" fontId="18" fillId="0" borderId="6" xfId="0" applyNumberFormat="1" applyFont="1" applyBorder="1"/>
    <xf numFmtId="0" fontId="9" fillId="0" borderId="0" xfId="0" applyFont="1"/>
    <xf numFmtId="0" fontId="9" fillId="0" borderId="0" xfId="0" applyFont="1" applyAlignment="1">
      <alignment horizontal="left"/>
    </xf>
    <xf numFmtId="0" fontId="35" fillId="0" borderId="0" xfId="0" applyFont="1" applyAlignment="1">
      <alignment horizontal="left"/>
    </xf>
    <xf numFmtId="0" fontId="35" fillId="0" borderId="0" xfId="0" applyFont="1"/>
    <xf numFmtId="14" fontId="24" fillId="0" borderId="0" xfId="0" applyNumberFormat="1" applyFont="1" applyAlignment="1">
      <alignment horizontal="center" vertical="center"/>
    </xf>
    <xf numFmtId="41" fontId="20" fillId="0" borderId="0" xfId="0" applyNumberFormat="1" applyFont="1"/>
    <xf numFmtId="14" fontId="24" fillId="8" borderId="0" xfId="0" applyNumberFormat="1" applyFont="1" applyFill="1" applyAlignment="1">
      <alignment horizontal="center" vertical="center"/>
    </xf>
    <xf numFmtId="0" fontId="4" fillId="0" borderId="0" xfId="0" applyFont="1"/>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0" fillId="0" borderId="12" xfId="0" applyBorder="1"/>
    <xf numFmtId="3" fontId="0" fillId="0" borderId="13" xfId="0" applyNumberFormat="1" applyBorder="1"/>
    <xf numFmtId="0" fontId="0" fillId="0" borderId="14" xfId="0" applyBorder="1"/>
    <xf numFmtId="0" fontId="0" fillId="0" borderId="15" xfId="0" applyBorder="1"/>
    <xf numFmtId="3" fontId="0" fillId="0" borderId="16" xfId="0" applyNumberFormat="1" applyBorder="1"/>
    <xf numFmtId="0" fontId="3" fillId="0" borderId="1" xfId="0" applyFont="1" applyBorder="1" applyAlignment="1">
      <alignment horizontal="left"/>
    </xf>
    <xf numFmtId="0" fontId="13" fillId="0" borderId="0" xfId="0" applyFont="1" applyAlignment="1">
      <alignment vertical="center"/>
    </xf>
    <xf numFmtId="0" fontId="13" fillId="7" borderId="1" xfId="0" applyFont="1" applyFill="1" applyBorder="1" applyAlignment="1">
      <alignment horizontal="center" vertical="center" wrapText="1"/>
    </xf>
    <xf numFmtId="41" fontId="18" fillId="0" borderId="1" xfId="0" applyNumberFormat="1" applyFont="1" applyBorder="1" applyAlignment="1">
      <alignment horizontal="center" vertical="center" wrapText="1"/>
    </xf>
    <xf numFmtId="41" fontId="18" fillId="0" borderId="1" xfId="0" applyNumberFormat="1" applyFont="1" applyBorder="1" applyAlignment="1">
      <alignment horizontal="center" vertical="top" wrapText="1"/>
    </xf>
    <xf numFmtId="0" fontId="11" fillId="2" borderId="1" xfId="0" applyFont="1" applyFill="1" applyBorder="1" applyAlignment="1">
      <alignment horizontal="center" wrapText="1"/>
    </xf>
    <xf numFmtId="41" fontId="13" fillId="0" borderId="1" xfId="2" applyFont="1" applyBorder="1" applyAlignment="1">
      <alignment horizontal="left" vertical="center" wrapText="1"/>
    </xf>
    <xf numFmtId="0" fontId="18" fillId="0" borderId="1" xfId="0" applyFont="1" applyBorder="1" applyAlignment="1">
      <alignment vertical="center" wrapText="1"/>
    </xf>
    <xf numFmtId="3" fontId="18" fillId="0" borderId="1" xfId="0" applyNumberFormat="1" applyFont="1" applyBorder="1" applyAlignment="1">
      <alignment horizontal="center" vertical="center" wrapText="1"/>
    </xf>
    <xf numFmtId="3" fontId="13" fillId="0" borderId="1" xfId="0" applyNumberFormat="1" applyFont="1" applyBorder="1" applyAlignment="1">
      <alignment horizontal="center" vertical="center" wrapText="1"/>
    </xf>
    <xf numFmtId="41" fontId="20" fillId="0" borderId="1" xfId="0" applyNumberFormat="1" applyFont="1" applyBorder="1"/>
    <xf numFmtId="0" fontId="13" fillId="9" borderId="1" xfId="0" applyFont="1" applyFill="1" applyBorder="1" applyAlignment="1">
      <alignment horizontal="center" vertical="center" wrapText="1"/>
    </xf>
    <xf numFmtId="41" fontId="2" fillId="0" borderId="0" xfId="0" applyNumberFormat="1" applyFont="1" applyAlignment="1">
      <alignment horizontal="left"/>
    </xf>
    <xf numFmtId="164" fontId="0" fillId="0" borderId="0" xfId="1" applyNumberFormat="1" applyFont="1"/>
    <xf numFmtId="0" fontId="24" fillId="10" borderId="0" xfId="0" applyFont="1" applyFill="1"/>
    <xf numFmtId="0" fontId="42" fillId="11" borderId="17" xfId="0" applyFont="1" applyFill="1" applyBorder="1" applyAlignment="1">
      <alignment horizontal="left"/>
    </xf>
    <xf numFmtId="41" fontId="41" fillId="8" borderId="1" xfId="0" applyNumberFormat="1" applyFont="1" applyFill="1" applyBorder="1" applyAlignment="1">
      <alignment vertical="center"/>
    </xf>
    <xf numFmtId="3" fontId="1" fillId="0" borderId="0" xfId="0" applyNumberFormat="1" applyFont="1"/>
    <xf numFmtId="166" fontId="18" fillId="0" borderId="1" xfId="0" applyNumberFormat="1" applyFont="1" applyBorder="1" applyAlignment="1">
      <alignment horizontal="center" vertical="center" wrapText="1"/>
    </xf>
    <xf numFmtId="41" fontId="17" fillId="0" borderId="0" xfId="0" applyNumberFormat="1" applyFont="1"/>
    <xf numFmtId="0" fontId="1" fillId="0" borderId="0" xfId="0" applyFont="1"/>
    <xf numFmtId="43" fontId="17" fillId="0" borderId="0" xfId="0" applyNumberFormat="1" applyFont="1"/>
    <xf numFmtId="0" fontId="43" fillId="0" borderId="0" xfId="0" applyFont="1" applyAlignment="1">
      <alignment vertical="center"/>
    </xf>
    <xf numFmtId="0" fontId="13" fillId="0" borderId="1" xfId="0" applyFont="1" applyBorder="1" applyAlignment="1">
      <alignment horizontal="center" vertical="center" wrapText="1"/>
    </xf>
    <xf numFmtId="41" fontId="17" fillId="0" borderId="1" xfId="0" applyNumberFormat="1" applyFont="1" applyBorder="1"/>
    <xf numFmtId="0" fontId="44" fillId="2" borderId="1" xfId="0" applyFont="1" applyFill="1" applyBorder="1" applyAlignment="1">
      <alignment horizontal="center" wrapText="1"/>
    </xf>
    <xf numFmtId="41" fontId="45" fillId="0" borderId="1" xfId="2" applyFont="1" applyBorder="1" applyAlignment="1">
      <alignment horizontal="left" vertical="center" wrapText="1"/>
    </xf>
    <xf numFmtId="3" fontId="17" fillId="0" borderId="0" xfId="0" applyNumberFormat="1" applyFont="1"/>
    <xf numFmtId="3" fontId="45"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0" fontId="18" fillId="0" borderId="1" xfId="0" applyFont="1" applyBorder="1" applyAlignment="1">
      <alignment horizontal="center"/>
    </xf>
    <xf numFmtId="164" fontId="18" fillId="0" borderId="1" xfId="1" applyNumberFormat="1" applyFont="1" applyBorder="1" applyAlignment="1">
      <alignment horizontal="center"/>
    </xf>
    <xf numFmtId="164" fontId="37" fillId="0" borderId="1" xfId="1" applyNumberFormat="1" applyFont="1" applyFill="1" applyBorder="1" applyAlignment="1">
      <alignment horizontal="center"/>
    </xf>
    <xf numFmtId="0" fontId="37" fillId="0" borderId="0" xfId="0" applyFont="1" applyAlignment="1">
      <alignment horizontal="center" vertical="center" wrapText="1"/>
    </xf>
    <xf numFmtId="0" fontId="37" fillId="0" borderId="0" xfId="0" applyFont="1" applyAlignment="1">
      <alignment horizontal="center" vertical="center"/>
    </xf>
    <xf numFmtId="0" fontId="18" fillId="0" borderId="0" xfId="0" applyFont="1" applyAlignment="1">
      <alignment horizontal="left" vertical="center" wrapText="1"/>
    </xf>
    <xf numFmtId="0" fontId="37" fillId="8" borderId="1" xfId="0" applyFont="1" applyFill="1" applyBorder="1" applyAlignment="1">
      <alignment horizontal="center" vertical="center"/>
    </xf>
    <xf numFmtId="0" fontId="13" fillId="0" borderId="0" xfId="0" applyFont="1" applyAlignment="1">
      <alignment horizontal="center"/>
    </xf>
    <xf numFmtId="41" fontId="37" fillId="0" borderId="6" xfId="0" applyNumberFormat="1" applyFont="1" applyBorder="1" applyAlignment="1">
      <alignment horizontal="center" vertical="center" wrapText="1"/>
    </xf>
    <xf numFmtId="41" fontId="37" fillId="0" borderId="18" xfId="0" applyNumberFormat="1" applyFont="1" applyBorder="1" applyAlignment="1">
      <alignment horizontal="center" vertical="center" wrapText="1"/>
    </xf>
    <xf numFmtId="41" fontId="37" fillId="0" borderId="8" xfId="0" applyNumberFormat="1" applyFont="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1" fillId="2" borderId="2" xfId="0" applyFont="1" applyFill="1" applyBorder="1" applyAlignment="1">
      <alignment horizontal="center"/>
    </xf>
    <xf numFmtId="0" fontId="11" fillId="2" borderId="3" xfId="0" applyFont="1" applyFill="1" applyBorder="1" applyAlignment="1">
      <alignment horizontal="center"/>
    </xf>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3" xfId="0" applyFont="1" applyFill="1" applyBorder="1" applyAlignment="1">
      <alignment horizontal="center" vertical="center"/>
    </xf>
  </cellXfs>
  <cellStyles count="50">
    <cellStyle name="Bình thường 2" xfId="3" xr:uid="{00000000-0005-0000-0000-000031000000}"/>
    <cellStyle name="Bình thường 3" xfId="4" xr:uid="{00000000-0005-0000-0000-000032000000}"/>
    <cellStyle name="Comma" xfId="1" builtinId="3"/>
    <cellStyle name="Comma [0]" xfId="2" builtinId="6"/>
    <cellStyle name="Comma 2" xfId="5" xr:uid="{00000000-0005-0000-0000-000033000000}"/>
    <cellStyle name="Normal" xfId="0" builtinId="0"/>
    <cellStyle name="Normal 10" xfId="6" xr:uid="{00000000-0005-0000-0000-000034000000}"/>
    <cellStyle name="Normal 11" xfId="7" xr:uid="{00000000-0005-0000-0000-000035000000}"/>
    <cellStyle name="Normal 12" xfId="44" xr:uid="{964C1D50-07F6-41E3-A9F1-82A5CBFEC9AC}"/>
    <cellStyle name="Normal 13" xfId="47" xr:uid="{602882D2-11BA-491D-8A86-E39F6C47B2E4}"/>
    <cellStyle name="Normal 2" xfId="8" xr:uid="{00000000-0005-0000-0000-000036000000}"/>
    <cellStyle name="Normal 2 2" xfId="9" xr:uid="{00000000-0005-0000-0000-000037000000}"/>
    <cellStyle name="Normal 3" xfId="10" xr:uid="{00000000-0005-0000-0000-000038000000}"/>
    <cellStyle name="Normal 3 10" xfId="48" xr:uid="{4253E783-B89A-4E2A-A7DF-023A93255B81}"/>
    <cellStyle name="Normal 3 2" xfId="11" xr:uid="{00000000-0005-0000-0000-000039000000}"/>
    <cellStyle name="Normal 3 2 2" xfId="12" xr:uid="{00000000-0005-0000-0000-00003A000000}"/>
    <cellStyle name="Normal 3 3" xfId="13" xr:uid="{00000000-0005-0000-0000-00003B000000}"/>
    <cellStyle name="Normal 3 3 2" xfId="14" xr:uid="{00000000-0005-0000-0000-00003C000000}"/>
    <cellStyle name="Normal 3 4" xfId="15" xr:uid="{00000000-0005-0000-0000-00003D000000}"/>
    <cellStyle name="Normal 3 4 2" xfId="16" xr:uid="{00000000-0005-0000-0000-00003E000000}"/>
    <cellStyle name="Normal 3 5" xfId="17" xr:uid="{00000000-0005-0000-0000-00003F000000}"/>
    <cellStyle name="Normal 3 5 2" xfId="18" xr:uid="{00000000-0005-0000-0000-000040000000}"/>
    <cellStyle name="Normal 3 6" xfId="19" xr:uid="{00000000-0005-0000-0000-000041000000}"/>
    <cellStyle name="Normal 3 6 2" xfId="20" xr:uid="{00000000-0005-0000-0000-000042000000}"/>
    <cellStyle name="Normal 3 7" xfId="21" xr:uid="{00000000-0005-0000-0000-000043000000}"/>
    <cellStyle name="Normal 3 8" xfId="22" xr:uid="{00000000-0005-0000-0000-000044000000}"/>
    <cellStyle name="Normal 3 9" xfId="45" xr:uid="{A24C226F-4540-448C-8A4F-AC42E90DBE5B}"/>
    <cellStyle name="Normal 4" xfId="23" xr:uid="{00000000-0005-0000-0000-000045000000}"/>
    <cellStyle name="Normal 4 2" xfId="24" xr:uid="{00000000-0005-0000-0000-000046000000}"/>
    <cellStyle name="Normal 4 3" xfId="25" xr:uid="{00000000-0005-0000-0000-000047000000}"/>
    <cellStyle name="Normal 42" xfId="26" xr:uid="{00000000-0005-0000-0000-000048000000}"/>
    <cellStyle name="Normal 42 2" xfId="27" xr:uid="{00000000-0005-0000-0000-000049000000}"/>
    <cellStyle name="Normal 42 3" xfId="46" xr:uid="{DF16CF84-EFA9-4F75-A98A-188D0D0C5760}"/>
    <cellStyle name="Normal 42 4" xfId="49" xr:uid="{1F1AC5F0-629D-414A-99D5-CBF0CDD8E78B}"/>
    <cellStyle name="Normal 5" xfId="28" xr:uid="{00000000-0005-0000-0000-00004A000000}"/>
    <cellStyle name="Normal 5 2" xfId="29" xr:uid="{00000000-0005-0000-0000-00004B000000}"/>
    <cellStyle name="Normal 6" xfId="30" xr:uid="{00000000-0005-0000-0000-00004C000000}"/>
    <cellStyle name="Normal 6 2" xfId="31" xr:uid="{00000000-0005-0000-0000-00004D000000}"/>
    <cellStyle name="Normal 7" xfId="32" xr:uid="{00000000-0005-0000-0000-00004E000000}"/>
    <cellStyle name="Normal 7 2" xfId="33" xr:uid="{00000000-0005-0000-0000-00004F000000}"/>
    <cellStyle name="Normal 8" xfId="34" xr:uid="{00000000-0005-0000-0000-000050000000}"/>
    <cellStyle name="Normal 8 2" xfId="35" xr:uid="{00000000-0005-0000-0000-000051000000}"/>
    <cellStyle name="Normal 9" xfId="36" xr:uid="{00000000-0005-0000-0000-000052000000}"/>
    <cellStyle name="Normal 9 2" xfId="37" xr:uid="{00000000-0005-0000-0000-000053000000}"/>
    <cellStyle name="一般 2" xfId="38" xr:uid="{00000000-0005-0000-0000-000054000000}"/>
    <cellStyle name="一般 2 2" xfId="39" xr:uid="{00000000-0005-0000-0000-000055000000}"/>
    <cellStyle name="一般 2 3" xfId="40" xr:uid="{00000000-0005-0000-0000-000056000000}"/>
    <cellStyle name="好 2" xfId="41" xr:uid="{00000000-0005-0000-0000-000057000000}"/>
    <cellStyle name="常规 3" xfId="42" xr:uid="{00000000-0005-0000-0000-000058000000}"/>
    <cellStyle name="常规 3 2" xfId="43" xr:uid="{00000000-0005-0000-0000-000059000000}"/>
  </cellStyles>
  <dxfs count="1033">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CV\Downloads\First%20&amp;%20Last_20260909082124_export.xlsx" TargetMode="External"/><Relationship Id="rId1" Type="http://schemas.openxmlformats.org/officeDocument/2006/relationships/externalLinkPath" Target="file:///C:\Users\VCV\Downloads\First%20&amp;%20Last_20260909082124_expor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VCV\Downloads\First%20&amp;%20Last_20260910082145_export.xlsx" TargetMode="External"/><Relationship Id="rId1" Type="http://schemas.openxmlformats.org/officeDocument/2006/relationships/externalLinkPath" Target="file:///C:\Users\VCV\Downloads\First%20&amp;%20Last_20260910082145_expor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VCV\Downloads\B&#193;O%20C&#416;M%20H&#192;NG%20NG&#192;Y%2015.9.xlsx" TargetMode="External"/><Relationship Id="rId1" Type="http://schemas.openxmlformats.org/officeDocument/2006/relationships/externalLinkPath" Target="file:///C:\Users\VCV\Downloads\B&#193;O%20C&#416;M%20H&#192;NG%20NG&#192;Y%2015.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60909"/>
    </sheetNames>
    <sheetDataSet>
      <sheetData sheetId="0">
        <row r="3">
          <cell r="B3" t="str">
            <v>Lê Thị Hải</v>
          </cell>
          <cell r="C3" t="str">
            <v>VCV0103</v>
          </cell>
        </row>
        <row r="4">
          <cell r="B4" t="str">
            <v>Li WenQiang</v>
          </cell>
          <cell r="C4" t="str">
            <v>VCV0108</v>
          </cell>
        </row>
        <row r="5">
          <cell r="B5" t="str">
            <v>Nguyễn Thị Vân</v>
          </cell>
          <cell r="C5" t="str">
            <v>VCV0109</v>
          </cell>
        </row>
        <row r="6">
          <cell r="B6" t="str">
            <v>Nguyễn Thị Minh Hiền</v>
          </cell>
          <cell r="C6" t="str">
            <v>VCV0011</v>
          </cell>
        </row>
        <row r="7">
          <cell r="B7" t="str">
            <v>Phạm Thị Xuân Liễu</v>
          </cell>
          <cell r="C7" t="str">
            <v>VCV0111</v>
          </cell>
        </row>
        <row r="8">
          <cell r="B8" t="str">
            <v>Trần Văn Luyện</v>
          </cell>
          <cell r="C8" t="str">
            <v>VCV0113</v>
          </cell>
        </row>
        <row r="9">
          <cell r="B9" t="str">
            <v>Phạm Thị Hồng</v>
          </cell>
          <cell r="C9" t="str">
            <v>VCV0115</v>
          </cell>
        </row>
        <row r="10">
          <cell r="B10" t="str">
            <v>Nguyễn Văn Giang</v>
          </cell>
          <cell r="C10" t="str">
            <v>VCV0116</v>
          </cell>
        </row>
        <row r="11">
          <cell r="B11" t="str">
            <v>Nguyễn Kim Chi</v>
          </cell>
          <cell r="C11" t="str">
            <v>VCV0012</v>
          </cell>
        </row>
        <row r="12">
          <cell r="B12" t="str">
            <v>Nguyễn Thị Kim Thanh</v>
          </cell>
          <cell r="C12" t="str">
            <v>VCV0124</v>
          </cell>
        </row>
        <row r="13">
          <cell r="B13" t="str">
            <v>Ngô Thị Kim Thao</v>
          </cell>
          <cell r="C13" t="str">
            <v>VCV0133</v>
          </cell>
        </row>
        <row r="14">
          <cell r="B14" t="str">
            <v>Đặng Thị Nhân</v>
          </cell>
          <cell r="C14" t="str">
            <v>VCV0134</v>
          </cell>
        </row>
        <row r="15">
          <cell r="B15" t="str">
            <v>Lương Ngọc Cẩm Hà</v>
          </cell>
          <cell r="C15" t="str">
            <v>VCV0136</v>
          </cell>
        </row>
        <row r="16">
          <cell r="B16" t="str">
            <v>Kim Thanh Hiệp</v>
          </cell>
          <cell r="C16" t="str">
            <v>VCV0137</v>
          </cell>
        </row>
        <row r="17">
          <cell r="B17" t="str">
            <v>Lê Thị Lệ Quyên</v>
          </cell>
          <cell r="C17" t="str">
            <v>VCV0138</v>
          </cell>
        </row>
        <row r="18">
          <cell r="B18" t="str">
            <v>Phạm Thành Đạt</v>
          </cell>
          <cell r="C18" t="str">
            <v>VCV0140</v>
          </cell>
        </row>
        <row r="19">
          <cell r="B19" t="str">
            <v>Phan Thị Lục</v>
          </cell>
          <cell r="C19" t="str">
            <v>VCV0143</v>
          </cell>
        </row>
        <row r="20">
          <cell r="B20" t="str">
            <v>Lâm Thị Ra</v>
          </cell>
          <cell r="C20" t="str">
            <v>VCV0145</v>
          </cell>
        </row>
        <row r="21">
          <cell r="B21" t="str">
            <v>Thái Thị Mến</v>
          </cell>
          <cell r="C21" t="str">
            <v>VCV0148</v>
          </cell>
        </row>
        <row r="22">
          <cell r="B22" t="str">
            <v>Phạm Văn Khoai</v>
          </cell>
          <cell r="C22" t="str">
            <v>VCV0149</v>
          </cell>
        </row>
        <row r="23">
          <cell r="B23" t="str">
            <v>Nguyễn Thị Nghĩa</v>
          </cell>
          <cell r="C23" t="str">
            <v>VCV0154</v>
          </cell>
        </row>
        <row r="24">
          <cell r="B24" t="str">
            <v>Nguyễn Thị Ngọc Giàu</v>
          </cell>
          <cell r="C24" t="str">
            <v>VCV0156</v>
          </cell>
        </row>
        <row r="25">
          <cell r="B25" t="str">
            <v>Lê Thị Thu Hà</v>
          </cell>
          <cell r="C25" t="str">
            <v>VCV0157</v>
          </cell>
        </row>
        <row r="26">
          <cell r="B26" t="str">
            <v>Đinh Thị Giáng Xuân</v>
          </cell>
          <cell r="C26" t="str">
            <v>VCV0159</v>
          </cell>
        </row>
        <row r="27">
          <cell r="B27" t="str">
            <v>Nguyễn Trường Chính</v>
          </cell>
          <cell r="C27" t="str">
            <v>VCV0165</v>
          </cell>
        </row>
        <row r="28">
          <cell r="B28" t="str">
            <v>Trương Thị Đào</v>
          </cell>
          <cell r="C28" t="str">
            <v>VCV0166</v>
          </cell>
        </row>
        <row r="29">
          <cell r="B29" t="str">
            <v>Trương Kha Nhỉ</v>
          </cell>
          <cell r="C29" t="str">
            <v>VCV0167</v>
          </cell>
        </row>
        <row r="30">
          <cell r="B30" t="str">
            <v>Hà Thị Hồng</v>
          </cell>
          <cell r="C30" t="str">
            <v>VCV0169</v>
          </cell>
        </row>
        <row r="31">
          <cell r="B31" t="str">
            <v>Bùi Thị Thanh Liễu</v>
          </cell>
          <cell r="C31" t="str">
            <v>VCV0171</v>
          </cell>
        </row>
        <row r="32">
          <cell r="B32" t="str">
            <v>Vương Nhựt Lân</v>
          </cell>
          <cell r="C32" t="str">
            <v>VCV0018</v>
          </cell>
        </row>
        <row r="33">
          <cell r="B33" t="str">
            <v>Dương Thành Sang</v>
          </cell>
          <cell r="C33" t="str">
            <v>VCV0181</v>
          </cell>
        </row>
        <row r="34">
          <cell r="B34" t="str">
            <v>Phạm Văn Giang</v>
          </cell>
          <cell r="C34" t="str">
            <v>VCV0183</v>
          </cell>
        </row>
        <row r="35">
          <cell r="B35" t="str">
            <v>Nguyễn Văn Học</v>
          </cell>
          <cell r="C35" t="str">
            <v>VCV0184</v>
          </cell>
        </row>
        <row r="36">
          <cell r="B36" t="str">
            <v>Nguyễn Quốc Anh</v>
          </cell>
          <cell r="C36" t="str">
            <v>VCV0019</v>
          </cell>
        </row>
        <row r="37">
          <cell r="B37" t="str">
            <v>Triệu Minh Tiền</v>
          </cell>
          <cell r="C37" t="str">
            <v>VCV0193</v>
          </cell>
        </row>
        <row r="38">
          <cell r="B38" t="str">
            <v>Triệu Minh Tài</v>
          </cell>
          <cell r="C38" t="str">
            <v>VCV0194</v>
          </cell>
        </row>
        <row r="39">
          <cell r="B39" t="str">
            <v>Trần Thiện Duy</v>
          </cell>
          <cell r="C39" t="str">
            <v>VCV0195</v>
          </cell>
        </row>
        <row r="40">
          <cell r="B40" t="str">
            <v>Hồ Anh Khương</v>
          </cell>
          <cell r="C40" t="str">
            <v>VCV0196</v>
          </cell>
        </row>
        <row r="41">
          <cell r="B41" t="str">
            <v>Lã Công Trung</v>
          </cell>
          <cell r="C41" t="str">
            <v>VCV0198</v>
          </cell>
        </row>
        <row r="42">
          <cell r="B42" t="str">
            <v>Dương Thị Vy Thảo</v>
          </cell>
          <cell r="C42" t="str">
            <v>VCV0002</v>
          </cell>
        </row>
        <row r="43">
          <cell r="B43" t="str">
            <v>Hà Trung Dũng</v>
          </cell>
          <cell r="C43" t="str">
            <v>VCV0200</v>
          </cell>
        </row>
        <row r="44">
          <cell r="B44" t="str">
            <v>Đào Văn Tuyển</v>
          </cell>
          <cell r="C44" t="str">
            <v>VCV0201</v>
          </cell>
        </row>
        <row r="45">
          <cell r="B45" t="str">
            <v>Đặng Văn Long</v>
          </cell>
          <cell r="C45" t="str">
            <v>VCV0206</v>
          </cell>
        </row>
        <row r="46">
          <cell r="B46" t="str">
            <v>Phạm Văn Tuân</v>
          </cell>
          <cell r="C46" t="str">
            <v>VCV0208</v>
          </cell>
        </row>
        <row r="47">
          <cell r="B47" t="str">
            <v>Hoàng Thị Thảo</v>
          </cell>
          <cell r="C47" t="str">
            <v>VCV0209</v>
          </cell>
        </row>
        <row r="48">
          <cell r="B48" t="str">
            <v>Hu Wenge</v>
          </cell>
          <cell r="C48" t="str">
            <v>VCV0211</v>
          </cell>
        </row>
        <row r="49">
          <cell r="B49" t="str">
            <v>Xu Fang</v>
          </cell>
          <cell r="C49" t="str">
            <v>VCV0213</v>
          </cell>
        </row>
        <row r="50">
          <cell r="B50" t="str">
            <v>Dai Liuan</v>
          </cell>
          <cell r="C50" t="str">
            <v>VCV0217</v>
          </cell>
        </row>
        <row r="51">
          <cell r="B51" t="str">
            <v>Sun Baoyong</v>
          </cell>
          <cell r="C51" t="str">
            <v>VCV0219</v>
          </cell>
        </row>
        <row r="52">
          <cell r="B52" t="str">
            <v>Zheng Wanjun</v>
          </cell>
          <cell r="C52" t="str">
            <v>VCV0220</v>
          </cell>
        </row>
        <row r="53">
          <cell r="B53" t="str">
            <v>Yang Zhengxian</v>
          </cell>
          <cell r="C53" t="str">
            <v>VCV0222</v>
          </cell>
        </row>
        <row r="54">
          <cell r="B54" t="str">
            <v>Nguyễn Duy Luân</v>
          </cell>
          <cell r="C54" t="str">
            <v>VCV0228</v>
          </cell>
        </row>
        <row r="55">
          <cell r="B55" t="str">
            <v>Nguyễn Thị Chúc</v>
          </cell>
          <cell r="C55" t="str">
            <v>VCV0229</v>
          </cell>
        </row>
        <row r="56">
          <cell r="B56" t="str">
            <v>Tsần Phát Đạt</v>
          </cell>
          <cell r="C56" t="str">
            <v>VCV0231</v>
          </cell>
        </row>
        <row r="57">
          <cell r="B57" t="str">
            <v>Đoàn Thị Diễn</v>
          </cell>
          <cell r="C57" t="str">
            <v>VCV0237</v>
          </cell>
        </row>
        <row r="58">
          <cell r="B58" t="str">
            <v>Trần Văn Nguyên</v>
          </cell>
          <cell r="C58" t="str">
            <v>VCV0239</v>
          </cell>
        </row>
        <row r="59">
          <cell r="B59" t="str">
            <v>Huỳnh Thị Huyền Trang</v>
          </cell>
          <cell r="C59" t="str">
            <v>VCV0024</v>
          </cell>
        </row>
        <row r="60">
          <cell r="B60" t="str">
            <v>Lý Văn Chống</v>
          </cell>
          <cell r="C60" t="str">
            <v>VCV0244</v>
          </cell>
        </row>
        <row r="61">
          <cell r="B61" t="str">
            <v>Zhang Yi</v>
          </cell>
          <cell r="C61" t="str">
            <v>VCV0247</v>
          </cell>
        </row>
        <row r="62">
          <cell r="B62" t="str">
            <v>Phạm Thị Ngọc Diễm</v>
          </cell>
          <cell r="C62" t="str">
            <v>VCV0025</v>
          </cell>
        </row>
        <row r="63">
          <cell r="B63" t="str">
            <v>Ngô Thị Thùy Em</v>
          </cell>
          <cell r="C63" t="str">
            <v>VCV0251</v>
          </cell>
        </row>
        <row r="64">
          <cell r="B64" t="str">
            <v>Nguyễn Văn Thuần</v>
          </cell>
          <cell r="C64" t="str">
            <v>VCV0260</v>
          </cell>
        </row>
        <row r="65">
          <cell r="B65" t="str">
            <v>Phạm Thị Thu Trang</v>
          </cell>
          <cell r="C65" t="str">
            <v>VCV0265</v>
          </cell>
        </row>
        <row r="66">
          <cell r="B66" t="str">
            <v>Mai Huỳnh Phi Long</v>
          </cell>
          <cell r="C66" t="str">
            <v>VCV0266</v>
          </cell>
        </row>
        <row r="67">
          <cell r="B67" t="str">
            <v>Huỳnh Minh Hiếu</v>
          </cell>
          <cell r="C67" t="str">
            <v>VCV0267</v>
          </cell>
        </row>
        <row r="68">
          <cell r="B68" t="str">
            <v>Phạm Quỳnh Minh Quang</v>
          </cell>
          <cell r="C68" t="str">
            <v>VCV0268</v>
          </cell>
        </row>
        <row r="69">
          <cell r="B69" t="str">
            <v>Lê Trọng Thuận</v>
          </cell>
          <cell r="C69" t="str">
            <v>VCV0273</v>
          </cell>
        </row>
        <row r="70">
          <cell r="B70" t="str">
            <v>Bùi Long Phi</v>
          </cell>
          <cell r="C70" t="str">
            <v>VCV0028</v>
          </cell>
        </row>
        <row r="71">
          <cell r="B71" t="str">
            <v>Phạm Duy Nam</v>
          </cell>
          <cell r="C71" t="str">
            <v>VCV0283</v>
          </cell>
        </row>
        <row r="72">
          <cell r="B72" t="str">
            <v>Phạm Thị Lượng</v>
          </cell>
          <cell r="C72" t="str">
            <v>VCV0284</v>
          </cell>
        </row>
        <row r="73">
          <cell r="B73" t="str">
            <v>Trần Thị Thanh Thúy</v>
          </cell>
          <cell r="C73" t="str">
            <v>VCV0285</v>
          </cell>
        </row>
        <row r="74">
          <cell r="B74" t="str">
            <v>Đoàn Thị Thủy</v>
          </cell>
          <cell r="C74" t="str">
            <v>VCV0286</v>
          </cell>
        </row>
        <row r="75">
          <cell r="B75" t="str">
            <v>Hà Thị Hồng Năm</v>
          </cell>
          <cell r="C75" t="str">
            <v>VCV0287</v>
          </cell>
        </row>
        <row r="76">
          <cell r="B76" t="str">
            <v>Quan Huệ Phương</v>
          </cell>
          <cell r="C76" t="str">
            <v>VCV0289</v>
          </cell>
        </row>
        <row r="77">
          <cell r="B77" t="str">
            <v>Đoàn Thị Chút</v>
          </cell>
          <cell r="C77" t="str">
            <v>VCV0029</v>
          </cell>
        </row>
        <row r="78">
          <cell r="B78" t="str">
            <v>Trần Văn Long</v>
          </cell>
          <cell r="C78" t="str">
            <v>VCV0290</v>
          </cell>
        </row>
        <row r="79">
          <cell r="B79" t="str">
            <v>Trịnh Thị Bình</v>
          </cell>
          <cell r="C79" t="str">
            <v>VCV0291</v>
          </cell>
        </row>
        <row r="80">
          <cell r="B80" t="str">
            <v>Nguyễn Duy Phương</v>
          </cell>
          <cell r="C80" t="str">
            <v>VCV0294</v>
          </cell>
        </row>
        <row r="81">
          <cell r="B81" t="str">
            <v>Trần Thị Mỹ Tuyền</v>
          </cell>
          <cell r="C81" t="str">
            <v>VCV0295</v>
          </cell>
        </row>
        <row r="82">
          <cell r="B82" t="str">
            <v>Nguyễn Thị Kim Nga</v>
          </cell>
          <cell r="C82" t="str">
            <v>VCV0297</v>
          </cell>
        </row>
        <row r="83">
          <cell r="B83" t="str">
            <v>Ninh Xuân Trường</v>
          </cell>
          <cell r="C83" t="str">
            <v>VCV0299</v>
          </cell>
        </row>
        <row r="84">
          <cell r="B84" t="str">
            <v>Huỳnh Chinh Nhật Minh</v>
          </cell>
          <cell r="C84" t="str">
            <v>VCV0300</v>
          </cell>
        </row>
        <row r="85">
          <cell r="B85" t="str">
            <v>Lê Văn Bảo</v>
          </cell>
          <cell r="C85" t="str">
            <v>VCV0303</v>
          </cell>
        </row>
        <row r="86">
          <cell r="B86" t="str">
            <v>Song Shanping</v>
          </cell>
          <cell r="C86" t="str">
            <v>VCV0308</v>
          </cell>
        </row>
        <row r="87">
          <cell r="B87" t="str">
            <v>Lê Hữu Tấn</v>
          </cell>
          <cell r="C87" t="str">
            <v>VCV0309</v>
          </cell>
        </row>
        <row r="88">
          <cell r="B88" t="str">
            <v>Lâm Thị Mộng Thúy</v>
          </cell>
          <cell r="C88" t="str">
            <v>VCV0310</v>
          </cell>
        </row>
        <row r="89">
          <cell r="B89" t="str">
            <v>Nguyễn Thị Hải Đường</v>
          </cell>
          <cell r="C89" t="str">
            <v>VCV0311</v>
          </cell>
        </row>
        <row r="90">
          <cell r="B90" t="str">
            <v>Vũ Thị Thùy</v>
          </cell>
          <cell r="C90" t="str">
            <v>VCV0315</v>
          </cell>
        </row>
        <row r="91">
          <cell r="B91" t="str">
            <v>Nguyễn Ngọc Minh Châu</v>
          </cell>
          <cell r="C91" t="str">
            <v>VCV0316</v>
          </cell>
        </row>
        <row r="92">
          <cell r="B92" t="str">
            <v>Phạm Thị Lan</v>
          </cell>
          <cell r="C92" t="str">
            <v>VCV0317</v>
          </cell>
        </row>
        <row r="93">
          <cell r="B93" t="str">
            <v>Đỗ Thị Hạnh</v>
          </cell>
          <cell r="C93" t="str">
            <v>VCV0318</v>
          </cell>
        </row>
        <row r="94">
          <cell r="B94" t="str">
            <v>Dương Ngọc Sơn</v>
          </cell>
          <cell r="C94" t="str">
            <v>VCV0319</v>
          </cell>
        </row>
        <row r="95">
          <cell r="B95" t="str">
            <v>Nguyễn Thị Ngọc Trâm</v>
          </cell>
          <cell r="C95" t="str">
            <v>VCV0032</v>
          </cell>
        </row>
        <row r="96">
          <cell r="B96" t="str">
            <v>Đỗ Lệ Ngọc</v>
          </cell>
          <cell r="C96" t="str">
            <v>VCV0320</v>
          </cell>
        </row>
        <row r="97">
          <cell r="B97" t="str">
            <v>Nguyễn Văn Thi</v>
          </cell>
          <cell r="C97" t="str">
            <v>VCV0321</v>
          </cell>
        </row>
        <row r="98">
          <cell r="B98" t="str">
            <v>Phạm Thị Thanh Xuân</v>
          </cell>
          <cell r="C98" t="str">
            <v>VCV0322</v>
          </cell>
        </row>
        <row r="99">
          <cell r="B99" t="str">
            <v>Phan Văn Dần</v>
          </cell>
          <cell r="C99" t="str">
            <v>VCV0325</v>
          </cell>
        </row>
        <row r="100">
          <cell r="B100" t="str">
            <v>Trần Thị Hoa Ly</v>
          </cell>
          <cell r="C100" t="str">
            <v>VCV0328</v>
          </cell>
        </row>
        <row r="101">
          <cell r="B101" t="str">
            <v>Nguyễn Phương Thanh</v>
          </cell>
          <cell r="C101" t="str">
            <v>VCV0033</v>
          </cell>
        </row>
        <row r="102">
          <cell r="B102" t="str">
            <v>Nguyễn Phạm Đức Thịnh</v>
          </cell>
          <cell r="C102" t="str">
            <v>VCV0330</v>
          </cell>
        </row>
        <row r="103">
          <cell r="B103" t="str">
            <v>Nguyễn Hoàng Thiên Phú</v>
          </cell>
          <cell r="C103" t="str">
            <v>VCV0335</v>
          </cell>
        </row>
        <row r="104">
          <cell r="B104" t="str">
            <v>Nguyễn Thị Hoàng Yến</v>
          </cell>
          <cell r="C104" t="str">
            <v>VCV0339</v>
          </cell>
        </row>
        <row r="105">
          <cell r="B105" t="str">
            <v>Sú Phóng Cóng</v>
          </cell>
          <cell r="C105" t="str">
            <v>VCV0343</v>
          </cell>
        </row>
        <row r="106">
          <cell r="B106" t="str">
            <v>Hoàng Thanh Hoa</v>
          </cell>
          <cell r="C106" t="str">
            <v>VCV0035</v>
          </cell>
        </row>
        <row r="107">
          <cell r="B107" t="str">
            <v>Nguyễn Văn Duy Mạnh</v>
          </cell>
          <cell r="C107" t="str">
            <v>VCV0351</v>
          </cell>
        </row>
        <row r="108">
          <cell r="B108" t="str">
            <v>Trang Duy Tùng</v>
          </cell>
          <cell r="C108" t="str">
            <v>VCV0353</v>
          </cell>
        </row>
        <row r="109">
          <cell r="B109" t="str">
            <v>Vòng A Sình</v>
          </cell>
          <cell r="C109" t="str">
            <v>VCV0354</v>
          </cell>
        </row>
        <row r="110">
          <cell r="B110" t="str">
            <v>Nguyễn Sỹ Khôi</v>
          </cell>
          <cell r="C110" t="str">
            <v>VCV0361</v>
          </cell>
        </row>
        <row r="111">
          <cell r="B111" t="str">
            <v>Lê Văn Tâm</v>
          </cell>
          <cell r="C111" t="str">
            <v>VCV0362</v>
          </cell>
        </row>
        <row r="112">
          <cell r="B112" t="str">
            <v>Trần Thị Thu Lại</v>
          </cell>
          <cell r="C112" t="str">
            <v>VCV0364</v>
          </cell>
        </row>
        <row r="113">
          <cell r="B113" t="str">
            <v>Lê Thị Hiền</v>
          </cell>
          <cell r="C113" t="str">
            <v>VCV0365</v>
          </cell>
        </row>
        <row r="114">
          <cell r="B114" t="str">
            <v>Phạm Thị Trang</v>
          </cell>
          <cell r="C114" t="str">
            <v>VCV0366</v>
          </cell>
        </row>
        <row r="115">
          <cell r="B115" t="str">
            <v>Nguyễn Thị Minh</v>
          </cell>
          <cell r="C115" t="str">
            <v>VCV0367</v>
          </cell>
        </row>
        <row r="116">
          <cell r="B116" t="str">
            <v>Lý Ngọc Nhí</v>
          </cell>
          <cell r="C116" t="str">
            <v>VCV0368</v>
          </cell>
        </row>
        <row r="117">
          <cell r="B117" t="str">
            <v>Nguyễn Thị Minh Hiếu</v>
          </cell>
          <cell r="C117" t="str">
            <v>VCV0369</v>
          </cell>
        </row>
        <row r="118">
          <cell r="B118" t="str">
            <v>Đoàn Thị Thắm</v>
          </cell>
          <cell r="C118" t="str">
            <v>VCV0370</v>
          </cell>
        </row>
        <row r="119">
          <cell r="B119" t="str">
            <v>Trịnh Thị Loan</v>
          </cell>
          <cell r="C119" t="str">
            <v>VCV0371</v>
          </cell>
        </row>
        <row r="120">
          <cell r="B120" t="str">
            <v>Lê Thị Hồng</v>
          </cell>
          <cell r="C120" t="str">
            <v>VCV0374</v>
          </cell>
        </row>
        <row r="121">
          <cell r="B121" t="str">
            <v>Lê Thị Phương Linh</v>
          </cell>
          <cell r="C121" t="str">
            <v>VCV0378</v>
          </cell>
        </row>
        <row r="122">
          <cell r="B122" t="str">
            <v>Ká Hoan</v>
          </cell>
          <cell r="C122" t="str">
            <v>VCV0383</v>
          </cell>
        </row>
        <row r="123">
          <cell r="B123" t="str">
            <v>Nguyễn Thị Tuyết</v>
          </cell>
          <cell r="C123" t="str">
            <v>VCV0397</v>
          </cell>
        </row>
        <row r="124">
          <cell r="B124" t="str">
            <v>Phạm Đức Tuy</v>
          </cell>
          <cell r="C124" t="str">
            <v>VCV0398</v>
          </cell>
        </row>
        <row r="125">
          <cell r="B125" t="str">
            <v>Đỗ Thị Lộc</v>
          </cell>
          <cell r="C125" t="str">
            <v>VCV0399</v>
          </cell>
        </row>
        <row r="126">
          <cell r="B126" t="str">
            <v>Trần Đình Sơn</v>
          </cell>
          <cell r="C126" t="str">
            <v>VCV0400</v>
          </cell>
        </row>
        <row r="127">
          <cell r="B127" t="str">
            <v>Lê Gia Bảo</v>
          </cell>
          <cell r="C127" t="str">
            <v>VCV0401</v>
          </cell>
        </row>
        <row r="128">
          <cell r="B128" t="str">
            <v>Hoàng Thị Kim Loan</v>
          </cell>
          <cell r="C128" t="str">
            <v>VCV0405</v>
          </cell>
        </row>
        <row r="129">
          <cell r="B129" t="str">
            <v>Nguyễn Lê Phương Dung</v>
          </cell>
          <cell r="C129" t="str">
            <v>VCV0406</v>
          </cell>
        </row>
        <row r="130">
          <cell r="B130" t="str">
            <v>Trịnh Hải Nam</v>
          </cell>
          <cell r="C130" t="str">
            <v>VCV0408</v>
          </cell>
        </row>
        <row r="131">
          <cell r="B131" t="str">
            <v>Nguyễn Minh Đức</v>
          </cell>
          <cell r="C131" t="str">
            <v>VCV0409</v>
          </cell>
        </row>
        <row r="132">
          <cell r="B132" t="str">
            <v>Yan Wei</v>
          </cell>
          <cell r="C132" t="str">
            <v>VCV0041</v>
          </cell>
        </row>
        <row r="133">
          <cell r="B133" t="str">
            <v>Nông Thị Thu Trang</v>
          </cell>
          <cell r="C133" t="str">
            <v>VCV0414</v>
          </cell>
        </row>
        <row r="134">
          <cell r="B134" t="str">
            <v>Đinh Nguyễn Thảo Trinh</v>
          </cell>
          <cell r="C134" t="str">
            <v>VCV0423</v>
          </cell>
        </row>
        <row r="135">
          <cell r="B135" t="str">
            <v>Đào Thanh Xuân</v>
          </cell>
          <cell r="C135" t="str">
            <v>VCV0426</v>
          </cell>
        </row>
        <row r="136">
          <cell r="B136" t="str">
            <v>Nguyễn Anh Tuấn</v>
          </cell>
          <cell r="C136" t="str">
            <v>VCV0427</v>
          </cell>
        </row>
        <row r="137">
          <cell r="B137" t="str">
            <v>Nguyễn Đình Bảo</v>
          </cell>
          <cell r="C137" t="str">
            <v>VCV0428</v>
          </cell>
        </row>
        <row r="138">
          <cell r="B138" t="str">
            <v>Lu Changxi</v>
          </cell>
          <cell r="C138" t="str">
            <v>VCV0043</v>
          </cell>
        </row>
        <row r="139">
          <cell r="B139" t="str">
            <v>Nguyễn Văn Tuấn</v>
          </cell>
          <cell r="C139" t="str">
            <v>VCV0431</v>
          </cell>
        </row>
        <row r="140">
          <cell r="B140" t="str">
            <v>Lê Bá Hoàng</v>
          </cell>
          <cell r="C140" t="str">
            <v>VCV0432</v>
          </cell>
        </row>
        <row r="141">
          <cell r="B141" t="str">
            <v>Nguyễn Hoàng Nam</v>
          </cell>
          <cell r="C141" t="str">
            <v>VCV0433</v>
          </cell>
        </row>
        <row r="142">
          <cell r="B142" t="str">
            <v>Vũ Ngọc Đức</v>
          </cell>
          <cell r="C142" t="str">
            <v>VCV0435</v>
          </cell>
        </row>
        <row r="143">
          <cell r="B143" t="str">
            <v>Yu Zichun</v>
          </cell>
          <cell r="C143" t="str">
            <v>VCV0044</v>
          </cell>
        </row>
        <row r="144">
          <cell r="B144" t="str">
            <v>Trương Thành Cường</v>
          </cell>
          <cell r="C144" t="str">
            <v>VCV0442</v>
          </cell>
        </row>
        <row r="145">
          <cell r="B145" t="str">
            <v>Lê Doãn Hội</v>
          </cell>
          <cell r="C145" t="str">
            <v>VCV0444</v>
          </cell>
        </row>
        <row r="146">
          <cell r="B146" t="str">
            <v>Đỗ Khương Thịnh</v>
          </cell>
          <cell r="C146" t="str">
            <v>VCV0445</v>
          </cell>
        </row>
        <row r="147">
          <cell r="B147" t="str">
            <v>Lỷ Sẹc Chắn</v>
          </cell>
          <cell r="C147" t="str">
            <v>VCV0452</v>
          </cell>
        </row>
        <row r="148">
          <cell r="B148" t="str">
            <v>Nguyễn Văn Chiến</v>
          </cell>
          <cell r="C148" t="str">
            <v>VCV0453</v>
          </cell>
        </row>
        <row r="149">
          <cell r="B149" t="str">
            <v>Đoàn Thanh Hương</v>
          </cell>
          <cell r="C149" t="str">
            <v>VCV0454</v>
          </cell>
        </row>
        <row r="150">
          <cell r="B150" t="str">
            <v>Nguyễn Thị Hồng Ly</v>
          </cell>
          <cell r="C150" t="str">
            <v>VCV0464</v>
          </cell>
        </row>
        <row r="151">
          <cell r="B151" t="str">
            <v>Trương Thị Quỳnh Diễm</v>
          </cell>
          <cell r="C151" t="str">
            <v>VCV0465</v>
          </cell>
        </row>
        <row r="152">
          <cell r="B152" t="str">
            <v>Nguyễn Thị Chung</v>
          </cell>
          <cell r="C152" t="str">
            <v>VCV0467</v>
          </cell>
        </row>
        <row r="153">
          <cell r="B153" t="str">
            <v>Nguyễn Lê Trường Bảo</v>
          </cell>
          <cell r="C153" t="str">
            <v>VCV0468</v>
          </cell>
        </row>
        <row r="154">
          <cell r="B154" t="str">
            <v>Trần Thị Bến</v>
          </cell>
          <cell r="C154" t="str">
            <v>VCV0469</v>
          </cell>
        </row>
        <row r="155">
          <cell r="B155" t="str">
            <v>Chen Xiaojun</v>
          </cell>
          <cell r="C155" t="str">
            <v>VCV0047</v>
          </cell>
        </row>
        <row r="156">
          <cell r="B156" t="str">
            <v>Vũ Thị Huyền</v>
          </cell>
          <cell r="C156" t="str">
            <v>VCV0471</v>
          </cell>
        </row>
        <row r="157">
          <cell r="B157" t="str">
            <v>Lý Hoàng Chương</v>
          </cell>
          <cell r="C157" t="str">
            <v>VCV0477</v>
          </cell>
        </row>
        <row r="158">
          <cell r="B158" t="str">
            <v>Ren Mingguang</v>
          </cell>
          <cell r="C158" t="str">
            <v>VCV0048</v>
          </cell>
        </row>
        <row r="159">
          <cell r="B159" t="str">
            <v>Yang Xingwen</v>
          </cell>
          <cell r="C159" t="str">
            <v>VCV0049</v>
          </cell>
        </row>
        <row r="160">
          <cell r="B160" t="str">
            <v>Luo Goutian</v>
          </cell>
          <cell r="C160" t="str">
            <v>VCV0050</v>
          </cell>
        </row>
        <row r="161">
          <cell r="B161" t="str">
            <v>Nguyễn Văn Phước</v>
          </cell>
          <cell r="C161" t="str">
            <v>VCV0501</v>
          </cell>
        </row>
        <row r="162">
          <cell r="B162" t="str">
            <v>Lưu Duy Hà</v>
          </cell>
          <cell r="C162" t="str">
            <v>VCV0503</v>
          </cell>
        </row>
        <row r="163">
          <cell r="B163" t="str">
            <v>Đặng Nghĩa Bảo</v>
          </cell>
          <cell r="C163" t="str">
            <v>VCV0505</v>
          </cell>
        </row>
        <row r="164">
          <cell r="B164" t="str">
            <v>Tăng Trần Hồng Liêm</v>
          </cell>
          <cell r="C164" t="str">
            <v>VCV0506</v>
          </cell>
        </row>
        <row r="165">
          <cell r="B165" t="str">
            <v>Nguyễn Thị Thúy Na</v>
          </cell>
          <cell r="C165" t="str">
            <v>VCV0509</v>
          </cell>
        </row>
        <row r="166">
          <cell r="B166" t="str">
            <v>Xu Jingang</v>
          </cell>
          <cell r="C166" t="str">
            <v>VCV0051</v>
          </cell>
        </row>
        <row r="167">
          <cell r="B167" t="str">
            <v>Phan Thị Phương</v>
          </cell>
          <cell r="C167" t="str">
            <v>VCV0510</v>
          </cell>
        </row>
        <row r="168">
          <cell r="B168" t="str">
            <v>Hoàng Thị Luận</v>
          </cell>
          <cell r="C168" t="str">
            <v>VCV0511</v>
          </cell>
        </row>
        <row r="169">
          <cell r="B169" t="str">
            <v>Trần Thị Bích Thủy</v>
          </cell>
          <cell r="C169" t="str">
            <v>VCV0512</v>
          </cell>
        </row>
        <row r="170">
          <cell r="B170" t="str">
            <v>Trần Minh Ngọc</v>
          </cell>
          <cell r="C170" t="str">
            <v>VCV0513</v>
          </cell>
        </row>
        <row r="171">
          <cell r="B171" t="str">
            <v>Đinh Thị Mỹ Loan</v>
          </cell>
          <cell r="C171" t="str">
            <v>VCV0517</v>
          </cell>
        </row>
        <row r="172">
          <cell r="B172" t="str">
            <v>Trương Khánh Huy</v>
          </cell>
          <cell r="C172" t="str">
            <v>VCV0518</v>
          </cell>
        </row>
        <row r="173">
          <cell r="B173" t="str">
            <v>Chen Fengliang</v>
          </cell>
          <cell r="C173" t="str">
            <v>VCV0052</v>
          </cell>
        </row>
        <row r="174">
          <cell r="B174" t="str">
            <v>Nguyễn Hoàng Dũng</v>
          </cell>
          <cell r="C174" t="str">
            <v>VCV0520</v>
          </cell>
        </row>
        <row r="175">
          <cell r="B175" t="str">
            <v>Nguyễn Thị Kim Oanh</v>
          </cell>
          <cell r="C175" t="str">
            <v>VCV0521</v>
          </cell>
        </row>
        <row r="176">
          <cell r="B176" t="str">
            <v>Bùi Thị Kim Thoa</v>
          </cell>
          <cell r="C176" t="str">
            <v>VCV0522</v>
          </cell>
        </row>
        <row r="177">
          <cell r="B177" t="str">
            <v>Nguyễn Thị Hồng Hiền</v>
          </cell>
          <cell r="C177" t="str">
            <v>VCV0523</v>
          </cell>
        </row>
        <row r="178">
          <cell r="B178" t="str">
            <v>Nguyễn Thị Minh Hồng</v>
          </cell>
          <cell r="C178" t="str">
            <v>VCV0524</v>
          </cell>
        </row>
        <row r="179">
          <cell r="B179" t="str">
            <v>Đào Thị Thanh Tuyền</v>
          </cell>
          <cell r="C179" t="str">
            <v>VCV0525</v>
          </cell>
        </row>
        <row r="180">
          <cell r="B180" t="str">
            <v>Bùi Thị Ngọc Tuyết</v>
          </cell>
          <cell r="C180" t="str">
            <v>VCV0526</v>
          </cell>
        </row>
        <row r="181">
          <cell r="B181" t="str">
            <v>Trần Thị Ánh</v>
          </cell>
          <cell r="C181" t="str">
            <v>VCV0527</v>
          </cell>
        </row>
        <row r="182">
          <cell r="B182" t="str">
            <v>Ngô Thị Ngọc Thanh</v>
          </cell>
          <cell r="C182" t="str">
            <v>VCV0528</v>
          </cell>
        </row>
        <row r="183">
          <cell r="B183" t="str">
            <v>Nguyễn Viết Hưng</v>
          </cell>
          <cell r="C183" t="str">
            <v>VCV0529</v>
          </cell>
        </row>
        <row r="184">
          <cell r="B184" t="str">
            <v>Lầm Siu Hà</v>
          </cell>
          <cell r="C184" t="str">
            <v>VCV0530</v>
          </cell>
        </row>
        <row r="185">
          <cell r="B185" t="str">
            <v>Hoàng Thị Dung</v>
          </cell>
          <cell r="C185" t="str">
            <v>VCV0531</v>
          </cell>
        </row>
        <row r="186">
          <cell r="B186" t="str">
            <v>Nguyễn Văn Hoài</v>
          </cell>
          <cell r="C186" t="str">
            <v>VCV0533</v>
          </cell>
        </row>
        <row r="187">
          <cell r="B187" t="str">
            <v>Hoàng Nữ Duyên Mai</v>
          </cell>
          <cell r="C187" t="str">
            <v>VCV0535</v>
          </cell>
        </row>
        <row r="188">
          <cell r="B188" t="str">
            <v>Nguyễn Thị Kim Phương</v>
          </cell>
          <cell r="C188" t="str">
            <v>VCV0536</v>
          </cell>
        </row>
        <row r="189">
          <cell r="B189" t="str">
            <v>Phạm Công Tuấn</v>
          </cell>
          <cell r="C189" t="str">
            <v>VCV0537</v>
          </cell>
        </row>
        <row r="190">
          <cell r="B190" t="str">
            <v>Nguyễn Thị Thu Huyền</v>
          </cell>
          <cell r="C190" t="str">
            <v>VCV0538</v>
          </cell>
        </row>
        <row r="191">
          <cell r="B191" t="str">
            <v>Trương Thị Hồng Mỹ</v>
          </cell>
          <cell r="C191" t="str">
            <v>VCV0540</v>
          </cell>
        </row>
        <row r="192">
          <cell r="B192" t="str">
            <v>Vũ Đình Duy</v>
          </cell>
          <cell r="C192" t="str">
            <v>VCV0542</v>
          </cell>
        </row>
        <row r="193">
          <cell r="B193" t="str">
            <v>Nguyễn Trần Giang Châu</v>
          </cell>
          <cell r="C193" t="str">
            <v>VCV0545</v>
          </cell>
        </row>
        <row r="194">
          <cell r="B194" t="str">
            <v>Phùng Thị Diễm Lệ</v>
          </cell>
          <cell r="C194" t="str">
            <v>VCV0546</v>
          </cell>
        </row>
        <row r="195">
          <cell r="B195" t="str">
            <v>Đinh Văn Quý</v>
          </cell>
          <cell r="C195" t="str">
            <v>VCV0547</v>
          </cell>
        </row>
        <row r="196">
          <cell r="B196" t="str">
            <v>Nguyễn Minh Thi</v>
          </cell>
          <cell r="C196" t="str">
            <v>VCV0555</v>
          </cell>
        </row>
        <row r="197">
          <cell r="B197" t="str">
            <v>Nguyễn Văn Thưởng</v>
          </cell>
          <cell r="C197" t="str">
            <v>VCV0559</v>
          </cell>
        </row>
        <row r="198">
          <cell r="B198" t="str">
            <v>Đinh Thị Kim Phấn</v>
          </cell>
          <cell r="C198" t="str">
            <v>VCV0562</v>
          </cell>
        </row>
        <row r="199">
          <cell r="B199" t="str">
            <v>Nguyễn Minh Khánh</v>
          </cell>
          <cell r="C199" t="str">
            <v>VCV0568</v>
          </cell>
        </row>
        <row r="200">
          <cell r="B200" t="str">
            <v>Thạch Thị Thanh Tâm</v>
          </cell>
          <cell r="C200" t="str">
            <v>VCV0570</v>
          </cell>
        </row>
        <row r="201">
          <cell r="B201" t="str">
            <v>Thạch Thị Mường</v>
          </cell>
          <cell r="C201" t="str">
            <v>VCV0571</v>
          </cell>
        </row>
        <row r="202">
          <cell r="B202" t="str">
            <v>Nguyễn Gia Bảo</v>
          </cell>
          <cell r="C202" t="str">
            <v>VCV0572</v>
          </cell>
        </row>
        <row r="203">
          <cell r="B203" t="str">
            <v>Lê Trọng Tiến</v>
          </cell>
          <cell r="C203" t="str">
            <v>VCV0573</v>
          </cell>
        </row>
        <row r="204">
          <cell r="B204" t="str">
            <v>Kha Thanh Tuyền</v>
          </cell>
          <cell r="C204" t="str">
            <v>VCV0575</v>
          </cell>
        </row>
        <row r="205">
          <cell r="B205" t="str">
            <v>Nguyễn Trung Hiếu</v>
          </cell>
          <cell r="C205" t="str">
            <v>VCV0577</v>
          </cell>
        </row>
        <row r="206">
          <cell r="B206" t="str">
            <v>Voòng Cún Lìn</v>
          </cell>
          <cell r="C206" t="str">
            <v>VCV0579</v>
          </cell>
        </row>
        <row r="207">
          <cell r="B207" t="str">
            <v>Phan Ngọc Bích Châu</v>
          </cell>
          <cell r="C207" t="str">
            <v>VCV0580</v>
          </cell>
        </row>
        <row r="208">
          <cell r="B208" t="str">
            <v>Ngàn Phát Sầu</v>
          </cell>
          <cell r="C208" t="str">
            <v>VCV0581</v>
          </cell>
        </row>
        <row r="209">
          <cell r="B209" t="str">
            <v>Nguyễn Thị Kiều Nga</v>
          </cell>
          <cell r="C209" t="str">
            <v>VCV0059</v>
          </cell>
        </row>
        <row r="210">
          <cell r="B210" t="str">
            <v>Đào Thị Thùy Hương</v>
          </cell>
          <cell r="C210" t="str">
            <v>VCV0598</v>
          </cell>
        </row>
        <row r="211">
          <cell r="B211" t="str">
            <v>Đào Thị Kim Thư</v>
          </cell>
          <cell r="C211" t="str">
            <v>VCV0602</v>
          </cell>
        </row>
        <row r="212">
          <cell r="B212" t="str">
            <v>Trần Sang</v>
          </cell>
          <cell r="C212" t="str">
            <v>VCV0604</v>
          </cell>
        </row>
        <row r="213">
          <cell r="B213" t="str">
            <v>U Bi Gô</v>
          </cell>
          <cell r="C213" t="str">
            <v>VCV0605</v>
          </cell>
        </row>
        <row r="214">
          <cell r="B214" t="str">
            <v>Nguyễn Nhựt Du</v>
          </cell>
          <cell r="C214" t="str">
            <v>VCV0606</v>
          </cell>
        </row>
        <row r="215">
          <cell r="B215" t="str">
            <v>Tằng Nhịt Phùng</v>
          </cell>
          <cell r="C215" t="str">
            <v>VCV0607</v>
          </cell>
        </row>
        <row r="216">
          <cell r="B216" t="str">
            <v>Trần Minh Công</v>
          </cell>
          <cell r="C216" t="str">
            <v>VCV0061</v>
          </cell>
        </row>
        <row r="217">
          <cell r="B217" t="str">
            <v>Nguyễn Thị Sinh</v>
          </cell>
          <cell r="C217" t="str">
            <v>VCV0610</v>
          </cell>
        </row>
        <row r="218">
          <cell r="B218" t="str">
            <v>Trần Thị Cẩm Tiên</v>
          </cell>
          <cell r="C218" t="str">
            <v>VCV0611</v>
          </cell>
        </row>
        <row r="219">
          <cell r="B219" t="str">
            <v>Đặng Thị Thu Trang</v>
          </cell>
          <cell r="C219" t="str">
            <v>VCV0614</v>
          </cell>
        </row>
        <row r="220">
          <cell r="B220" t="str">
            <v>Vũ Đại Thắng</v>
          </cell>
          <cell r="C220" t="str">
            <v>VCV0615</v>
          </cell>
        </row>
        <row r="221">
          <cell r="B221" t="str">
            <v>Vi Thị Dục</v>
          </cell>
          <cell r="C221" t="str">
            <v>VCV0618</v>
          </cell>
        </row>
        <row r="222">
          <cell r="B222" t="str">
            <v>Đinh Thị Nở</v>
          </cell>
          <cell r="C222" t="str">
            <v>VCV0620</v>
          </cell>
        </row>
        <row r="223">
          <cell r="B223" t="str">
            <v>Nguyễn Thị Kim Chi</v>
          </cell>
          <cell r="C223" t="str">
            <v>VCV0621</v>
          </cell>
        </row>
        <row r="224">
          <cell r="B224" t="str">
            <v>Phạm Văn Tuấn</v>
          </cell>
          <cell r="C224" t="str">
            <v>VCV0623</v>
          </cell>
        </row>
        <row r="225">
          <cell r="B225" t="str">
            <v>Trần Cường</v>
          </cell>
          <cell r="C225" t="str">
            <v>VCV0063</v>
          </cell>
        </row>
        <row r="226">
          <cell r="B226" t="str">
            <v>Tsằn Ký Deng</v>
          </cell>
          <cell r="C226" t="str">
            <v>VCV0631</v>
          </cell>
        </row>
        <row r="227">
          <cell r="B227" t="str">
            <v>Lâm Phát Vạn</v>
          </cell>
          <cell r="C227" t="str">
            <v>VCV0634</v>
          </cell>
        </row>
        <row r="228">
          <cell r="B228" t="str">
            <v>Nguyễn Hoàng Vinh</v>
          </cell>
          <cell r="C228" t="str">
            <v>VCV0635</v>
          </cell>
        </row>
        <row r="229">
          <cell r="B229" t="str">
            <v>Đỗ Ánh Hồng</v>
          </cell>
          <cell r="C229" t="str">
            <v>VCV0636</v>
          </cell>
        </row>
        <row r="230">
          <cell r="B230" t="str">
            <v>Chương Bích Phượng</v>
          </cell>
          <cell r="C230" t="str">
            <v>VCV0638</v>
          </cell>
        </row>
        <row r="231">
          <cell r="B231" t="str">
            <v>Wu Huiming</v>
          </cell>
          <cell r="C231" t="str">
            <v>VCV0640</v>
          </cell>
        </row>
        <row r="232">
          <cell r="B232" t="str">
            <v>Bùi Thị Ngọc Ý</v>
          </cell>
          <cell r="C232" t="str">
            <v>VCV0645</v>
          </cell>
        </row>
        <row r="233">
          <cell r="B233" t="str">
            <v>Lê Thị Hồng Cẩm</v>
          </cell>
          <cell r="C233" t="str">
            <v>VCV0646</v>
          </cell>
        </row>
        <row r="234">
          <cell r="B234" t="str">
            <v>Võ Thị Dân</v>
          </cell>
          <cell r="C234" t="str">
            <v>VCV0647</v>
          </cell>
        </row>
        <row r="235">
          <cell r="B235" t="str">
            <v>Nguyễn Hoàng Vũ</v>
          </cell>
          <cell r="C235" t="str">
            <v>VCV0065</v>
          </cell>
        </row>
        <row r="236">
          <cell r="B236" t="str">
            <v>Trần Thị Mỹ Duyên</v>
          </cell>
          <cell r="C236" t="str">
            <v>VCV0652</v>
          </cell>
        </row>
        <row r="237">
          <cell r="B237" t="str">
            <v>Nguyễn Văn Lâm</v>
          </cell>
          <cell r="C237" t="str">
            <v>VCV0657</v>
          </cell>
        </row>
        <row r="238">
          <cell r="B238" t="str">
            <v>Lương Linh Tý</v>
          </cell>
          <cell r="C238" t="str">
            <v>VCV0660</v>
          </cell>
        </row>
        <row r="239">
          <cell r="B239" t="str">
            <v>Sùng Thị Thúy Loan</v>
          </cell>
          <cell r="C239" t="str">
            <v>VCV0663</v>
          </cell>
        </row>
        <row r="240">
          <cell r="B240" t="str">
            <v>Huỳnh Bé Gái</v>
          </cell>
          <cell r="C240" t="str">
            <v>VCV0665</v>
          </cell>
        </row>
        <row r="241">
          <cell r="B241" t="str">
            <v>Nguyễn Thị An</v>
          </cell>
          <cell r="C241" t="str">
            <v>VCV0667</v>
          </cell>
        </row>
        <row r="242">
          <cell r="B242" t="str">
            <v>Nguyễn Thị Vân</v>
          </cell>
          <cell r="C242" t="str">
            <v>VCV0668</v>
          </cell>
        </row>
        <row r="243">
          <cell r="B243" t="str">
            <v>Lê Ngọc Duyên</v>
          </cell>
          <cell r="C243" t="str">
            <v>VCV0669</v>
          </cell>
        </row>
        <row r="244">
          <cell r="B244" t="str">
            <v>Phan Thị Ngọc Mai</v>
          </cell>
          <cell r="C244" t="str">
            <v>VCV0672</v>
          </cell>
        </row>
        <row r="245">
          <cell r="B245" t="str">
            <v>Dương Thị Xum</v>
          </cell>
          <cell r="C245" t="str">
            <v>VCV0674</v>
          </cell>
        </row>
        <row r="246">
          <cell r="B246" t="str">
            <v>Nguyễn Thị Diễm</v>
          </cell>
          <cell r="C246" t="str">
            <v>VCV0675</v>
          </cell>
        </row>
        <row r="247">
          <cell r="B247" t="str">
            <v>Phạm Thị Hợp</v>
          </cell>
          <cell r="C247" t="str">
            <v>VCV0677</v>
          </cell>
        </row>
        <row r="248">
          <cell r="B248" t="str">
            <v>Đinh Văn Quang</v>
          </cell>
          <cell r="C248" t="str">
            <v>VCV0679</v>
          </cell>
        </row>
        <row r="249">
          <cell r="B249" t="str">
            <v>Lâm Thị Út Sà Quyền</v>
          </cell>
          <cell r="C249" t="str">
            <v>VCV0681</v>
          </cell>
        </row>
        <row r="250">
          <cell r="B250" t="str">
            <v>Lê Triệu Vy</v>
          </cell>
          <cell r="C250" t="str">
            <v>VCV0682</v>
          </cell>
        </row>
        <row r="251">
          <cell r="B251" t="str">
            <v>Trương Mỹ Lan</v>
          </cell>
          <cell r="C251" t="str">
            <v>VCV0684</v>
          </cell>
        </row>
        <row r="252">
          <cell r="B252" t="str">
            <v>Phún Nhật Chấn</v>
          </cell>
          <cell r="C252" t="str">
            <v>VCV0685</v>
          </cell>
        </row>
        <row r="253">
          <cell r="B253" t="str">
            <v>Lin Hà Sấm Phụng</v>
          </cell>
          <cell r="C253" t="str">
            <v>VCV0688</v>
          </cell>
        </row>
        <row r="254">
          <cell r="B254" t="str">
            <v>Lê Bảo Ngọc</v>
          </cell>
          <cell r="C254" t="str">
            <v>VCV0689</v>
          </cell>
        </row>
        <row r="255">
          <cell r="B255" t="str">
            <v>Đinh Thị Ngọc Thùy</v>
          </cell>
          <cell r="C255" t="str">
            <v>VCV0069</v>
          </cell>
        </row>
        <row r="256">
          <cell r="B256" t="str">
            <v>Li Yong</v>
          </cell>
          <cell r="C256" t="str">
            <v>VCV0692</v>
          </cell>
        </row>
        <row r="257">
          <cell r="B257" t="str">
            <v>Trần Quỳnh Loan</v>
          </cell>
          <cell r="C257" t="str">
            <v>VCV0694</v>
          </cell>
        </row>
        <row r="258">
          <cell r="B258" t="str">
            <v>Nguyễn Quang Khải</v>
          </cell>
          <cell r="C258" t="str">
            <v>VCV0696</v>
          </cell>
        </row>
        <row r="259">
          <cell r="B259" t="str">
            <v>Trần Văn Trung</v>
          </cell>
        </row>
        <row r="260">
          <cell r="B260" t="str">
            <v>Phạm Văn Phương</v>
          </cell>
        </row>
        <row r="261">
          <cell r="B261" t="str">
            <v>Võ Văn Ruông</v>
          </cell>
        </row>
        <row r="262">
          <cell r="B262" t="str">
            <v>Phạm Thanh Minh</v>
          </cell>
          <cell r="C262" t="str">
            <v>VCV0702</v>
          </cell>
        </row>
        <row r="263">
          <cell r="B263" t="str">
            <v>Trần Thế Hoàng</v>
          </cell>
        </row>
        <row r="264">
          <cell r="B264" t="str">
            <v>Trần Hùng Vương</v>
          </cell>
          <cell r="C264" t="str">
            <v>VCV0703</v>
          </cell>
        </row>
        <row r="265">
          <cell r="B265" t="str">
            <v>Nguyễn Xuân Khanh</v>
          </cell>
        </row>
        <row r="266">
          <cell r="B266" t="str">
            <v>Huỳnh Ngọc Trường</v>
          </cell>
        </row>
        <row r="267">
          <cell r="B267" t="str">
            <v>Phạm Tiến Đạt</v>
          </cell>
          <cell r="C267" t="str">
            <v>VCV0705</v>
          </cell>
        </row>
        <row r="268">
          <cell r="B268" t="str">
            <v>Trịnh Xuân Trường</v>
          </cell>
          <cell r="C268" t="str">
            <v>VCV0719</v>
          </cell>
        </row>
        <row r="269">
          <cell r="B269" t="str">
            <v>Ân Lâm Mỹ Huyền</v>
          </cell>
          <cell r="C269" t="str">
            <v>VCV0723</v>
          </cell>
        </row>
        <row r="270">
          <cell r="B270" t="str">
            <v>Lê Hồ Thị Hồng Phấn</v>
          </cell>
          <cell r="C270" t="str">
            <v>VCV0724</v>
          </cell>
        </row>
        <row r="271">
          <cell r="B271" t="str">
            <v>Hồ Thanh Tuấn</v>
          </cell>
          <cell r="C271" t="str">
            <v>VCV0726</v>
          </cell>
        </row>
        <row r="272">
          <cell r="B272" t="str">
            <v>Huỳnh Manh Vũ</v>
          </cell>
          <cell r="C272" t="str">
            <v>VCV0727</v>
          </cell>
        </row>
        <row r="273">
          <cell r="B273" t="str">
            <v>Trịnh Thị Thái Hiền</v>
          </cell>
          <cell r="C273" t="str">
            <v>VCV0728</v>
          </cell>
        </row>
        <row r="274">
          <cell r="B274" t="str">
            <v>Dương Thị Ngọc Loan</v>
          </cell>
          <cell r="C274" t="str">
            <v>VCV0729</v>
          </cell>
        </row>
        <row r="275">
          <cell r="B275" t="str">
            <v>Nguyễn Thành Dư</v>
          </cell>
          <cell r="C275" t="str">
            <v>VCV0073</v>
          </cell>
        </row>
        <row r="276">
          <cell r="B276" t="str">
            <v>Vũ Thị Len</v>
          </cell>
          <cell r="C276" t="str">
            <v>VCV0730</v>
          </cell>
        </row>
        <row r="277">
          <cell r="B277" t="str">
            <v>Đinh Thị Trâm Anh</v>
          </cell>
          <cell r="C277" t="str">
            <v>VCV0735</v>
          </cell>
        </row>
        <row r="278">
          <cell r="B278" t="str">
            <v>Mai Thị Dung</v>
          </cell>
          <cell r="C278" t="str">
            <v>VCV0740</v>
          </cell>
        </row>
        <row r="279">
          <cell r="B279" t="str">
            <v>Lê Tuyết Anh</v>
          </cell>
          <cell r="C279" t="str">
            <v>VCV0741</v>
          </cell>
        </row>
        <row r="280">
          <cell r="B280" t="str">
            <v>Phan Tấn Hữu</v>
          </cell>
          <cell r="C280" t="str">
            <v>VCV0742</v>
          </cell>
        </row>
        <row r="281">
          <cell r="B281" t="str">
            <v>Võ Thị Ánh Nguyệt</v>
          </cell>
          <cell r="C281" t="str">
            <v>VCV0743</v>
          </cell>
        </row>
        <row r="282">
          <cell r="B282" t="str">
            <v>Hồ Nhục Thanh</v>
          </cell>
          <cell r="C282" t="str">
            <v>VCV0744</v>
          </cell>
        </row>
        <row r="283">
          <cell r="B283" t="str">
            <v>Chu Quang Tiến</v>
          </cell>
          <cell r="C283" t="str">
            <v>VCV0746</v>
          </cell>
        </row>
        <row r="284">
          <cell r="B284" t="str">
            <v>Nguyễn Quang Đạo</v>
          </cell>
          <cell r="C284" t="str">
            <v>VCV0747</v>
          </cell>
        </row>
        <row r="285">
          <cell r="B285" t="str">
            <v>Nguyễn Văn Nho</v>
          </cell>
          <cell r="C285" t="str">
            <v>VCV0748</v>
          </cell>
        </row>
        <row r="286">
          <cell r="B286" t="str">
            <v>Nguyễn Thị Thanh Hoa</v>
          </cell>
          <cell r="C286" t="str">
            <v>VCV0749</v>
          </cell>
        </row>
        <row r="287">
          <cell r="B287" t="str">
            <v>Huỳnh Khang Duy</v>
          </cell>
          <cell r="C287" t="str">
            <v>VCV0750</v>
          </cell>
        </row>
        <row r="288">
          <cell r="B288" t="str">
            <v>Trần Thị Cẩm Thạch</v>
          </cell>
          <cell r="C288" t="str">
            <v>VCV0751</v>
          </cell>
        </row>
        <row r="289">
          <cell r="B289" t="str">
            <v>Dương Anh Thư</v>
          </cell>
          <cell r="C289" t="str">
            <v>VCV0752</v>
          </cell>
        </row>
        <row r="290">
          <cell r="B290" t="str">
            <v>Kim Minh Phương</v>
          </cell>
          <cell r="C290" t="str">
            <v>VCV0755</v>
          </cell>
        </row>
        <row r="291">
          <cell r="B291" t="str">
            <v>Lường Chắn Hoa</v>
          </cell>
          <cell r="C291" t="str">
            <v>VCV0756</v>
          </cell>
        </row>
        <row r="292">
          <cell r="B292" t="str">
            <v>Nguyễn Ngô Thanh Vy</v>
          </cell>
          <cell r="C292" t="str">
            <v>VCV0757</v>
          </cell>
        </row>
        <row r="293">
          <cell r="B293" t="str">
            <v>Nguyễn Văn Phước</v>
          </cell>
          <cell r="C293" t="str">
            <v>VCV0760</v>
          </cell>
        </row>
        <row r="294">
          <cell r="B294" t="str">
            <v>Phạm Văn Phường</v>
          </cell>
          <cell r="C294" t="str">
            <v>VCV0761</v>
          </cell>
        </row>
        <row r="295">
          <cell r="B295" t="str">
            <v>Trịnh Thị Nương Em</v>
          </cell>
          <cell r="C295" t="str">
            <v>VCV0762</v>
          </cell>
        </row>
        <row r="296">
          <cell r="B296" t="str">
            <v>Lê Thị Thùy Trinh</v>
          </cell>
          <cell r="C296" t="str">
            <v>VCV0763</v>
          </cell>
        </row>
        <row r="297">
          <cell r="B297" t="str">
            <v>Thị Huyền</v>
          </cell>
          <cell r="C297" t="str">
            <v>VCV0764</v>
          </cell>
        </row>
        <row r="298">
          <cell r="B298" t="str">
            <v>Nguyễn Hải Yến</v>
          </cell>
          <cell r="C298" t="str">
            <v>VCV0765</v>
          </cell>
        </row>
        <row r="299">
          <cell r="B299" t="str">
            <v>Trần Huy Cường</v>
          </cell>
          <cell r="C299" t="str">
            <v>VCV0767</v>
          </cell>
        </row>
        <row r="300">
          <cell r="B300" t="str">
            <v>Nguyễn Thu Sương</v>
          </cell>
          <cell r="C300" t="str">
            <v>VCV0769</v>
          </cell>
        </row>
        <row r="301">
          <cell r="B301" t="str">
            <v>Tsần Thị Hồng Linh</v>
          </cell>
          <cell r="C301" t="str">
            <v>VCV0770</v>
          </cell>
        </row>
        <row r="302">
          <cell r="B302" t="str">
            <v>Nguyễn Đình Nhật Quang</v>
          </cell>
          <cell r="C302" t="str">
            <v>VCV0771</v>
          </cell>
        </row>
        <row r="303">
          <cell r="B303" t="str">
            <v>Trần Thu Hiền</v>
          </cell>
          <cell r="C303" t="str">
            <v>VCV0772</v>
          </cell>
        </row>
        <row r="304">
          <cell r="B304" t="str">
            <v>Hoàng Văn Cường</v>
          </cell>
          <cell r="C304" t="str">
            <v>VCV0773</v>
          </cell>
        </row>
        <row r="305">
          <cell r="B305" t="str">
            <v>Nguyễn Thị Phước Thủy</v>
          </cell>
          <cell r="C305" t="str">
            <v>VCV0774</v>
          </cell>
        </row>
        <row r="306">
          <cell r="B306" t="str">
            <v>Nguyễn Vĩnh Phúc</v>
          </cell>
          <cell r="C306" t="str">
            <v>VCV0775</v>
          </cell>
        </row>
        <row r="307">
          <cell r="B307" t="str">
            <v>Lê Gia Đạt</v>
          </cell>
          <cell r="C307" t="str">
            <v>VCV0776</v>
          </cell>
        </row>
        <row r="308">
          <cell r="B308" t="str">
            <v>Lê Thị Quỳnh Như</v>
          </cell>
          <cell r="C308" t="str">
            <v>VCV0777</v>
          </cell>
        </row>
        <row r="309">
          <cell r="B309" t="str">
            <v>Thạch Thị Chi</v>
          </cell>
          <cell r="C309" t="str">
            <v>VCV0779</v>
          </cell>
        </row>
        <row r="310">
          <cell r="B310" t="str">
            <v>Hà Văn Dần</v>
          </cell>
          <cell r="C310" t="str">
            <v>VCV0781</v>
          </cell>
        </row>
        <row r="311">
          <cell r="B311" t="str">
            <v>Hà Thị Thanh</v>
          </cell>
          <cell r="C311" t="str">
            <v>VCV0782</v>
          </cell>
        </row>
        <row r="312">
          <cell r="B312" t="str">
            <v>Đào Thị Kim Oanh</v>
          </cell>
          <cell r="C312" t="str">
            <v>VCV0783</v>
          </cell>
        </row>
        <row r="313">
          <cell r="B313" t="str">
            <v>Nguyễn Thị Hương</v>
          </cell>
          <cell r="C313" t="str">
            <v>VCV0785</v>
          </cell>
        </row>
        <row r="314">
          <cell r="B314" t="str">
            <v>Nguyễn Phúc Ân</v>
          </cell>
          <cell r="C314" t="str">
            <v>VCV0787</v>
          </cell>
        </row>
        <row r="315">
          <cell r="B315" t="str">
            <v>Diệu Ngọc</v>
          </cell>
          <cell r="C315" t="str">
            <v>VCV0788</v>
          </cell>
        </row>
        <row r="316">
          <cell r="B316" t="str">
            <v>Huỳnh Thị Thảo</v>
          </cell>
          <cell r="C316" t="str">
            <v>VCV0790</v>
          </cell>
        </row>
        <row r="317">
          <cell r="B317" t="str">
            <v>Nguyễn Thanh Hà</v>
          </cell>
          <cell r="C317" t="str">
            <v>VCV0791</v>
          </cell>
        </row>
        <row r="318">
          <cell r="B318" t="str">
            <v>Nguyễn Thị Hồng Dung</v>
          </cell>
          <cell r="C318" t="str">
            <v>VCV0792</v>
          </cell>
        </row>
        <row r="319">
          <cell r="B319" t="str">
            <v>Võ Thị Kim Chung</v>
          </cell>
          <cell r="C319" t="str">
            <v>VCV0793</v>
          </cell>
        </row>
        <row r="320">
          <cell r="B320" t="str">
            <v>Khưu Thị Cẩm Lai</v>
          </cell>
          <cell r="C320" t="str">
            <v>VCV0794</v>
          </cell>
        </row>
        <row r="321">
          <cell r="B321" t="str">
            <v>Trần Thị Quỳnh Như</v>
          </cell>
          <cell r="C321" t="str">
            <v>VCV0795</v>
          </cell>
        </row>
        <row r="322">
          <cell r="B322" t="str">
            <v>Lý Văn Luôl</v>
          </cell>
          <cell r="C322" t="str">
            <v>VCV0796</v>
          </cell>
        </row>
        <row r="323">
          <cell r="B323" t="str">
            <v>Từ Tuấn Tú</v>
          </cell>
          <cell r="C323" t="str">
            <v>VCV0797</v>
          </cell>
        </row>
        <row r="324">
          <cell r="B324" t="str">
            <v>Trần Thị Thúy Phượng</v>
          </cell>
          <cell r="C324" t="str">
            <v>HOLA001</v>
          </cell>
        </row>
        <row r="325">
          <cell r="B325" t="str">
            <v>Trần Thị Lệ Sáng</v>
          </cell>
          <cell r="C325" t="str">
            <v>HOLA003</v>
          </cell>
        </row>
        <row r="326">
          <cell r="B326" t="str">
            <v>Nguyễn Thị Chỉnh</v>
          </cell>
          <cell r="C326" t="str">
            <v>HOLA004</v>
          </cell>
        </row>
        <row r="327">
          <cell r="B327" t="str">
            <v>Nguyễn Thị Chín</v>
          </cell>
          <cell r="C327" t="str">
            <v>HOLA005</v>
          </cell>
        </row>
        <row r="328">
          <cell r="B328" t="str">
            <v>Yang Defen</v>
          </cell>
          <cell r="C328" t="str">
            <v>VCV0085</v>
          </cell>
        </row>
        <row r="329">
          <cell r="B329" t="str">
            <v>Bùi Thị Vân Anh</v>
          </cell>
          <cell r="C329" t="str">
            <v>VCV0088</v>
          </cell>
        </row>
        <row r="330">
          <cell r="B330" t="str">
            <v>Nguyễn Hoàng Khang</v>
          </cell>
          <cell r="C330" t="str">
            <v>VCV0009</v>
          </cell>
        </row>
        <row r="331">
          <cell r="B331" t="str">
            <v>Vòng Quyền Chi</v>
          </cell>
          <cell r="C331" t="str">
            <v>VCV0091</v>
          </cell>
        </row>
        <row r="332">
          <cell r="B332" t="str">
            <v>Siu Dôi</v>
          </cell>
          <cell r="C332" t="str">
            <v>VCV0095</v>
          </cell>
        </row>
        <row r="333">
          <cell r="B333" t="str">
            <v>Lê Thị Kim Hoàng</v>
          </cell>
          <cell r="C333" t="str">
            <v>VCV0099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60910"/>
    </sheetNames>
    <sheetDataSet>
      <sheetData sheetId="0">
        <row r="3">
          <cell r="B3" t="str">
            <v>Lê Thị Hải</v>
          </cell>
          <cell r="C3" t="str">
            <v>VCV0103</v>
          </cell>
        </row>
        <row r="4">
          <cell r="B4" t="str">
            <v>Li WenQiang</v>
          </cell>
          <cell r="C4" t="str">
            <v>VCV0108</v>
          </cell>
        </row>
        <row r="5">
          <cell r="B5" t="str">
            <v>Nguyễn Thị Vân</v>
          </cell>
          <cell r="C5" t="str">
            <v>VCV0109</v>
          </cell>
        </row>
        <row r="6">
          <cell r="B6" t="str">
            <v>Nguyễn Thị Minh Hiền</v>
          </cell>
          <cell r="C6" t="str">
            <v>VCV0011</v>
          </cell>
        </row>
        <row r="7">
          <cell r="B7" t="str">
            <v>Phạm Thị Xuân Liễu</v>
          </cell>
          <cell r="C7" t="str">
            <v>VCV0111</v>
          </cell>
        </row>
        <row r="8">
          <cell r="B8" t="str">
            <v>Trần Văn Luyện</v>
          </cell>
          <cell r="C8" t="str">
            <v>VCV0113</v>
          </cell>
        </row>
        <row r="9">
          <cell r="B9" t="str">
            <v>Phạm Thị Hồng</v>
          </cell>
          <cell r="C9" t="str">
            <v>VCV0115</v>
          </cell>
        </row>
        <row r="10">
          <cell r="B10" t="str">
            <v>Nguyễn Văn Giang</v>
          </cell>
          <cell r="C10" t="str">
            <v>VCV0116</v>
          </cell>
        </row>
        <row r="11">
          <cell r="B11" t="str">
            <v>Nguyễn Kim Chi</v>
          </cell>
          <cell r="C11" t="str">
            <v>VCV0012</v>
          </cell>
        </row>
        <row r="12">
          <cell r="B12" t="str">
            <v>Nguyễn Thị Kim Thanh</v>
          </cell>
          <cell r="C12" t="str">
            <v>VCV0124</v>
          </cell>
        </row>
        <row r="13">
          <cell r="B13" t="str">
            <v>Đoàn Gia Hào</v>
          </cell>
          <cell r="C13" t="str">
            <v>VCV0128</v>
          </cell>
        </row>
        <row r="14">
          <cell r="B14" t="str">
            <v>Ngô Thị Kim Thao</v>
          </cell>
          <cell r="C14" t="str">
            <v>VCV0133</v>
          </cell>
        </row>
        <row r="15">
          <cell r="B15" t="str">
            <v>Đặng Thị Nhân</v>
          </cell>
          <cell r="C15" t="str">
            <v>VCV0134</v>
          </cell>
        </row>
        <row r="16">
          <cell r="B16" t="str">
            <v>Lương Ngọc Cẩm Hà</v>
          </cell>
          <cell r="C16" t="str">
            <v>VCV0136</v>
          </cell>
        </row>
        <row r="17">
          <cell r="B17" t="str">
            <v>Kim Thanh Hiệp</v>
          </cell>
          <cell r="C17" t="str">
            <v>VCV0137</v>
          </cell>
        </row>
        <row r="18">
          <cell r="B18" t="str">
            <v>Lê Thị Lệ Quyên</v>
          </cell>
          <cell r="C18" t="str">
            <v>VCV0138</v>
          </cell>
        </row>
        <row r="19">
          <cell r="B19" t="str">
            <v>Phạm Thành Đạt</v>
          </cell>
          <cell r="C19" t="str">
            <v>VCV0140</v>
          </cell>
        </row>
        <row r="20">
          <cell r="B20" t="str">
            <v>Phan Thị Lục</v>
          </cell>
          <cell r="C20" t="str">
            <v>VCV0143</v>
          </cell>
        </row>
        <row r="21">
          <cell r="B21" t="str">
            <v>Lâm Thị Ra</v>
          </cell>
          <cell r="C21" t="str">
            <v>VCV0145</v>
          </cell>
        </row>
        <row r="22">
          <cell r="B22" t="str">
            <v>Thái Thị Mến</v>
          </cell>
          <cell r="C22" t="str">
            <v>VCV0148</v>
          </cell>
        </row>
        <row r="23">
          <cell r="B23" t="str">
            <v>Phạm Văn Khoai</v>
          </cell>
          <cell r="C23" t="str">
            <v>VCV0149</v>
          </cell>
        </row>
        <row r="24">
          <cell r="B24" t="str">
            <v>Nguyễn Thị Nghĩa</v>
          </cell>
          <cell r="C24" t="str">
            <v>VCV0154</v>
          </cell>
        </row>
        <row r="25">
          <cell r="B25" t="str">
            <v>Nguyễn Thị Ngọc Giàu</v>
          </cell>
          <cell r="C25" t="str">
            <v>VCV0156</v>
          </cell>
        </row>
        <row r="26">
          <cell r="B26" t="str">
            <v>Lê Thị Thu Hà</v>
          </cell>
          <cell r="C26" t="str">
            <v>VCV0157</v>
          </cell>
        </row>
        <row r="27">
          <cell r="B27" t="str">
            <v>Đinh Thị Giáng Xuân</v>
          </cell>
          <cell r="C27" t="str">
            <v>VCV0159</v>
          </cell>
        </row>
        <row r="28">
          <cell r="B28" t="str">
            <v>Nguyễn Trường Chính</v>
          </cell>
          <cell r="C28" t="str">
            <v>VCV0165</v>
          </cell>
        </row>
        <row r="29">
          <cell r="B29" t="str">
            <v>Trương Thị Đào</v>
          </cell>
          <cell r="C29" t="str">
            <v>VCV0166</v>
          </cell>
        </row>
        <row r="30">
          <cell r="B30" t="str">
            <v>Trương Kha Nhỉ</v>
          </cell>
          <cell r="C30" t="str">
            <v>VCV0167</v>
          </cell>
        </row>
        <row r="31">
          <cell r="B31" t="str">
            <v>Hà Thị Hồng</v>
          </cell>
          <cell r="C31" t="str">
            <v>VCV0169</v>
          </cell>
        </row>
        <row r="32">
          <cell r="B32" t="str">
            <v>Bùi Thị Thanh Liễu</v>
          </cell>
          <cell r="C32" t="str">
            <v>VCV0171</v>
          </cell>
        </row>
        <row r="33">
          <cell r="B33" t="str">
            <v>Vương Nhựt Lân</v>
          </cell>
          <cell r="C33" t="str">
            <v>VCV0018</v>
          </cell>
        </row>
        <row r="34">
          <cell r="B34" t="str">
            <v>Dương Thành Sang</v>
          </cell>
          <cell r="C34" t="str">
            <v>VCV0181</v>
          </cell>
        </row>
        <row r="35">
          <cell r="B35" t="str">
            <v>Phạm Văn Giang</v>
          </cell>
          <cell r="C35" t="str">
            <v>VCV0183</v>
          </cell>
        </row>
        <row r="36">
          <cell r="B36" t="str">
            <v>Nguyễn Văn Học</v>
          </cell>
          <cell r="C36" t="str">
            <v>VCV0184</v>
          </cell>
        </row>
        <row r="37">
          <cell r="B37" t="str">
            <v>Nguyễn Thị Thùy Ngân</v>
          </cell>
          <cell r="C37" t="str">
            <v>VCV0186</v>
          </cell>
        </row>
        <row r="38">
          <cell r="B38" t="str">
            <v>Nguyễn Quốc Anh</v>
          </cell>
          <cell r="C38" t="str">
            <v>VCV0019</v>
          </cell>
        </row>
        <row r="39">
          <cell r="B39" t="str">
            <v>Triệu Minh Tiền</v>
          </cell>
          <cell r="C39" t="str">
            <v>VCV0193</v>
          </cell>
        </row>
        <row r="40">
          <cell r="B40" t="str">
            <v>Triệu Minh Tài</v>
          </cell>
          <cell r="C40" t="str">
            <v>VCV0194</v>
          </cell>
        </row>
        <row r="41">
          <cell r="B41" t="str">
            <v>Trần Thiện Duy</v>
          </cell>
          <cell r="C41" t="str">
            <v>VCV0195</v>
          </cell>
        </row>
        <row r="42">
          <cell r="B42" t="str">
            <v>Hồ Anh Khương</v>
          </cell>
          <cell r="C42" t="str">
            <v>VCV0196</v>
          </cell>
        </row>
        <row r="43">
          <cell r="B43" t="str">
            <v>Lã Công Trung</v>
          </cell>
          <cell r="C43" t="str">
            <v>VCV0198</v>
          </cell>
        </row>
        <row r="44">
          <cell r="B44" t="str">
            <v>Dương Thị Vy Thảo</v>
          </cell>
          <cell r="C44" t="str">
            <v>VCV0002</v>
          </cell>
        </row>
        <row r="45">
          <cell r="B45" t="str">
            <v>Đào Văn Tuyển</v>
          </cell>
          <cell r="C45" t="str">
            <v>VCV0201</v>
          </cell>
        </row>
        <row r="46">
          <cell r="B46" t="str">
            <v>Đặng Văn Long</v>
          </cell>
          <cell r="C46" t="str">
            <v>VCV0206</v>
          </cell>
        </row>
        <row r="47">
          <cell r="B47" t="str">
            <v>Vũ Ngọc Thiên Nhan</v>
          </cell>
          <cell r="C47" t="str">
            <v>VCV0207</v>
          </cell>
        </row>
        <row r="48">
          <cell r="B48" t="str">
            <v>Phạm Văn Tuân</v>
          </cell>
          <cell r="C48" t="str">
            <v>VCV0208</v>
          </cell>
        </row>
        <row r="49">
          <cell r="B49" t="str">
            <v>Hoàng Thị Thảo</v>
          </cell>
          <cell r="C49" t="str">
            <v>VCV0209</v>
          </cell>
        </row>
        <row r="50">
          <cell r="B50" t="str">
            <v>Hu Wenge</v>
          </cell>
          <cell r="C50" t="str">
            <v>VCV0211</v>
          </cell>
        </row>
        <row r="51">
          <cell r="B51" t="str">
            <v>Xu Fang</v>
          </cell>
          <cell r="C51" t="str">
            <v>VCV0213</v>
          </cell>
        </row>
        <row r="52">
          <cell r="B52" t="str">
            <v>Dai Liuan</v>
          </cell>
          <cell r="C52" t="str">
            <v>VCV0217</v>
          </cell>
        </row>
        <row r="53">
          <cell r="B53" t="str">
            <v>Sun Baoyong</v>
          </cell>
          <cell r="C53" t="str">
            <v>VCV0219</v>
          </cell>
        </row>
        <row r="54">
          <cell r="B54" t="str">
            <v>Zheng Wanjun</v>
          </cell>
          <cell r="C54" t="str">
            <v>VCV0220</v>
          </cell>
        </row>
        <row r="55">
          <cell r="B55" t="str">
            <v>Sun Hongjie</v>
          </cell>
          <cell r="C55" t="str">
            <v>VCV0221</v>
          </cell>
        </row>
        <row r="56">
          <cell r="B56" t="str">
            <v>Yang Zhengxian</v>
          </cell>
          <cell r="C56" t="str">
            <v>VCV0222</v>
          </cell>
        </row>
        <row r="57">
          <cell r="B57" t="str">
            <v>Nguyễn Duy Luân</v>
          </cell>
          <cell r="C57" t="str">
            <v>VCV0228</v>
          </cell>
        </row>
        <row r="58">
          <cell r="B58" t="str">
            <v>Nguyễn Thị Chúc</v>
          </cell>
          <cell r="C58" t="str">
            <v>VCV0229</v>
          </cell>
        </row>
        <row r="59">
          <cell r="B59" t="str">
            <v>Tsần Phát Đạt</v>
          </cell>
          <cell r="C59" t="str">
            <v>VCV0231</v>
          </cell>
        </row>
        <row r="60">
          <cell r="B60" t="str">
            <v>Đoàn Thị Diễn</v>
          </cell>
          <cell r="C60" t="str">
            <v>VCV0237</v>
          </cell>
        </row>
        <row r="61">
          <cell r="B61" t="str">
            <v>Trần Văn Nguyên</v>
          </cell>
          <cell r="C61" t="str">
            <v>VCV0239</v>
          </cell>
        </row>
        <row r="62">
          <cell r="B62" t="str">
            <v>Huỳnh Thị Huyền Trang</v>
          </cell>
          <cell r="C62" t="str">
            <v>VCV0024</v>
          </cell>
        </row>
        <row r="63">
          <cell r="B63" t="str">
            <v>Lý Văn Chống</v>
          </cell>
          <cell r="C63" t="str">
            <v>VCV0244</v>
          </cell>
        </row>
        <row r="64">
          <cell r="B64" t="str">
            <v>Zhang Yi</v>
          </cell>
          <cell r="C64" t="str">
            <v>VCV0247</v>
          </cell>
        </row>
        <row r="65">
          <cell r="B65" t="str">
            <v>Phạm Thị Ngọc Diễm</v>
          </cell>
          <cell r="C65" t="str">
            <v>VCV0025</v>
          </cell>
        </row>
        <row r="66">
          <cell r="B66" t="str">
            <v>Ngô Thị Thùy Em</v>
          </cell>
          <cell r="C66" t="str">
            <v>VCV0251</v>
          </cell>
        </row>
        <row r="67">
          <cell r="B67" t="str">
            <v>Nguyễn Văn Thuần</v>
          </cell>
          <cell r="C67" t="str">
            <v>VCV0260</v>
          </cell>
        </row>
        <row r="68">
          <cell r="B68" t="str">
            <v>Mai Huỳnh Phi Long</v>
          </cell>
          <cell r="C68" t="str">
            <v>VCV0266</v>
          </cell>
        </row>
        <row r="69">
          <cell r="B69" t="str">
            <v>Huỳnh Minh Hiếu</v>
          </cell>
          <cell r="C69" t="str">
            <v>VCV0267</v>
          </cell>
        </row>
        <row r="70">
          <cell r="B70" t="str">
            <v>Phạm Quỳnh Minh Quang</v>
          </cell>
          <cell r="C70" t="str">
            <v>VCV0268</v>
          </cell>
        </row>
        <row r="71">
          <cell r="B71" t="str">
            <v>Lê Trọng Thuận</v>
          </cell>
          <cell r="C71" t="str">
            <v>VCV0273</v>
          </cell>
        </row>
        <row r="72">
          <cell r="B72" t="str">
            <v>Trần Nhớ</v>
          </cell>
          <cell r="C72" t="str">
            <v>VCV0279</v>
          </cell>
        </row>
        <row r="73">
          <cell r="B73" t="str">
            <v>Bùi Long Phi</v>
          </cell>
          <cell r="C73" t="str">
            <v>VCV0028</v>
          </cell>
        </row>
        <row r="74">
          <cell r="B74" t="str">
            <v>Phạm Duy Nam</v>
          </cell>
          <cell r="C74" t="str">
            <v>VCV0283</v>
          </cell>
        </row>
        <row r="75">
          <cell r="B75" t="str">
            <v>Phạm Thị Lượng</v>
          </cell>
          <cell r="C75" t="str">
            <v>VCV0284</v>
          </cell>
        </row>
        <row r="76">
          <cell r="B76" t="str">
            <v>Trần Thị Thanh Thúy</v>
          </cell>
          <cell r="C76" t="str">
            <v>VCV0285</v>
          </cell>
        </row>
        <row r="77">
          <cell r="B77" t="str">
            <v>Đoàn Thị Thủy</v>
          </cell>
          <cell r="C77" t="str">
            <v>VCV0286</v>
          </cell>
        </row>
        <row r="78">
          <cell r="B78" t="str">
            <v>Hà Thị Hồng Năm</v>
          </cell>
          <cell r="C78" t="str">
            <v>VCV0287</v>
          </cell>
        </row>
        <row r="79">
          <cell r="B79" t="str">
            <v>Quan Huệ Phương</v>
          </cell>
          <cell r="C79" t="str">
            <v>VCV0289</v>
          </cell>
        </row>
        <row r="80">
          <cell r="B80" t="str">
            <v>Đoàn Thị Chút</v>
          </cell>
          <cell r="C80" t="str">
            <v>VCV0029</v>
          </cell>
        </row>
        <row r="81">
          <cell r="B81" t="str">
            <v>Trần Văn Long</v>
          </cell>
          <cell r="C81" t="str">
            <v>VCV0290</v>
          </cell>
        </row>
        <row r="82">
          <cell r="B82" t="str">
            <v>Trịnh Thị Bình</v>
          </cell>
          <cell r="C82" t="str">
            <v>VCV0291</v>
          </cell>
        </row>
        <row r="83">
          <cell r="B83" t="str">
            <v>Nguyễn Duy Phương</v>
          </cell>
          <cell r="C83" t="str">
            <v>VCV0294</v>
          </cell>
        </row>
        <row r="84">
          <cell r="B84" t="str">
            <v>Trần Thị Mỹ Tuyền</v>
          </cell>
          <cell r="C84" t="str">
            <v>VCV0295</v>
          </cell>
        </row>
        <row r="85">
          <cell r="B85" t="str">
            <v>Nguyễn Thị Kim Nga</v>
          </cell>
          <cell r="C85" t="str">
            <v>VCV0297</v>
          </cell>
        </row>
        <row r="86">
          <cell r="B86" t="str">
            <v>Ninh Xuân Trường</v>
          </cell>
          <cell r="C86" t="str">
            <v>VCV0299</v>
          </cell>
        </row>
        <row r="87">
          <cell r="B87" t="str">
            <v>Huỳnh Chinh Nhật Minh</v>
          </cell>
          <cell r="C87" t="str">
            <v>VCV0300</v>
          </cell>
        </row>
        <row r="88">
          <cell r="B88" t="str">
            <v>Nguyễn Trần Hưng</v>
          </cell>
          <cell r="C88" t="str">
            <v>VCV0301</v>
          </cell>
        </row>
        <row r="89">
          <cell r="B89" t="str">
            <v>Song Shanping</v>
          </cell>
          <cell r="C89" t="str">
            <v>VCV0308</v>
          </cell>
        </row>
        <row r="90">
          <cell r="B90" t="str">
            <v>Lê Hữu Tấn</v>
          </cell>
          <cell r="C90" t="str">
            <v>VCV0309</v>
          </cell>
        </row>
        <row r="91">
          <cell r="B91" t="str">
            <v>Lâm Thị Mộng Thúy</v>
          </cell>
          <cell r="C91" t="str">
            <v>VCV0310</v>
          </cell>
        </row>
        <row r="92">
          <cell r="B92" t="str">
            <v>Nguyễn Thị Hải Đường</v>
          </cell>
          <cell r="C92" t="str">
            <v>VCV0311</v>
          </cell>
        </row>
        <row r="93">
          <cell r="B93" t="str">
            <v>Vũ Thị Thùy</v>
          </cell>
          <cell r="C93" t="str">
            <v>VCV0315</v>
          </cell>
        </row>
        <row r="94">
          <cell r="B94" t="str">
            <v>Nguyễn Ngọc Minh Châu</v>
          </cell>
          <cell r="C94" t="str">
            <v>VCV0316</v>
          </cell>
        </row>
        <row r="95">
          <cell r="B95" t="str">
            <v>Phạm Thị Lan</v>
          </cell>
          <cell r="C95" t="str">
            <v>VCV0317</v>
          </cell>
        </row>
        <row r="96">
          <cell r="B96" t="str">
            <v>Đỗ Thị Hạnh</v>
          </cell>
          <cell r="C96" t="str">
            <v>VCV0318</v>
          </cell>
        </row>
        <row r="97">
          <cell r="B97" t="str">
            <v>Dương Ngọc Sơn</v>
          </cell>
          <cell r="C97" t="str">
            <v>VCV0319</v>
          </cell>
        </row>
        <row r="98">
          <cell r="B98" t="str">
            <v>Nguyễn Thị Ngọc Trâm</v>
          </cell>
          <cell r="C98" t="str">
            <v>VCV0032</v>
          </cell>
        </row>
        <row r="99">
          <cell r="B99" t="str">
            <v>Đỗ Lệ Ngọc</v>
          </cell>
          <cell r="C99" t="str">
            <v>VCV0320</v>
          </cell>
        </row>
        <row r="100">
          <cell r="B100" t="str">
            <v>Nguyễn Văn Thi</v>
          </cell>
          <cell r="C100" t="str">
            <v>VCV0321</v>
          </cell>
        </row>
        <row r="101">
          <cell r="B101" t="str">
            <v>Phạm Thị Thanh Xuân</v>
          </cell>
          <cell r="C101" t="str">
            <v>VCV0322</v>
          </cell>
        </row>
        <row r="102">
          <cell r="B102" t="str">
            <v>Phan Văn Dần</v>
          </cell>
          <cell r="C102" t="str">
            <v>VCV0325</v>
          </cell>
        </row>
        <row r="103">
          <cell r="B103" t="str">
            <v>Trần Thị Hoa Ly</v>
          </cell>
          <cell r="C103" t="str">
            <v>VCV0328</v>
          </cell>
        </row>
        <row r="104">
          <cell r="B104" t="str">
            <v>Nguyễn Phương Thanh</v>
          </cell>
          <cell r="C104" t="str">
            <v>VCV0033</v>
          </cell>
        </row>
        <row r="105">
          <cell r="B105" t="str">
            <v>Nguyễn Phạm Đức Thịnh</v>
          </cell>
          <cell r="C105" t="str">
            <v>VCV0330</v>
          </cell>
        </row>
        <row r="106">
          <cell r="B106" t="str">
            <v>Nguyễn Hoàng Thiên Phú</v>
          </cell>
          <cell r="C106" t="str">
            <v>VCV0335</v>
          </cell>
        </row>
        <row r="107">
          <cell r="B107" t="str">
            <v>Nguyễn Thị Hoàng Yến</v>
          </cell>
          <cell r="C107" t="str">
            <v>VCV0339</v>
          </cell>
        </row>
        <row r="108">
          <cell r="B108" t="str">
            <v>Nguyễn Hữu Thọ</v>
          </cell>
          <cell r="C108" t="str">
            <v>VCV0342</v>
          </cell>
        </row>
        <row r="109">
          <cell r="B109" t="str">
            <v>Sú Phóng Cóng</v>
          </cell>
          <cell r="C109" t="str">
            <v>VCV0343</v>
          </cell>
        </row>
        <row r="110">
          <cell r="B110" t="str">
            <v>Hoàng Thanh Hoa</v>
          </cell>
          <cell r="C110" t="str">
            <v>VCV0035</v>
          </cell>
        </row>
        <row r="111">
          <cell r="B111" t="str">
            <v>Nguyễn Văn Duy Mạnh</v>
          </cell>
          <cell r="C111" t="str">
            <v>VCV0351</v>
          </cell>
        </row>
        <row r="112">
          <cell r="B112" t="str">
            <v>Trang Duy Tùng</v>
          </cell>
          <cell r="C112" t="str">
            <v>VCV0353</v>
          </cell>
        </row>
        <row r="113">
          <cell r="B113" t="str">
            <v>Vòng A Sình</v>
          </cell>
          <cell r="C113" t="str">
            <v>VCV0354</v>
          </cell>
        </row>
        <row r="114">
          <cell r="B114" t="str">
            <v>Lê Văn Tâm</v>
          </cell>
          <cell r="C114" t="str">
            <v>VCV0362</v>
          </cell>
        </row>
        <row r="115">
          <cell r="B115" t="str">
            <v>Trần Thị Thu Lại</v>
          </cell>
          <cell r="C115" t="str">
            <v>VCV0364</v>
          </cell>
        </row>
        <row r="116">
          <cell r="B116" t="str">
            <v>Lê Thị Hiền</v>
          </cell>
          <cell r="C116" t="str">
            <v>VCV0365</v>
          </cell>
        </row>
        <row r="117">
          <cell r="B117" t="str">
            <v>Phạm Thị Trang</v>
          </cell>
          <cell r="C117" t="str">
            <v>VCV0366</v>
          </cell>
        </row>
        <row r="118">
          <cell r="B118" t="str">
            <v>Nguyễn Thị Minh</v>
          </cell>
          <cell r="C118" t="str">
            <v>VCV0367</v>
          </cell>
        </row>
        <row r="119">
          <cell r="B119" t="str">
            <v>Lý Ngọc Nhí</v>
          </cell>
          <cell r="C119" t="str">
            <v>VCV0368</v>
          </cell>
        </row>
        <row r="120">
          <cell r="B120" t="str">
            <v>Nguyễn Thị Minh Hiếu</v>
          </cell>
          <cell r="C120" t="str">
            <v>VCV0369</v>
          </cell>
        </row>
        <row r="121">
          <cell r="B121" t="str">
            <v>Đoàn Thị Thắm</v>
          </cell>
          <cell r="C121" t="str">
            <v>VCV0370</v>
          </cell>
        </row>
        <row r="122">
          <cell r="B122" t="str">
            <v>Trịnh Thị Loan</v>
          </cell>
          <cell r="C122" t="str">
            <v>VCV0371</v>
          </cell>
        </row>
        <row r="123">
          <cell r="B123" t="str">
            <v>Lê Thị Hồng</v>
          </cell>
          <cell r="C123" t="str">
            <v>VCV0374</v>
          </cell>
        </row>
        <row r="124">
          <cell r="B124" t="str">
            <v>Lý Thanh Đông Thức</v>
          </cell>
          <cell r="C124" t="str">
            <v>VCV0376</v>
          </cell>
        </row>
        <row r="125">
          <cell r="B125" t="str">
            <v>Lê Thị Phương Linh</v>
          </cell>
          <cell r="C125" t="str">
            <v>VCV0378</v>
          </cell>
        </row>
        <row r="126">
          <cell r="B126" t="str">
            <v>Nguyễn Thị Tuyết</v>
          </cell>
          <cell r="C126" t="str">
            <v>VCV0397</v>
          </cell>
        </row>
        <row r="127">
          <cell r="B127" t="str">
            <v>Phạm Đức Tuy</v>
          </cell>
          <cell r="C127" t="str">
            <v>VCV0398</v>
          </cell>
        </row>
        <row r="128">
          <cell r="B128" t="str">
            <v>Đỗ Thị Lộc</v>
          </cell>
          <cell r="C128" t="str">
            <v>VCV0399</v>
          </cell>
        </row>
        <row r="129">
          <cell r="B129" t="str">
            <v>Trần Thu Thủy</v>
          </cell>
          <cell r="C129" t="str">
            <v>VCV0004</v>
          </cell>
        </row>
        <row r="130">
          <cell r="B130" t="str">
            <v>Trần Đình Sơn</v>
          </cell>
          <cell r="C130" t="str">
            <v>VCV0400</v>
          </cell>
        </row>
        <row r="131">
          <cell r="B131" t="str">
            <v>Lê Gia Bảo</v>
          </cell>
          <cell r="C131" t="str">
            <v>VCV0401</v>
          </cell>
        </row>
        <row r="132">
          <cell r="B132" t="str">
            <v>Hoàng Thị Kim Loan</v>
          </cell>
          <cell r="C132" t="str">
            <v>VCV0405</v>
          </cell>
        </row>
        <row r="133">
          <cell r="B133" t="str">
            <v>Nguyễn Lê Phương Dung</v>
          </cell>
          <cell r="C133" t="str">
            <v>VCV0406</v>
          </cell>
        </row>
        <row r="134">
          <cell r="B134" t="str">
            <v>Trịnh Hải Nam</v>
          </cell>
          <cell r="C134" t="str">
            <v>VCV0408</v>
          </cell>
        </row>
        <row r="135">
          <cell r="B135" t="str">
            <v>Nguyễn Minh Đức</v>
          </cell>
          <cell r="C135" t="str">
            <v>VCV0409</v>
          </cell>
        </row>
        <row r="136">
          <cell r="B136" t="str">
            <v>Yan Wei</v>
          </cell>
          <cell r="C136" t="str">
            <v>VCV0041</v>
          </cell>
        </row>
        <row r="137">
          <cell r="B137" t="str">
            <v>Nông Thị Thu Trang</v>
          </cell>
          <cell r="C137" t="str">
            <v>VCV0414</v>
          </cell>
        </row>
        <row r="138">
          <cell r="B138" t="str">
            <v>Đinh Nguyễn Thảo Trinh</v>
          </cell>
          <cell r="C138" t="str">
            <v>VCV0423</v>
          </cell>
        </row>
        <row r="139">
          <cell r="B139" t="str">
            <v>Đào Thanh Xuân</v>
          </cell>
          <cell r="C139" t="str">
            <v>VCV0426</v>
          </cell>
        </row>
        <row r="140">
          <cell r="B140" t="str">
            <v>Nguyễn Anh Tuấn</v>
          </cell>
          <cell r="C140" t="str">
            <v>VCV0427</v>
          </cell>
        </row>
        <row r="141">
          <cell r="B141" t="str">
            <v>Nguyễn Đình Bảo</v>
          </cell>
          <cell r="C141" t="str">
            <v>VCV0428</v>
          </cell>
        </row>
        <row r="142">
          <cell r="B142" t="str">
            <v>Lu Changxi</v>
          </cell>
          <cell r="C142" t="str">
            <v>VCV0043</v>
          </cell>
        </row>
        <row r="143">
          <cell r="B143" t="str">
            <v>Nguyễn Văn Tuấn</v>
          </cell>
          <cell r="C143" t="str">
            <v>VCV0431</v>
          </cell>
        </row>
        <row r="144">
          <cell r="B144" t="str">
            <v>Lê Bá Hoàng</v>
          </cell>
          <cell r="C144" t="str">
            <v>VCV0432</v>
          </cell>
        </row>
        <row r="145">
          <cell r="B145" t="str">
            <v>Nguyễn Hoàng Nam</v>
          </cell>
          <cell r="C145" t="str">
            <v>VCV0433</v>
          </cell>
        </row>
        <row r="146">
          <cell r="B146" t="str">
            <v>Vũ Ngọc Đức</v>
          </cell>
          <cell r="C146" t="str">
            <v>VCV0435</v>
          </cell>
        </row>
        <row r="147">
          <cell r="B147" t="str">
            <v>Yu Zichun</v>
          </cell>
          <cell r="C147" t="str">
            <v>VCV0044</v>
          </cell>
        </row>
        <row r="148">
          <cell r="B148" t="str">
            <v>Trương Thành Cường</v>
          </cell>
          <cell r="C148" t="str">
            <v>VCV0442</v>
          </cell>
        </row>
        <row r="149">
          <cell r="B149" t="str">
            <v>Lê Doãn Hội</v>
          </cell>
          <cell r="C149" t="str">
            <v>VCV0444</v>
          </cell>
        </row>
        <row r="150">
          <cell r="B150" t="str">
            <v>Đỗ Khương Thịnh</v>
          </cell>
          <cell r="C150" t="str">
            <v>VCV0445</v>
          </cell>
        </row>
        <row r="151">
          <cell r="B151" t="str">
            <v>Lỷ Sẹc Chắn</v>
          </cell>
          <cell r="C151" t="str">
            <v>VCV0452</v>
          </cell>
        </row>
        <row r="152">
          <cell r="B152" t="str">
            <v>Nguyễn Văn Chiến</v>
          </cell>
          <cell r="C152" t="str">
            <v>VCV0453</v>
          </cell>
        </row>
        <row r="153">
          <cell r="B153" t="str">
            <v>Đoàn Thanh Hương</v>
          </cell>
          <cell r="C153" t="str">
            <v>VCV0454</v>
          </cell>
        </row>
        <row r="154">
          <cell r="B154" t="str">
            <v>Nguyễn Thị Hồng Ly</v>
          </cell>
          <cell r="C154" t="str">
            <v>VCV0464</v>
          </cell>
        </row>
        <row r="155">
          <cell r="B155" t="str">
            <v>Trương Thị Quỳnh Diễm</v>
          </cell>
          <cell r="C155" t="str">
            <v>VCV0465</v>
          </cell>
        </row>
        <row r="156">
          <cell r="B156" t="str">
            <v>Nguyễn Thị Chung</v>
          </cell>
          <cell r="C156" t="str">
            <v>VCV0467</v>
          </cell>
        </row>
        <row r="157">
          <cell r="B157" t="str">
            <v>Nguyễn Lê Trường Bảo</v>
          </cell>
          <cell r="C157" t="str">
            <v>VCV0468</v>
          </cell>
        </row>
        <row r="158">
          <cell r="B158" t="str">
            <v>Trần Thị Bến</v>
          </cell>
          <cell r="C158" t="str">
            <v>VCV0469</v>
          </cell>
        </row>
        <row r="159">
          <cell r="B159" t="str">
            <v>Chen Xiaojun</v>
          </cell>
          <cell r="C159" t="str">
            <v>VCV0047</v>
          </cell>
        </row>
        <row r="160">
          <cell r="B160" t="str">
            <v>Vũ Thị Huyền</v>
          </cell>
          <cell r="C160" t="str">
            <v>VCV0471</v>
          </cell>
        </row>
        <row r="161">
          <cell r="B161" t="str">
            <v>Lý Hoàng Chương</v>
          </cell>
          <cell r="C161" t="str">
            <v>VCV0477</v>
          </cell>
        </row>
        <row r="162">
          <cell r="B162" t="str">
            <v>Ren Mingguang</v>
          </cell>
          <cell r="C162" t="str">
            <v>VCV0048</v>
          </cell>
        </row>
        <row r="163">
          <cell r="B163" t="str">
            <v>Yang Xingwen</v>
          </cell>
          <cell r="C163" t="str">
            <v>VCV0049</v>
          </cell>
        </row>
        <row r="164">
          <cell r="B164" t="str">
            <v>Luo Goutian</v>
          </cell>
          <cell r="C164" t="str">
            <v>VCV0050</v>
          </cell>
        </row>
        <row r="165">
          <cell r="B165" t="str">
            <v>Nguyễn Văn Phước</v>
          </cell>
          <cell r="C165" t="str">
            <v>VCV0501</v>
          </cell>
        </row>
        <row r="166">
          <cell r="B166" t="str">
            <v>Đặng Nghĩa Bảo</v>
          </cell>
          <cell r="C166" t="str">
            <v>VCV0505</v>
          </cell>
        </row>
        <row r="167">
          <cell r="B167" t="str">
            <v>Tăng Trần Hồng Liêm</v>
          </cell>
          <cell r="C167" t="str">
            <v>VCV0506</v>
          </cell>
        </row>
        <row r="168">
          <cell r="B168" t="str">
            <v>Nguyễn Thị Thúy Na</v>
          </cell>
          <cell r="C168" t="str">
            <v>VCV0509</v>
          </cell>
        </row>
        <row r="169">
          <cell r="B169" t="str">
            <v>Xu Jingang</v>
          </cell>
          <cell r="C169" t="str">
            <v>VCV0051</v>
          </cell>
        </row>
        <row r="170">
          <cell r="B170" t="str">
            <v>Phan Thị Phương</v>
          </cell>
          <cell r="C170" t="str">
            <v>VCV0510</v>
          </cell>
        </row>
        <row r="171">
          <cell r="B171" t="str">
            <v>Hoàng Thị Luận</v>
          </cell>
          <cell r="C171" t="str">
            <v>VCV0511</v>
          </cell>
        </row>
        <row r="172">
          <cell r="B172" t="str">
            <v>Trần Thị Bích Thủy</v>
          </cell>
          <cell r="C172" t="str">
            <v>VCV0512</v>
          </cell>
        </row>
        <row r="173">
          <cell r="B173" t="str">
            <v>Trần Minh Ngọc</v>
          </cell>
          <cell r="C173" t="str">
            <v>VCV0513</v>
          </cell>
        </row>
        <row r="174">
          <cell r="B174" t="str">
            <v>Đinh Thị Mỹ Loan</v>
          </cell>
          <cell r="C174" t="str">
            <v>VCV0517</v>
          </cell>
        </row>
        <row r="175">
          <cell r="B175" t="str">
            <v>Trương Khánh Huy</v>
          </cell>
          <cell r="C175" t="str">
            <v>VCV0518</v>
          </cell>
        </row>
        <row r="176">
          <cell r="B176" t="str">
            <v>Chen Fengliang</v>
          </cell>
          <cell r="C176" t="str">
            <v>VCV0052</v>
          </cell>
        </row>
        <row r="177">
          <cell r="B177" t="str">
            <v>Nguyễn Thị Kim Oanh</v>
          </cell>
          <cell r="C177" t="str">
            <v>VCV0521</v>
          </cell>
        </row>
        <row r="178">
          <cell r="B178" t="str">
            <v>Bùi Thị Kim Thoa</v>
          </cell>
          <cell r="C178" t="str">
            <v>VCV0522</v>
          </cell>
        </row>
        <row r="179">
          <cell r="B179" t="str">
            <v>Nguyễn Thị Hồng Hiền</v>
          </cell>
          <cell r="C179" t="str">
            <v>VCV0523</v>
          </cell>
        </row>
        <row r="180">
          <cell r="B180" t="str">
            <v>Nguyễn Thị Minh Hồng</v>
          </cell>
          <cell r="C180" t="str">
            <v>VCV0524</v>
          </cell>
        </row>
        <row r="181">
          <cell r="B181" t="str">
            <v>Đào Thị Thanh Tuyền</v>
          </cell>
          <cell r="C181" t="str">
            <v>VCV0525</v>
          </cell>
        </row>
        <row r="182">
          <cell r="B182" t="str">
            <v>Bùi Thị Ngọc Tuyết</v>
          </cell>
          <cell r="C182" t="str">
            <v>VCV0526</v>
          </cell>
        </row>
        <row r="183">
          <cell r="B183" t="str">
            <v>Trần Thị Ánh</v>
          </cell>
          <cell r="C183" t="str">
            <v>VCV0527</v>
          </cell>
        </row>
        <row r="184">
          <cell r="B184" t="str">
            <v>Ngô Thị Ngọc Thanh</v>
          </cell>
          <cell r="C184" t="str">
            <v>VCV0528</v>
          </cell>
        </row>
        <row r="185">
          <cell r="B185" t="str">
            <v>Nguyễn Viết Hưng</v>
          </cell>
          <cell r="C185" t="str">
            <v>VCV0529</v>
          </cell>
        </row>
        <row r="186">
          <cell r="B186" t="str">
            <v>Lầm Siu Hà</v>
          </cell>
          <cell r="C186" t="str">
            <v>VCV0530</v>
          </cell>
        </row>
        <row r="187">
          <cell r="B187" t="str">
            <v>Hoàng Thị Dung</v>
          </cell>
          <cell r="C187" t="str">
            <v>VCV0531</v>
          </cell>
        </row>
        <row r="188">
          <cell r="B188" t="str">
            <v>Chắng A Dưỡng</v>
          </cell>
          <cell r="C188" t="str">
            <v>VCV0532</v>
          </cell>
        </row>
        <row r="189">
          <cell r="B189" t="str">
            <v>Nguyễn Văn Hoài</v>
          </cell>
          <cell r="C189" t="str">
            <v>VCV0533</v>
          </cell>
        </row>
        <row r="190">
          <cell r="B190" t="str">
            <v>Hoàng Nữ Duyên Mai</v>
          </cell>
          <cell r="C190" t="str">
            <v>VCV0535</v>
          </cell>
        </row>
        <row r="191">
          <cell r="B191" t="str">
            <v>Nguyễn Thị Kim Phương</v>
          </cell>
          <cell r="C191" t="str">
            <v>VCV0536</v>
          </cell>
        </row>
        <row r="192">
          <cell r="B192" t="str">
            <v>Phạm Công Tuấn</v>
          </cell>
          <cell r="C192" t="str">
            <v>VCV0537</v>
          </cell>
        </row>
        <row r="193">
          <cell r="B193" t="str">
            <v>Nguyễn Thị Thu Huyền</v>
          </cell>
          <cell r="C193" t="str">
            <v>VCV0538</v>
          </cell>
        </row>
        <row r="194">
          <cell r="B194" t="str">
            <v>Trương Thị Hồng Mỹ</v>
          </cell>
          <cell r="C194" t="str">
            <v>VCV0540</v>
          </cell>
        </row>
        <row r="195">
          <cell r="B195" t="str">
            <v>Vũ Đình Duy</v>
          </cell>
          <cell r="C195" t="str">
            <v>VCV0542</v>
          </cell>
        </row>
        <row r="196">
          <cell r="B196" t="str">
            <v>Nguyễn Trần Giang Châu</v>
          </cell>
          <cell r="C196" t="str">
            <v>VCV0545</v>
          </cell>
        </row>
        <row r="197">
          <cell r="B197" t="str">
            <v>Phùng Thị Diễm Lệ</v>
          </cell>
          <cell r="C197" t="str">
            <v>VCV0546</v>
          </cell>
        </row>
        <row r="198">
          <cell r="B198" t="str">
            <v>Đinh Văn Quý</v>
          </cell>
          <cell r="C198" t="str">
            <v>VCV0547</v>
          </cell>
        </row>
        <row r="199">
          <cell r="B199" t="str">
            <v>Nguyễn Minh Thi</v>
          </cell>
          <cell r="C199" t="str">
            <v>VCV0555</v>
          </cell>
        </row>
        <row r="200">
          <cell r="B200" t="str">
            <v>Nguyễn Văn Thưởng</v>
          </cell>
          <cell r="C200" t="str">
            <v>VCV0559</v>
          </cell>
        </row>
        <row r="201">
          <cell r="B201" t="str">
            <v>Nguyễn Nhật Anh</v>
          </cell>
          <cell r="C201" t="str">
            <v>VCV0561</v>
          </cell>
        </row>
        <row r="202">
          <cell r="B202" t="str">
            <v>Đinh Thị Kim Phấn</v>
          </cell>
          <cell r="C202" t="str">
            <v>VCV0562</v>
          </cell>
        </row>
        <row r="203">
          <cell r="B203" t="str">
            <v>Nguyễn Minh Khánh</v>
          </cell>
          <cell r="C203" t="str">
            <v>VCV0568</v>
          </cell>
        </row>
        <row r="204">
          <cell r="B204" t="str">
            <v>Thạch Thị Thanh Tâm</v>
          </cell>
          <cell r="C204" t="str">
            <v>VCV0570</v>
          </cell>
        </row>
        <row r="205">
          <cell r="B205" t="str">
            <v>Thạch Thị Mường</v>
          </cell>
          <cell r="C205" t="str">
            <v>VCV0571</v>
          </cell>
        </row>
        <row r="206">
          <cell r="B206" t="str">
            <v>Nguyễn Gia Bảo</v>
          </cell>
          <cell r="C206" t="str">
            <v>VCV0572</v>
          </cell>
        </row>
        <row r="207">
          <cell r="B207" t="str">
            <v>Lê Trọng Tiến</v>
          </cell>
          <cell r="C207" t="str">
            <v>VCV0573</v>
          </cell>
        </row>
        <row r="208">
          <cell r="B208" t="str">
            <v>Kha Thanh Tuyền</v>
          </cell>
          <cell r="C208" t="str">
            <v>VCV0575</v>
          </cell>
        </row>
        <row r="209">
          <cell r="B209" t="str">
            <v>Nguyễn Trung Hiếu</v>
          </cell>
          <cell r="C209" t="str">
            <v>VCV0577</v>
          </cell>
        </row>
        <row r="210">
          <cell r="B210" t="str">
            <v>Voòng Cún Lìn</v>
          </cell>
          <cell r="C210" t="str">
            <v>VCV0579</v>
          </cell>
        </row>
        <row r="211">
          <cell r="B211" t="str">
            <v>Phan Ngọc Bích Châu</v>
          </cell>
          <cell r="C211" t="str">
            <v>VCV0580</v>
          </cell>
        </row>
        <row r="212">
          <cell r="B212" t="str">
            <v>Ngàn Phát Sầu</v>
          </cell>
          <cell r="C212" t="str">
            <v>VCV0581</v>
          </cell>
        </row>
        <row r="213">
          <cell r="B213" t="str">
            <v>Nguyễn Thị Kiều Nga</v>
          </cell>
          <cell r="C213" t="str">
            <v>VCV0059</v>
          </cell>
        </row>
        <row r="214">
          <cell r="B214" t="str">
            <v>Đào Thị Thùy Hương</v>
          </cell>
          <cell r="C214" t="str">
            <v>VCV0598</v>
          </cell>
        </row>
        <row r="215">
          <cell r="B215" t="str">
            <v>Đào Thị Kim Thư</v>
          </cell>
          <cell r="C215" t="str">
            <v>VCV0602</v>
          </cell>
        </row>
        <row r="216">
          <cell r="B216" t="str">
            <v>Trần Sang</v>
          </cell>
          <cell r="C216" t="str">
            <v>VCV0604</v>
          </cell>
        </row>
        <row r="217">
          <cell r="B217" t="str">
            <v>U Bi Gô</v>
          </cell>
          <cell r="C217" t="str">
            <v>VCV0605</v>
          </cell>
        </row>
        <row r="218">
          <cell r="B218" t="str">
            <v>Nguyễn Nhựt Du</v>
          </cell>
          <cell r="C218" t="str">
            <v>VCV0606</v>
          </cell>
        </row>
        <row r="219">
          <cell r="B219" t="str">
            <v>Tằng Nhịt Phùng</v>
          </cell>
          <cell r="C219" t="str">
            <v>VCV0607</v>
          </cell>
        </row>
        <row r="220">
          <cell r="B220" t="str">
            <v>Trần Minh Công</v>
          </cell>
          <cell r="C220" t="str">
            <v>VCV0061</v>
          </cell>
        </row>
        <row r="221">
          <cell r="B221" t="str">
            <v>Nguyễn Thị Sinh</v>
          </cell>
          <cell r="C221" t="str">
            <v>VCV0610</v>
          </cell>
        </row>
        <row r="222">
          <cell r="B222" t="str">
            <v>Trần Thị Cẩm Tiên</v>
          </cell>
          <cell r="C222" t="str">
            <v>VCV0611</v>
          </cell>
        </row>
        <row r="223">
          <cell r="B223" t="str">
            <v>Đặng Thị Thu Trang</v>
          </cell>
          <cell r="C223" t="str">
            <v>VCV0614</v>
          </cell>
        </row>
        <row r="224">
          <cell r="B224" t="str">
            <v>Vũ Đại Thắng</v>
          </cell>
          <cell r="C224" t="str">
            <v>VCV0615</v>
          </cell>
        </row>
        <row r="225">
          <cell r="B225" t="str">
            <v>Vi Thị Dục</v>
          </cell>
          <cell r="C225" t="str">
            <v>VCV0618</v>
          </cell>
        </row>
        <row r="226">
          <cell r="B226" t="str">
            <v>Đinh Thị Nở</v>
          </cell>
          <cell r="C226" t="str">
            <v>VCV0620</v>
          </cell>
        </row>
        <row r="227">
          <cell r="B227" t="str">
            <v>Nguyễn Thị Kim Chi</v>
          </cell>
          <cell r="C227" t="str">
            <v>VCV0621</v>
          </cell>
        </row>
        <row r="228">
          <cell r="B228" t="str">
            <v>Nguyễn Thị Phương Dung</v>
          </cell>
          <cell r="C228" t="str">
            <v>VCV0622</v>
          </cell>
        </row>
        <row r="229">
          <cell r="B229" t="str">
            <v>Phạm Văn Tuấn</v>
          </cell>
          <cell r="C229" t="str">
            <v>VCV0623</v>
          </cell>
        </row>
        <row r="230">
          <cell r="B230" t="str">
            <v>Trần Cường</v>
          </cell>
          <cell r="C230" t="str">
            <v>VCV0063</v>
          </cell>
        </row>
        <row r="231">
          <cell r="B231" t="str">
            <v>Tsằn Ký Deng</v>
          </cell>
          <cell r="C231" t="str">
            <v>VCV0631</v>
          </cell>
        </row>
        <row r="232">
          <cell r="B232" t="str">
            <v>Lâm Phát Vạn</v>
          </cell>
          <cell r="C232" t="str">
            <v>VCV0634</v>
          </cell>
        </row>
        <row r="233">
          <cell r="B233" t="str">
            <v>Nguyễn Hoàng Vinh</v>
          </cell>
          <cell r="C233" t="str">
            <v>VCV0635</v>
          </cell>
        </row>
        <row r="234">
          <cell r="B234" t="str">
            <v>Đỗ Ánh Hồng</v>
          </cell>
          <cell r="C234" t="str">
            <v>VCV0636</v>
          </cell>
        </row>
        <row r="235">
          <cell r="B235" t="str">
            <v>Chương Bích Phượng</v>
          </cell>
          <cell r="C235" t="str">
            <v>VCV0638</v>
          </cell>
        </row>
        <row r="236">
          <cell r="B236" t="str">
            <v>Wu Huiming</v>
          </cell>
          <cell r="C236" t="str">
            <v>VCV0640</v>
          </cell>
        </row>
        <row r="237">
          <cell r="B237" t="str">
            <v>Bùi Thị Ngọc Ý</v>
          </cell>
          <cell r="C237" t="str">
            <v>VCV0645</v>
          </cell>
        </row>
        <row r="238">
          <cell r="B238" t="str">
            <v>Lê Thị Hồng Cẩm</v>
          </cell>
          <cell r="C238" t="str">
            <v>VCV0646</v>
          </cell>
        </row>
        <row r="239">
          <cell r="B239" t="str">
            <v>Võ Thị Dân</v>
          </cell>
          <cell r="C239" t="str">
            <v>VCV0647</v>
          </cell>
        </row>
        <row r="240">
          <cell r="B240" t="str">
            <v>Nguyễn Hoàng Vũ</v>
          </cell>
          <cell r="C240" t="str">
            <v>VCV0065</v>
          </cell>
        </row>
        <row r="241">
          <cell r="B241" t="str">
            <v>Trần Thị Mỹ Duyên</v>
          </cell>
          <cell r="C241" t="str">
            <v>VCV0652</v>
          </cell>
        </row>
        <row r="242">
          <cell r="B242" t="str">
            <v>Nguyễn Văn Lâm</v>
          </cell>
          <cell r="C242" t="str">
            <v>VCV0657</v>
          </cell>
        </row>
        <row r="243">
          <cell r="B243" t="str">
            <v>Nguyễn Thanh Lâm</v>
          </cell>
          <cell r="C243" t="str">
            <v>VCV0659</v>
          </cell>
        </row>
        <row r="244">
          <cell r="B244" t="str">
            <v>Lương Linh Tý</v>
          </cell>
          <cell r="C244" t="str">
            <v>VCV0660</v>
          </cell>
        </row>
        <row r="245">
          <cell r="B245" t="str">
            <v>Sùng Thị Thúy Loan</v>
          </cell>
          <cell r="C245" t="str">
            <v>VCV0663</v>
          </cell>
        </row>
        <row r="246">
          <cell r="B246" t="str">
            <v>Huỳnh Bé Gái</v>
          </cell>
          <cell r="C246" t="str">
            <v>VCV0665</v>
          </cell>
        </row>
        <row r="247">
          <cell r="B247" t="str">
            <v>Nguyễn Thị An</v>
          </cell>
          <cell r="C247" t="str">
            <v>VCV0667</v>
          </cell>
        </row>
        <row r="248">
          <cell r="B248" t="str">
            <v>Nguyễn Thị Vân</v>
          </cell>
          <cell r="C248" t="str">
            <v>VCV0668</v>
          </cell>
        </row>
        <row r="249">
          <cell r="B249" t="str">
            <v>Lê Ngọc Duyên</v>
          </cell>
          <cell r="C249" t="str">
            <v>VCV0669</v>
          </cell>
        </row>
        <row r="250">
          <cell r="B250" t="str">
            <v>Phan Thị Ngọc Mai</v>
          </cell>
          <cell r="C250" t="str">
            <v>VCV0672</v>
          </cell>
        </row>
        <row r="251">
          <cell r="B251" t="str">
            <v>Dương Thị Xum</v>
          </cell>
          <cell r="C251" t="str">
            <v>VCV0674</v>
          </cell>
        </row>
        <row r="252">
          <cell r="B252" t="str">
            <v>Nguyễn Thị Diễm</v>
          </cell>
          <cell r="C252" t="str">
            <v>VCV0675</v>
          </cell>
        </row>
        <row r="253">
          <cell r="B253" t="str">
            <v>Phạm Thị Hợp</v>
          </cell>
          <cell r="C253" t="str">
            <v>VCV0677</v>
          </cell>
        </row>
        <row r="254">
          <cell r="B254" t="str">
            <v>Đinh Văn Quang</v>
          </cell>
          <cell r="C254" t="str">
            <v>VCV0679</v>
          </cell>
        </row>
        <row r="255">
          <cell r="B255" t="str">
            <v>Lâm Thị Út Sà Quyền</v>
          </cell>
          <cell r="C255" t="str">
            <v>VCV0681</v>
          </cell>
        </row>
        <row r="256">
          <cell r="B256" t="str">
            <v>Lê Triệu Vy</v>
          </cell>
          <cell r="C256" t="str">
            <v>VCV0682</v>
          </cell>
        </row>
        <row r="257">
          <cell r="B257" t="str">
            <v>Trương Mỹ Lan</v>
          </cell>
          <cell r="C257" t="str">
            <v>VCV0684</v>
          </cell>
        </row>
        <row r="258">
          <cell r="B258" t="str">
            <v>Phún Nhật Chấn</v>
          </cell>
          <cell r="C258" t="str">
            <v>VCV0685</v>
          </cell>
        </row>
        <row r="259">
          <cell r="B259" t="str">
            <v>Lin Hà Sấm Phụng</v>
          </cell>
          <cell r="C259" t="str">
            <v>VCV0688</v>
          </cell>
        </row>
        <row r="260">
          <cell r="B260" t="str">
            <v>Lê Bảo Ngọc</v>
          </cell>
          <cell r="C260" t="str">
            <v>VCV0689</v>
          </cell>
        </row>
        <row r="261">
          <cell r="B261" t="str">
            <v>Đinh Thị Ngọc Thùy</v>
          </cell>
          <cell r="C261" t="str">
            <v>VCV0069</v>
          </cell>
        </row>
        <row r="262">
          <cell r="B262" t="str">
            <v>Li Yong</v>
          </cell>
          <cell r="C262" t="str">
            <v>VCV0692</v>
          </cell>
        </row>
        <row r="263">
          <cell r="B263" t="str">
            <v>Trần Quỳnh Loan</v>
          </cell>
          <cell r="C263" t="str">
            <v>VCV0694</v>
          </cell>
        </row>
        <row r="264">
          <cell r="B264" t="str">
            <v>Nguyễn Quang Khải</v>
          </cell>
          <cell r="C264" t="str">
            <v>VCV0696</v>
          </cell>
        </row>
        <row r="265">
          <cell r="B265" t="str">
            <v>Hoàng Thị Thanh Xuân</v>
          </cell>
          <cell r="C265" t="str">
            <v>VCV0007</v>
          </cell>
        </row>
        <row r="266">
          <cell r="B266" t="str">
            <v>Phạm Văn Phương</v>
          </cell>
          <cell r="C266"/>
        </row>
        <row r="267">
          <cell r="B267" t="str">
            <v>Phạm Văn Nghệ</v>
          </cell>
          <cell r="C267"/>
        </row>
        <row r="268">
          <cell r="B268" t="str">
            <v>Võ Văn Ruông</v>
          </cell>
          <cell r="C268"/>
        </row>
        <row r="269">
          <cell r="B269" t="str">
            <v>Phạm Thanh Minh</v>
          </cell>
          <cell r="C269" t="str">
            <v>VCV0702</v>
          </cell>
        </row>
        <row r="270">
          <cell r="B270" t="str">
            <v>Trần Hùng Vương</v>
          </cell>
          <cell r="C270" t="str">
            <v>VCV0703</v>
          </cell>
        </row>
        <row r="271">
          <cell r="B271" t="str">
            <v>Nguyễn Xuân Khanh</v>
          </cell>
          <cell r="C271"/>
        </row>
        <row r="272">
          <cell r="B272" t="str">
            <v>Huỳnh Ngọc Trường</v>
          </cell>
          <cell r="C272"/>
        </row>
        <row r="273">
          <cell r="B273" t="str">
            <v>Đặng Thế Tường</v>
          </cell>
          <cell r="C273"/>
        </row>
        <row r="274">
          <cell r="B274" t="str">
            <v>Phạm Tiến Đạt</v>
          </cell>
          <cell r="C274" t="str">
            <v>VCV0705</v>
          </cell>
        </row>
        <row r="275">
          <cell r="B275" t="str">
            <v>Nguyễn Văn Linh</v>
          </cell>
          <cell r="C275" t="str">
            <v>VCV0708</v>
          </cell>
        </row>
        <row r="276">
          <cell r="B276" t="str">
            <v>Trần Văn Hiển</v>
          </cell>
          <cell r="C276" t="str">
            <v>VCV0709</v>
          </cell>
        </row>
        <row r="277">
          <cell r="B277" t="str">
            <v>Trịnh Xuân Trường</v>
          </cell>
          <cell r="C277" t="str">
            <v>VCV0719</v>
          </cell>
        </row>
        <row r="278">
          <cell r="B278" t="str">
            <v>Ân Lâm Mỹ Huyền</v>
          </cell>
          <cell r="C278" t="str">
            <v>VCV0723</v>
          </cell>
        </row>
        <row r="279">
          <cell r="B279" t="str">
            <v>Lê Hồ Thị Hồng Phấn</v>
          </cell>
          <cell r="C279" t="str">
            <v>VCV0724</v>
          </cell>
        </row>
        <row r="280">
          <cell r="B280" t="str">
            <v>Hồ Thanh Tuấn</v>
          </cell>
          <cell r="C280" t="str">
            <v>VCV0726</v>
          </cell>
        </row>
        <row r="281">
          <cell r="B281" t="str">
            <v>Huỳnh Manh Vũ</v>
          </cell>
          <cell r="C281" t="str">
            <v>VCV0727</v>
          </cell>
        </row>
        <row r="282">
          <cell r="B282" t="str">
            <v>Trịnh Thị Thái Hiền</v>
          </cell>
          <cell r="C282" t="str">
            <v>VCV0728</v>
          </cell>
        </row>
        <row r="283">
          <cell r="B283" t="str">
            <v>Dương Thị Ngọc Loan</v>
          </cell>
          <cell r="C283" t="str">
            <v>VCV0729</v>
          </cell>
        </row>
        <row r="284">
          <cell r="B284" t="str">
            <v>Nguyễn Thành Dư</v>
          </cell>
          <cell r="C284" t="str">
            <v>VCV0073</v>
          </cell>
        </row>
        <row r="285">
          <cell r="B285" t="str">
            <v>Vũ Thị Len</v>
          </cell>
          <cell r="C285" t="str">
            <v>VCV0730</v>
          </cell>
        </row>
        <row r="286">
          <cell r="B286" t="str">
            <v>Đinh Thị Trâm Anh</v>
          </cell>
          <cell r="C286" t="str">
            <v>VCV0735</v>
          </cell>
        </row>
        <row r="287">
          <cell r="B287" t="str">
            <v>Mai Thị Dung</v>
          </cell>
          <cell r="C287" t="str">
            <v>VCV0740</v>
          </cell>
        </row>
        <row r="288">
          <cell r="B288" t="str">
            <v>Lê Tuyết Anh</v>
          </cell>
          <cell r="C288" t="str">
            <v>VCV0741</v>
          </cell>
        </row>
        <row r="289">
          <cell r="B289" t="str">
            <v>Phan Tấn Hữu</v>
          </cell>
          <cell r="C289" t="str">
            <v>VCV0742</v>
          </cell>
        </row>
        <row r="290">
          <cell r="B290" t="str">
            <v>Võ Thị Ánh Nguyệt</v>
          </cell>
          <cell r="C290" t="str">
            <v>VCV0743</v>
          </cell>
        </row>
        <row r="291">
          <cell r="B291" t="str">
            <v>Hồ Nhục Thanh</v>
          </cell>
          <cell r="C291" t="str">
            <v>VCV0744</v>
          </cell>
        </row>
        <row r="292">
          <cell r="B292" t="str">
            <v>Chu Quang Tiến</v>
          </cell>
          <cell r="C292" t="str">
            <v>VCV0746</v>
          </cell>
        </row>
        <row r="293">
          <cell r="B293" t="str">
            <v>Nguyễn Quang Đạo</v>
          </cell>
          <cell r="C293" t="str">
            <v>VCV0747</v>
          </cell>
        </row>
        <row r="294">
          <cell r="B294" t="str">
            <v>Nguyễn Thị Thanh Hoa</v>
          </cell>
          <cell r="C294" t="str">
            <v>VCV0749</v>
          </cell>
        </row>
        <row r="295">
          <cell r="B295" t="str">
            <v>Huỳnh Khang Duy</v>
          </cell>
          <cell r="C295" t="str">
            <v>VCV0750</v>
          </cell>
        </row>
        <row r="296">
          <cell r="B296" t="str">
            <v>Trần Thị Cẩm Thạch</v>
          </cell>
          <cell r="C296" t="str">
            <v>VCV0751</v>
          </cell>
        </row>
        <row r="297">
          <cell r="B297" t="str">
            <v>Dương Anh Thư</v>
          </cell>
          <cell r="C297" t="str">
            <v>VCV0752</v>
          </cell>
        </row>
        <row r="298">
          <cell r="B298" t="str">
            <v>Lường Chắn Hoa</v>
          </cell>
          <cell r="C298" t="str">
            <v>VCV0756</v>
          </cell>
        </row>
        <row r="299">
          <cell r="B299" t="str">
            <v>Nguyễn Ngô Thanh Vy</v>
          </cell>
          <cell r="C299" t="str">
            <v>VCV0757</v>
          </cell>
        </row>
        <row r="300">
          <cell r="B300" t="str">
            <v>Nguyễn Văn Phước</v>
          </cell>
          <cell r="C300" t="str">
            <v>VCV0760</v>
          </cell>
        </row>
        <row r="301">
          <cell r="B301" t="str">
            <v>Phạm Văn Phường</v>
          </cell>
          <cell r="C301" t="str">
            <v>VCV0761</v>
          </cell>
        </row>
        <row r="302">
          <cell r="B302" t="str">
            <v>Trịnh Thị Nương Em</v>
          </cell>
          <cell r="C302" t="str">
            <v>VCV0762</v>
          </cell>
        </row>
        <row r="303">
          <cell r="B303" t="str">
            <v>Lê Thị Thùy Trinh</v>
          </cell>
          <cell r="C303" t="str">
            <v>VCV0763</v>
          </cell>
        </row>
        <row r="304">
          <cell r="B304" t="str">
            <v>Thị Huyền</v>
          </cell>
          <cell r="C304" t="str">
            <v>VCV0764</v>
          </cell>
        </row>
        <row r="305">
          <cell r="B305" t="str">
            <v>Nguyễn Hải Yến</v>
          </cell>
          <cell r="C305" t="str">
            <v>VCV0765</v>
          </cell>
        </row>
        <row r="306">
          <cell r="B306" t="str">
            <v>Trần Huy Cường</v>
          </cell>
          <cell r="C306" t="str">
            <v>VCV0767</v>
          </cell>
        </row>
        <row r="307">
          <cell r="B307" t="str">
            <v>Nguyễn Thu Sương</v>
          </cell>
          <cell r="C307" t="str">
            <v>VCV0769</v>
          </cell>
        </row>
        <row r="308">
          <cell r="B308" t="str">
            <v>Tsần Thị Hồng Linh</v>
          </cell>
          <cell r="C308" t="str">
            <v>VCV0770</v>
          </cell>
        </row>
        <row r="309">
          <cell r="B309" t="str">
            <v>Nguyễn Đình Nhật Quang</v>
          </cell>
          <cell r="C309" t="str">
            <v>VCV0771</v>
          </cell>
        </row>
        <row r="310">
          <cell r="B310" t="str">
            <v>Trần Thu Hiền</v>
          </cell>
          <cell r="C310" t="str">
            <v>VCV0772</v>
          </cell>
        </row>
        <row r="311">
          <cell r="B311" t="str">
            <v>Hoàng Văn Cường</v>
          </cell>
          <cell r="C311" t="str">
            <v>VCV0773</v>
          </cell>
        </row>
        <row r="312">
          <cell r="B312" t="str">
            <v>Nguyễn Thị Phước Thủy</v>
          </cell>
          <cell r="C312" t="str">
            <v>VCV0774</v>
          </cell>
        </row>
        <row r="313">
          <cell r="B313" t="str">
            <v>Nguyễn Vĩnh Phúc</v>
          </cell>
          <cell r="C313" t="str">
            <v>VCV0775</v>
          </cell>
        </row>
        <row r="314">
          <cell r="B314" t="str">
            <v>Lê Gia Đạt</v>
          </cell>
          <cell r="C314" t="str">
            <v>VCV0776</v>
          </cell>
        </row>
        <row r="315">
          <cell r="B315" t="str">
            <v>Lê Thị Quỳnh Như</v>
          </cell>
          <cell r="C315" t="str">
            <v>VCV0777</v>
          </cell>
        </row>
        <row r="316">
          <cell r="B316" t="str">
            <v>Thạch Thị Chi</v>
          </cell>
          <cell r="C316" t="str">
            <v>VCV0779</v>
          </cell>
        </row>
        <row r="317">
          <cell r="B317" t="str">
            <v>Hà Văn Dần</v>
          </cell>
          <cell r="C317" t="str">
            <v>VCV0781</v>
          </cell>
        </row>
        <row r="318">
          <cell r="B318" t="str">
            <v>Hà Thị Thanh</v>
          </cell>
          <cell r="C318" t="str">
            <v>VCV0782</v>
          </cell>
        </row>
        <row r="319">
          <cell r="B319" t="str">
            <v>Đào Thị Kim Oanh</v>
          </cell>
          <cell r="C319" t="str">
            <v>VCV0783</v>
          </cell>
        </row>
        <row r="320">
          <cell r="B320" t="str">
            <v>Nguyễn Thị Hương</v>
          </cell>
          <cell r="C320" t="str">
            <v>VCV0785</v>
          </cell>
        </row>
        <row r="321">
          <cell r="B321" t="str">
            <v>Nguyễn Phúc Ân</v>
          </cell>
          <cell r="C321" t="str">
            <v>VCV0787</v>
          </cell>
        </row>
        <row r="322">
          <cell r="B322" t="str">
            <v>Diệu Ngọc</v>
          </cell>
          <cell r="C322" t="str">
            <v>VCV0788</v>
          </cell>
        </row>
        <row r="323">
          <cell r="B323" t="str">
            <v>Huỳnh Thị Thảo</v>
          </cell>
          <cell r="C323" t="str">
            <v>VCV0790</v>
          </cell>
        </row>
        <row r="324">
          <cell r="B324" t="str">
            <v>Nguyễn Thanh Hà</v>
          </cell>
          <cell r="C324" t="str">
            <v>VCV0791</v>
          </cell>
        </row>
        <row r="325">
          <cell r="B325" t="str">
            <v>Nguyễn Thị Hồng Dung</v>
          </cell>
          <cell r="C325" t="str">
            <v>VCV0792</v>
          </cell>
        </row>
        <row r="326">
          <cell r="B326" t="str">
            <v>Võ Thị Kim Chung</v>
          </cell>
          <cell r="C326" t="str">
            <v>VCV0793</v>
          </cell>
        </row>
        <row r="327">
          <cell r="B327" t="str">
            <v>Khưu Thị Cẩm Lai</v>
          </cell>
          <cell r="C327" t="str">
            <v>VCV0794</v>
          </cell>
        </row>
        <row r="328">
          <cell r="B328" t="str">
            <v>Trần Thị Quỳnh Như</v>
          </cell>
          <cell r="C328" t="str">
            <v>VCV0795</v>
          </cell>
        </row>
        <row r="329">
          <cell r="B329" t="str">
            <v>Lý Văn Luôl</v>
          </cell>
          <cell r="C329" t="str">
            <v>VCV0796</v>
          </cell>
        </row>
        <row r="330">
          <cell r="B330" t="str">
            <v>Từ Tuấn Tú</v>
          </cell>
          <cell r="C330" t="str">
            <v>VCV0797</v>
          </cell>
        </row>
        <row r="331">
          <cell r="B331" t="str">
            <v>Trần Thị Thúy Phượng</v>
          </cell>
          <cell r="C331" t="str">
            <v>HOLA001</v>
          </cell>
        </row>
        <row r="332">
          <cell r="B332" t="str">
            <v>Trần Thị Lệ Sáng</v>
          </cell>
          <cell r="C332" t="str">
            <v>HOLA003</v>
          </cell>
        </row>
        <row r="333">
          <cell r="B333" t="str">
            <v>Nguyễn Thị Chỉnh</v>
          </cell>
          <cell r="C333" t="str">
            <v>HOLA004</v>
          </cell>
        </row>
        <row r="334">
          <cell r="B334" t="str">
            <v>Nguyễn Thị Chín</v>
          </cell>
          <cell r="C334" t="str">
            <v>HOLA005</v>
          </cell>
        </row>
        <row r="335">
          <cell r="B335" t="str">
            <v>Danh Anh Khoa</v>
          </cell>
          <cell r="C335" t="str">
            <v>VCV0802</v>
          </cell>
        </row>
        <row r="336">
          <cell r="B336" t="str">
            <v>Trần Thiện Thắng</v>
          </cell>
          <cell r="C336" t="str">
            <v>VCV0804</v>
          </cell>
        </row>
        <row r="337">
          <cell r="B337" t="str">
            <v>Yang Defen</v>
          </cell>
          <cell r="C337" t="str">
            <v>VCV0085</v>
          </cell>
        </row>
        <row r="338">
          <cell r="B338" t="str">
            <v>Bùi Thị Vân Anh</v>
          </cell>
          <cell r="C338" t="str">
            <v>VCV0088</v>
          </cell>
        </row>
        <row r="339">
          <cell r="B339" t="str">
            <v>Nguyễn Hoàng Khang</v>
          </cell>
          <cell r="C339" t="str">
            <v>VCV0009</v>
          </cell>
        </row>
        <row r="340">
          <cell r="B340" t="str">
            <v>Vòng Quyền Chi</v>
          </cell>
          <cell r="C340" t="str">
            <v>VCV0091</v>
          </cell>
        </row>
        <row r="341">
          <cell r="B341" t="str">
            <v>Siu Dôi</v>
          </cell>
          <cell r="C341" t="str">
            <v>VCV0095</v>
          </cell>
        </row>
        <row r="342">
          <cell r="B342" t="str">
            <v>Lê Thị Kim Hoàng</v>
          </cell>
          <cell r="C342" t="str">
            <v>VCV0099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S T8"/>
      <sheetName val="DS T9"/>
      <sheetName val="DS T9 NEW"/>
      <sheetName val="DS T10"/>
      <sheetName val="DS T11"/>
      <sheetName val="DS T12"/>
      <sheetName val="DS T1"/>
      <sheetName val="DS T2"/>
      <sheetName val="DS T3"/>
      <sheetName val="DS T4 (.)"/>
      <sheetName val="ĐIỂM DANH"/>
      <sheetName val="ĐIỂM DANH (2)"/>
      <sheetName val="ĐIỂM DANH (01-06)"/>
      <sheetName val="DS T4"/>
      <sheetName val="DS T7"/>
      <sheetName val="DANH SÁCH ĐÓNG GÓI"/>
      <sheetName val="24.05"/>
      <sheetName val="T9"/>
      <sheetName val="CHAY"/>
      <sheetName val="MẶN"/>
      <sheetName val="Mặn (2)"/>
      <sheetName val="CHAY (2)"/>
      <sheetName val="DS T8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9">
          <cell r="C9" t="str">
            <v>VCV0530</v>
          </cell>
          <cell r="D9" t="str">
            <v>Lầm Siu Hà</v>
          </cell>
        </row>
        <row r="10">
          <cell r="C10" t="str">
            <v>VCV0535</v>
          </cell>
          <cell r="D10" t="str">
            <v>Hoàng Nữ Duyên Mai</v>
          </cell>
        </row>
        <row r="11">
          <cell r="C11" t="str">
            <v>VCV0536</v>
          </cell>
          <cell r="D11" t="str">
            <v>Nguyễn Thị Kim Phương</v>
          </cell>
        </row>
        <row r="12">
          <cell r="C12" t="str">
            <v>VCV0374</v>
          </cell>
          <cell r="D12" t="str">
            <v>Lê Thị Hồng</v>
          </cell>
        </row>
        <row r="13">
          <cell r="C13" t="str">
            <v>VCV0571</v>
          </cell>
          <cell r="D13" t="str">
            <v>Thạch Thị Mường</v>
          </cell>
        </row>
        <row r="14">
          <cell r="C14" t="str">
            <v>VCV0647</v>
          </cell>
          <cell r="D14" t="str">
            <v>Võ Thị Dân</v>
          </cell>
        </row>
        <row r="15">
          <cell r="C15" t="str">
            <v>VCV0646</v>
          </cell>
          <cell r="D15" t="str">
            <v>Lê Thị Hồng Cẩm</v>
          </cell>
        </row>
        <row r="16">
          <cell r="C16" t="str">
            <v>VCV0792</v>
          </cell>
          <cell r="D16" t="str">
            <v>Nguyễn Thị Hồng Dung</v>
          </cell>
        </row>
        <row r="17">
          <cell r="C17" t="str">
            <v>VCV0793</v>
          </cell>
          <cell r="D17" t="str">
            <v>Võ Thị Kim Chung</v>
          </cell>
        </row>
        <row r="18">
          <cell r="C18" t="str">
            <v>VCV0702</v>
          </cell>
          <cell r="D18" t="str">
            <v>Phạm Thanh Minh</v>
          </cell>
        </row>
        <row r="19">
          <cell r="C19" t="str">
            <v>VCV0724</v>
          </cell>
          <cell r="D19" t="str">
            <v>Lê Hồ Thị Hồng Phấn</v>
          </cell>
        </row>
        <row r="20">
          <cell r="C20" t="str">
            <v>VCV0735</v>
          </cell>
          <cell r="D20" t="str">
            <v>Đinh Thị Trâm Anh</v>
          </cell>
        </row>
        <row r="21">
          <cell r="C21" t="str">
            <v>VCV0740</v>
          </cell>
          <cell r="D21" t="str">
            <v>Mai Thị Dung</v>
          </cell>
        </row>
        <row r="22">
          <cell r="C22" t="str">
            <v>VCV0524</v>
          </cell>
          <cell r="D22" t="str">
            <v>Nguyễn Thị Minh Hồng</v>
          </cell>
        </row>
        <row r="23">
          <cell r="C23" t="str">
            <v>VCV0145</v>
          </cell>
          <cell r="D23" t="str">
            <v>Lâm Thị Ra</v>
          </cell>
        </row>
        <row r="24">
          <cell r="C24" t="str">
            <v>VCV0397</v>
          </cell>
          <cell r="D24" t="str">
            <v>Nguyễn Thị Tuyết</v>
          </cell>
        </row>
        <row r="25">
          <cell r="C25" t="str">
            <v>VCV0029</v>
          </cell>
          <cell r="D25" t="str">
            <v>Đoàn Thị Chút</v>
          </cell>
        </row>
        <row r="26">
          <cell r="C26" t="str">
            <v>VCV0575</v>
          </cell>
          <cell r="D26" t="str">
            <v>Kha Thanh Tuyền</v>
          </cell>
        </row>
        <row r="27">
          <cell r="C27" t="str">
            <v>VCV0765</v>
          </cell>
          <cell r="D27" t="str">
            <v>Nguyễn Hải Yến</v>
          </cell>
        </row>
        <row r="28">
          <cell r="C28" t="str">
            <v>VCV0762</v>
          </cell>
          <cell r="D28" t="str">
            <v>Trịnh Thị Nương Em</v>
          </cell>
        </row>
        <row r="29">
          <cell r="C29" t="str">
            <v>VCV0794</v>
          </cell>
          <cell r="D29" t="str">
            <v>Khưu Thị Cẩm Lai</v>
          </cell>
        </row>
        <row r="30">
          <cell r="C30" t="str">
            <v>VCV0795</v>
          </cell>
          <cell r="D30" t="str">
            <v>Trần Thị Quỳnh Như</v>
          </cell>
        </row>
        <row r="31">
          <cell r="C31" t="str">
            <v>VCV0723</v>
          </cell>
          <cell r="D31" t="str">
            <v>Ân Lâm Mỹ Huyền</v>
          </cell>
        </row>
        <row r="32">
          <cell r="C32" t="str">
            <v>VCV0736</v>
          </cell>
          <cell r="D32" t="str">
            <v>Đinh Thị Hà Lan</v>
          </cell>
        </row>
        <row r="33">
          <cell r="C33" t="str">
            <v>VCV0405</v>
          </cell>
          <cell r="D33" t="str">
            <v>Hoàng Thị Kim Loan</v>
          </cell>
        </row>
        <row r="34">
          <cell r="C34" t="str">
            <v>VCV0528</v>
          </cell>
          <cell r="D34" t="str">
            <v>Ngô Thị Ngọc Thanh</v>
          </cell>
        </row>
        <row r="35">
          <cell r="C35" t="str">
            <v>VCV0570</v>
          </cell>
          <cell r="D35" t="str">
            <v>Thạch Thị Thanh Tâm</v>
          </cell>
        </row>
        <row r="36">
          <cell r="C36"/>
          <cell r="D36" t="str">
            <v>Packing (Đóng Gói)</v>
          </cell>
        </row>
        <row r="37">
          <cell r="C37" t="str">
            <v>VCV0442</v>
          </cell>
          <cell r="D37" t="str">
            <v>Trương Thành Cường</v>
          </cell>
        </row>
        <row r="38">
          <cell r="C38" t="str">
            <v>VCV0537</v>
          </cell>
          <cell r="D38" t="str">
            <v>Phạm Công Tuấn</v>
          </cell>
        </row>
        <row r="39">
          <cell r="C39" t="str">
            <v>VCV0742</v>
          </cell>
          <cell r="D39" t="str">
            <v>Phan Tấn Hữu</v>
          </cell>
        </row>
        <row r="40">
          <cell r="C40" t="str">
            <v>VCV0743</v>
          </cell>
          <cell r="D40" t="str">
            <v>Võ Thị Ánh Nguyệt</v>
          </cell>
        </row>
        <row r="41">
          <cell r="C41" t="str">
            <v>VCV0796</v>
          </cell>
          <cell r="D41" t="str">
            <v>Lý Văn Luôl</v>
          </cell>
        </row>
        <row r="42">
          <cell r="C42" t="str">
            <v>VCV0684</v>
          </cell>
          <cell r="D42" t="str">
            <v>Trương Mỹ Lan</v>
          </cell>
        </row>
        <row r="43">
          <cell r="C43" t="str">
            <v>VCV0685</v>
          </cell>
          <cell r="D43" t="str">
            <v>Phùn Nhật Chấn</v>
          </cell>
        </row>
        <row r="44">
          <cell r="C44" t="str">
            <v>VCV0354</v>
          </cell>
          <cell r="D44" t="str">
            <v>Vòng A Sình</v>
          </cell>
        </row>
        <row r="45">
          <cell r="C45" t="str">
            <v>VCV0518</v>
          </cell>
          <cell r="D45" t="str">
            <v>Trương Khánh Huy</v>
          </cell>
        </row>
        <row r="46">
          <cell r="C46" t="str">
            <v>VCV0351</v>
          </cell>
          <cell r="D46" t="str">
            <v>Nguyễn Văn Duy Mạnh</v>
          </cell>
        </row>
        <row r="47">
          <cell r="C47" t="str">
            <v>VCV0568</v>
          </cell>
          <cell r="D47" t="str">
            <v>Nguyễn Minh Khánh</v>
          </cell>
        </row>
        <row r="48">
          <cell r="C48" t="str">
            <v>VCV0529</v>
          </cell>
          <cell r="D48" t="str">
            <v>Nguyễn Viết Hưng</v>
          </cell>
        </row>
        <row r="49">
          <cell r="C49" t="str">
            <v>VCV0469</v>
          </cell>
          <cell r="D49" t="str">
            <v>Trần Thị Bến</v>
          </cell>
        </row>
        <row r="50">
          <cell r="C50" t="str">
            <v>VCV0708</v>
          </cell>
          <cell r="D50" t="str">
            <v>Nguyễn Văn Linh</v>
          </cell>
        </row>
        <row r="51">
          <cell r="C51" t="str">
            <v>VCV0804</v>
          </cell>
          <cell r="D51" t="str">
            <v>Liên Lâm Bảo Nhi</v>
          </cell>
        </row>
        <row r="52">
          <cell r="C52" t="str">
            <v>VCV0797</v>
          </cell>
          <cell r="D52" t="str">
            <v>Từ Tuấn Tú</v>
          </cell>
        </row>
        <row r="53">
          <cell r="C53" t="str">
            <v>VCV0775</v>
          </cell>
          <cell r="D53" t="str">
            <v xml:space="preserve">Nguyễn Vĩnh Phúc </v>
          </cell>
        </row>
        <row r="54">
          <cell r="C54" t="str">
            <v>VCV0776</v>
          </cell>
          <cell r="D54" t="str">
            <v>Lê Gia Đạt</v>
          </cell>
        </row>
        <row r="55">
          <cell r="C55" t="str">
            <v>VCV0705</v>
          </cell>
          <cell r="D55" t="str">
            <v>Phạm Tiến Đạt</v>
          </cell>
        </row>
        <row r="56">
          <cell r="C56" t="str">
            <v>VCV0800</v>
          </cell>
          <cell r="D56" t="str">
            <v>Nguyễn Bá Tuân</v>
          </cell>
        </row>
        <row r="57">
          <cell r="C57" t="str">
            <v>VCV0805</v>
          </cell>
          <cell r="D57" t="str">
            <v>Trương Thị Phấn</v>
          </cell>
        </row>
        <row r="58">
          <cell r="C58" t="str">
            <v>VCV0804</v>
          </cell>
          <cell r="D58" t="str">
            <v xml:space="preserve">Trần Thiện Thắng </v>
          </cell>
        </row>
        <row r="59">
          <cell r="C59" t="str">
            <v>VCV0660</v>
          </cell>
          <cell r="D59" t="str">
            <v>Lương Linh Tý</v>
          </cell>
        </row>
        <row r="60">
          <cell r="C60" t="str">
            <v>VCV0741</v>
          </cell>
          <cell r="D60" t="str">
            <v>Lê Tuyết Anh</v>
          </cell>
        </row>
        <row r="61">
          <cell r="C61" t="str">
            <v>VCV0526</v>
          </cell>
          <cell r="D61" t="str">
            <v>Bùi Thị Ngọc Tuyết</v>
          </cell>
        </row>
        <row r="62">
          <cell r="C62" t="str">
            <v>VCV0468</v>
          </cell>
          <cell r="D62" t="str">
            <v>Nguyễn Lê Trường Bảo</v>
          </cell>
        </row>
        <row r="63">
          <cell r="C63" t="str">
            <v>VCV0696</v>
          </cell>
          <cell r="D63" t="str">
            <v>Nguyễn Quang Khải</v>
          </cell>
        </row>
        <row r="64">
          <cell r="C64" t="str">
            <v>VCV0689</v>
          </cell>
          <cell r="D64" t="str">
            <v>Lê Bảo Ngọc</v>
          </cell>
        </row>
        <row r="65">
          <cell r="C65" t="str">
            <v>VCV0801</v>
          </cell>
          <cell r="D65" t="str">
            <v>Nguyễn Quốc Cường</v>
          </cell>
        </row>
        <row r="66">
          <cell r="C66" t="str">
            <v>VCV0802</v>
          </cell>
          <cell r="D66" t="str">
            <v>Traần Thị Kim Ngọc</v>
          </cell>
        </row>
        <row r="67">
          <cell r="C67" t="str">
            <v>VCV0755</v>
          </cell>
          <cell r="D67" t="str">
            <v>Kim Minh Phương</v>
          </cell>
        </row>
        <row r="68">
          <cell r="C68" t="str">
            <v>VCV0802</v>
          </cell>
          <cell r="D68" t="str">
            <v xml:space="preserve">Danh Anh Khoa </v>
          </cell>
        </row>
        <row r="69">
          <cell r="C69" t="str">
            <v>VCV0527</v>
          </cell>
          <cell r="D69" t="str">
            <v>Trần Thị Ánh</v>
          </cell>
        </row>
        <row r="70">
          <cell r="C70" t="str">
            <v>VCV0401</v>
          </cell>
          <cell r="D70" t="str">
            <v>Lê Gia Bảo</v>
          </cell>
        </row>
        <row r="71">
          <cell r="C71" t="str">
            <v>VCV0471</v>
          </cell>
          <cell r="D71" t="str">
            <v>Vũ Thị Huyền</v>
          </cell>
        </row>
        <row r="72">
          <cell r="C72" t="str">
            <v>VCV0525</v>
          </cell>
          <cell r="D72" t="str">
            <v>Đào Thị Thanh Tuyền</v>
          </cell>
        </row>
        <row r="73">
          <cell r="C73" t="str">
            <v>VCV0760</v>
          </cell>
          <cell r="D73" t="str">
            <v>Nguyễn Văn Phước</v>
          </cell>
        </row>
        <row r="74">
          <cell r="C74" t="str">
            <v>VCV0682</v>
          </cell>
          <cell r="D74" t="str">
            <v>Lê Triệu Vy</v>
          </cell>
        </row>
        <row r="75">
          <cell r="C75" t="str">
            <v>VCV0806</v>
          </cell>
          <cell r="D75" t="str">
            <v>Trần Vũ Thanh Trọng</v>
          </cell>
        </row>
        <row r="76">
          <cell r="C76"/>
          <cell r="D76" t="str">
            <v>Packing (Đóng Gói)</v>
          </cell>
        </row>
        <row r="77">
          <cell r="C77" t="str">
            <v>VCV0399</v>
          </cell>
          <cell r="D77" t="str">
            <v>Đỗ Thị Lộc</v>
          </cell>
        </row>
        <row r="78">
          <cell r="C78" t="str">
            <v>VCV0195</v>
          </cell>
          <cell r="D78" t="str">
            <v>Trần Thiện Duy</v>
          </cell>
        </row>
        <row r="79">
          <cell r="C79" t="str">
            <v>VCV0520</v>
          </cell>
          <cell r="D79" t="str">
            <v>Nguyễn Hoàng Dũng</v>
          </cell>
        </row>
        <row r="80">
          <cell r="C80" t="str">
            <v>VCV0523</v>
          </cell>
          <cell r="D80" t="str">
            <v>Nguyễn Thị Hồng Hiền</v>
          </cell>
        </row>
        <row r="81">
          <cell r="C81" t="str">
            <v>VCV0521</v>
          </cell>
          <cell r="D81" t="str">
            <v>Nguyễn Thị Kim Oanh</v>
          </cell>
        </row>
        <row r="82">
          <cell r="C82" t="str">
            <v>VCV0406</v>
          </cell>
          <cell r="D82" t="str">
            <v>Nguyễn Lê Phương Dung</v>
          </cell>
        </row>
        <row r="83">
          <cell r="C83" t="str">
            <v>VCV0573</v>
          </cell>
          <cell r="D83" t="str">
            <v>Lê Trọng Tiến</v>
          </cell>
        </row>
        <row r="84">
          <cell r="C84" t="str">
            <v>VCV0533</v>
          </cell>
          <cell r="D84" t="str">
            <v>Nguyễn Văn Hoài</v>
          </cell>
        </row>
        <row r="85">
          <cell r="C85" t="str">
            <v>VCV0194</v>
          </cell>
          <cell r="D85" t="str">
            <v>Triệu Minh Tài</v>
          </cell>
        </row>
        <row r="86">
          <cell r="C86" t="str">
            <v>VCV0532</v>
          </cell>
          <cell r="D86" t="str">
            <v>Chắng A Dưỡng</v>
          </cell>
        </row>
        <row r="87">
          <cell r="C87" t="str">
            <v>VCV0531</v>
          </cell>
          <cell r="D87" t="str">
            <v>Hoàng Thị Dung</v>
          </cell>
        </row>
        <row r="88">
          <cell r="C88" t="str">
            <v>VCV0467</v>
          </cell>
          <cell r="D88" t="str">
            <v>Nguyễn Thị Chung</v>
          </cell>
        </row>
        <row r="89">
          <cell r="C89" t="str">
            <v>VCV0400</v>
          </cell>
          <cell r="D89" t="str">
            <v>Trần Đình Sơn</v>
          </cell>
        </row>
        <row r="90">
          <cell r="C90" t="str">
            <v>VCV0522</v>
          </cell>
          <cell r="D90" t="str">
            <v>Bùi Thị Kim Thoa</v>
          </cell>
        </row>
        <row r="91">
          <cell r="C91" t="str">
            <v>VCV0572</v>
          </cell>
          <cell r="D91" t="str">
            <v>Nguyễn Gia Bảo</v>
          </cell>
        </row>
        <row r="92">
          <cell r="C92"/>
          <cell r="D92" t="str">
            <v>Packing (Đóng Gói)</v>
          </cell>
        </row>
        <row r="93">
          <cell r="C93" t="str">
            <v>VCV0353</v>
          </cell>
          <cell r="D93" t="str">
            <v>Trang Duy Tùng</v>
          </cell>
        </row>
        <row r="94">
          <cell r="C94" t="str">
            <v>VCV0398</v>
          </cell>
          <cell r="D94" t="str">
            <v>Phạm Đức Tuy</v>
          </cell>
        </row>
        <row r="95">
          <cell r="C95" t="str">
            <v>VCV0610</v>
          </cell>
          <cell r="D95" t="str">
            <v>Nguyễn Thị Sinh</v>
          </cell>
        </row>
        <row r="96">
          <cell r="C96" t="str">
            <v>VCV0579</v>
          </cell>
          <cell r="D96" t="str">
            <v>Voòng Cún Lìn</v>
          </cell>
        </row>
        <row r="97">
          <cell r="C97" t="str">
            <v>VCV0645</v>
          </cell>
          <cell r="D97" t="str">
            <v>Bùi Thị Ngọc Ý</v>
          </cell>
        </row>
        <row r="98">
          <cell r="C98" t="str">
            <v>VCV0767</v>
          </cell>
          <cell r="D98" t="str">
            <v>Trần Huy Cường</v>
          </cell>
        </row>
        <row r="99">
          <cell r="C99" t="str">
            <v>VCV0611</v>
          </cell>
          <cell r="D99" t="str">
            <v>Trần Thị Cẩm Tiên</v>
          </cell>
        </row>
        <row r="100">
          <cell r="C100" t="str">
            <v>VCV0317</v>
          </cell>
          <cell r="D100" t="str">
            <v>Phạm Thị Lan</v>
          </cell>
        </row>
      </sheetData>
      <sheetData sheetId="18"/>
      <sheetData sheetId="19"/>
      <sheetData sheetId="20"/>
      <sheetData sheetId="21"/>
      <sheetData sheetId="2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CV" refreshedDate="46295.620866435187" createdVersion="8" refreshedVersion="8" minRefreshableVersion="3" recordCount="473" xr:uid="{FA711DBA-B273-457C-B809-8E9046696031}">
  <cacheSource type="worksheet">
    <worksheetSource ref="A13:AM486" sheet="VP SÁNG "/>
  </cacheSource>
  <cacheFields count="39">
    <cacheField name="Status" numFmtId="0">
      <sharedItems containsBlank="1"/>
    </cacheField>
    <cacheField name="Code" numFmtId="0">
      <sharedItems containsBlank="1"/>
    </cacheField>
    <cacheField name="Fullname VN" numFmtId="0">
      <sharedItems containsBlank="1"/>
    </cacheField>
    <cacheField name="Department" numFmtId="0">
      <sharedItems containsBlank="1" count="30">
        <s v="Subcontractor"/>
        <s v="Pro - Packaging"/>
        <s v="Pro - Aging"/>
        <s v="HR Admin"/>
        <s v="PMC - Quality"/>
        <s v="COO - Assistant"/>
        <s v="COO - Maintenance"/>
        <s v="COO - Purchasing"/>
        <s v="PMC - Plan"/>
        <s v="COO - IT"/>
        <s v="Pro - Welding"/>
        <s v="Pro - Data"/>
        <s v="Pro - Polishing"/>
        <s v="Pro - Expat"/>
        <s v="COO - Exim"/>
        <s v="Pro - CNC"/>
        <s v="Pro - Manual Lathe"/>
        <s v="Pro - Painting"/>
        <s v="COO - WWT"/>
        <s v="Pro - Fabrication"/>
        <s v="Finance - Accounting"/>
        <s v="Pro - Gold Applying"/>
        <s v="PMC - WH"/>
        <s v="COO Office"/>
        <s v="COO Assistant"/>
        <s v="Production"/>
        <s v="Pro - Auto Polishing"/>
        <s v="PMC Staff"/>
        <s v="Purchase Staff"/>
        <m/>
      </sharedItems>
    </cacheField>
    <cacheField name="Section" numFmtId="0">
      <sharedItems containsBlank="1"/>
    </cacheField>
    <cacheField name="Place" numFmtId="0">
      <sharedItems containsBlank="1"/>
    </cacheField>
    <cacheField name="Field7" caption="Field7" numFmtId="0">
      <sharedItems containsBlank="1"/>
    </cacheField>
    <cacheField name="Last day" numFmtId="0">
      <sharedItems containsNonDate="0" containsString="0" containsBlank="1"/>
    </cacheField>
    <cacheField name="Field9" caption="Field9" numFmtId="0">
      <sharedItems containsBlank="1"/>
    </cacheField>
    <cacheField name="Field10" caption="Field10" numFmtId="0">
      <sharedItems containsNonDate="0" containsString="0" containsBlank="1"/>
    </cacheField>
    <cacheField name="Field11" caption="Field11" numFmtId="0">
      <sharedItems containsNonDate="0" containsString="0" containsBlank="1"/>
    </cacheField>
    <cacheField name="Field12" caption="Field12" numFmtId="0">
      <sharedItems containsBlank="1"/>
    </cacheField>
    <cacheField name="Field13" caption="Field13" numFmtId="0">
      <sharedItems containsBlank="1"/>
    </cacheField>
    <cacheField name="Field14" caption="Field14" numFmtId="0">
      <sharedItems containsBlank="1"/>
    </cacheField>
    <cacheField name="Field15" caption="Field15" numFmtId="0">
      <sharedItems containsBlank="1"/>
    </cacheField>
    <cacheField name="Field16" caption="Field16" numFmtId="0">
      <sharedItems containsBlank="1"/>
    </cacheField>
    <cacheField name="Field17" caption="Field17" numFmtId="0">
      <sharedItems containsBlank="1"/>
    </cacheField>
    <cacheField name="Field18" caption="Field18" numFmtId="0">
      <sharedItems containsBlank="1"/>
    </cacheField>
    <cacheField name="Field19" caption="Field19" numFmtId="0">
      <sharedItems containsBlank="1"/>
    </cacheField>
    <cacheField name="Field20" caption="Field20" numFmtId="0">
      <sharedItems containsBlank="1"/>
    </cacheField>
    <cacheField name="Field21" caption="Field21" numFmtId="0">
      <sharedItems containsNonDate="0" containsString="0" containsBlank="1"/>
    </cacheField>
    <cacheField name="Field22" caption="Field22" numFmtId="0">
      <sharedItems containsBlank="1"/>
    </cacheField>
    <cacheField name="Field23" caption="Field23" numFmtId="0">
      <sharedItems containsBlank="1"/>
    </cacheField>
    <cacheField name="Field24" caption="Field24" numFmtId="0">
      <sharedItems containsBlank="1"/>
    </cacheField>
    <cacheField name="Field25" caption="Field25" numFmtId="0">
      <sharedItems containsBlank="1"/>
    </cacheField>
    <cacheField name="Field26" caption="Field26" numFmtId="0">
      <sharedItems containsBlank="1"/>
    </cacheField>
    <cacheField name="Field27" caption="Field27" numFmtId="0">
      <sharedItems containsBlank="1"/>
    </cacheField>
    <cacheField name="Field28" caption="Field28" numFmtId="0">
      <sharedItems containsBlank="1"/>
    </cacheField>
    <cacheField name="Field29" caption="Field29" numFmtId="0">
      <sharedItems containsBlank="1"/>
    </cacheField>
    <cacheField name="Field30" caption="Field30" numFmtId="0">
      <sharedItems containsBlank="1"/>
    </cacheField>
    <cacheField name="Field31" caption="Field31" numFmtId="0">
      <sharedItems containsBlank="1"/>
    </cacheField>
    <cacheField name="Field32" caption="Field32" numFmtId="0">
      <sharedItems containsBlank="1"/>
    </cacheField>
    <cacheField name="Field33" caption="Field33" numFmtId="0">
      <sharedItems containsBlank="1"/>
    </cacheField>
    <cacheField name="Field34" caption="Field34" numFmtId="0">
      <sharedItems containsBlank="1"/>
    </cacheField>
    <cacheField name="Field35" caption="Field35" numFmtId="0">
      <sharedItems containsBlank="1"/>
    </cacheField>
    <cacheField name="Field36" caption="Field36" numFmtId="0">
      <sharedItems containsBlank="1"/>
    </cacheField>
    <cacheField name="Field37" caption="Field37" numFmtId="0">
      <sharedItems containsBlank="1"/>
    </cacheField>
    <cacheField name="Field38" caption="Field38" numFmtId="0">
      <sharedItems containsBlank="1"/>
    </cacheField>
    <cacheField name="Total meals per day" numFmtId="0">
      <sharedItems containsString="0" containsBlank="1" containsNumber="1" containsInteger="1" minValue="0" maxValue="2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CV" refreshedDate="46295.620888773148" createdVersion="8" refreshedVersion="8" minRefreshableVersion="3" recordCount="342" xr:uid="{ED99E2A0-F4AE-46CE-9D39-D4A94E572E7C}">
  <cacheSource type="worksheet">
    <worksheetSource ref="A15:AM357" sheet="CHIỀU "/>
  </cacheSource>
  <cacheFields count="39">
    <cacheField name="Status" numFmtId="0">
      <sharedItems containsBlank="1"/>
    </cacheField>
    <cacheField name="Code" numFmtId="0">
      <sharedItems containsBlank="1"/>
    </cacheField>
    <cacheField name="Fullname VN" numFmtId="0">
      <sharedItems containsBlank="1"/>
    </cacheField>
    <cacheField name="Department" numFmtId="0">
      <sharedItems containsBlank="1" count="20">
        <s v="Pro - Packaging"/>
        <s v="Pro - Aging"/>
        <s v="Pro - Painting"/>
        <s v="Pro - Welding"/>
        <s v="Production"/>
        <s v="Pro - Polishing"/>
        <s v="Pro - Fabrication"/>
        <s v="Pro - CNC"/>
        <s v="PMC - Quality"/>
        <s v="Pro - Manual Lathe"/>
        <s v="Pro - Auto Polishing"/>
        <s v="Pro - Data"/>
        <s v="COO - Maintenance"/>
        <s v="PMC - WH"/>
        <s v="Pro - Gold Applying"/>
        <s v="SubContractor"/>
        <s v="Pro - Manual Polishing"/>
        <s v="COO - WWT"/>
        <m/>
        <s v="Gold Leaf Work Shop_x000a_Dán thiếp vàng" u="1"/>
      </sharedItems>
    </cacheField>
    <cacheField name="Section" numFmtId="0">
      <sharedItems containsBlank="1"/>
    </cacheField>
    <cacheField name="Place" numFmtId="0">
      <sharedItems containsBlank="1"/>
    </cacheField>
    <cacheField name="Field7" caption="Field7" numFmtId="0">
      <sharedItems containsNonDate="0" containsString="0" containsBlank="1"/>
    </cacheField>
    <cacheField name="Field8" caption="Field8" numFmtId="0">
      <sharedItems containsNonDate="0" containsString="0" containsBlank="1"/>
    </cacheField>
    <cacheField name="34" numFmtId="0">
      <sharedItems containsBlank="1"/>
    </cacheField>
    <cacheField name="35" numFmtId="0">
      <sharedItems containsNonDate="0" containsString="0" containsBlank="1"/>
    </cacheField>
    <cacheField name="36" numFmtId="0">
      <sharedItems containsNonDate="0" containsString="0" containsBlank="1"/>
    </cacheField>
    <cacheField name="37" numFmtId="0">
      <sharedItems containsBlank="1"/>
    </cacheField>
    <cacheField name="Field13" caption="Field13" numFmtId="0">
      <sharedItems containsBlank="1"/>
    </cacheField>
    <cacheField name="40" numFmtId="0">
      <sharedItems containsNonDate="0" containsString="0" containsBlank="1"/>
    </cacheField>
    <cacheField name="41" numFmtId="0">
      <sharedItems containsBlank="1"/>
    </cacheField>
    <cacheField name="42" numFmtId="0">
      <sharedItems containsBlank="1"/>
    </cacheField>
    <cacheField name="43" numFmtId="0">
      <sharedItems containsBlank="1"/>
    </cacheField>
    <cacheField name="432" numFmtId="0">
      <sharedItems containsBlank="1"/>
    </cacheField>
    <cacheField name="44" numFmtId="0">
      <sharedItems containsBlank="1"/>
    </cacheField>
    <cacheField name="45" numFmtId="0">
      <sharedItems containsBlank="1"/>
    </cacheField>
    <cacheField name="46" numFmtId="0">
      <sharedItems containsNonDate="0" containsString="0" containsBlank="1"/>
    </cacheField>
    <cacheField name="47" numFmtId="0">
      <sharedItems containsBlank="1"/>
    </cacheField>
    <cacheField name="48" numFmtId="0">
      <sharedItems containsBlank="1"/>
    </cacheField>
    <cacheField name="49" numFmtId="0">
      <sharedItems containsBlank="1"/>
    </cacheField>
    <cacheField name="50" numFmtId="0">
      <sharedItems containsBlank="1"/>
    </cacheField>
    <cacheField name="51" numFmtId="0">
      <sharedItems containsBlank="1"/>
    </cacheField>
    <cacheField name="52" numFmtId="0">
      <sharedItems containsBlank="1"/>
    </cacheField>
    <cacheField name="53" numFmtId="0">
      <sharedItems containsNonDate="0" containsString="0" containsBlank="1"/>
    </cacheField>
    <cacheField name="54" numFmtId="0">
      <sharedItems containsBlank="1"/>
    </cacheField>
    <cacheField name="55" numFmtId="0">
      <sharedItems containsBlank="1"/>
    </cacheField>
    <cacheField name="56" numFmtId="0">
      <sharedItems containsBlank="1"/>
    </cacheField>
    <cacheField name="57" numFmtId="0">
      <sharedItems containsBlank="1"/>
    </cacheField>
    <cacheField name="58" numFmtId="0">
      <sharedItems containsBlank="1"/>
    </cacheField>
    <cacheField name="59" numFmtId="0">
      <sharedItems containsBlank="1"/>
    </cacheField>
    <cacheField name="60" numFmtId="0">
      <sharedItems containsNonDate="0" containsString="0" containsBlank="1"/>
    </cacheField>
    <cacheField name="61" numFmtId="0">
      <sharedItems containsBlank="1"/>
    </cacheField>
    <cacheField name="62" numFmtId="0">
      <sharedItems containsBlank="1"/>
    </cacheField>
    <cacheField name="Field38" caption="Field38" numFmtId="0">
      <sharedItems containsBlank="1"/>
    </cacheField>
    <cacheField name="Total meals per day" numFmtId="0">
      <sharedItems containsString="0" containsBlank="1" containsNumber="1" containsInteger="1" minValue="0"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CV" refreshedDate="46295.621236805557" createdVersion="8" refreshedVersion="8" minRefreshableVersion="3" recordCount="449" xr:uid="{C9D332E9-64A7-4A3E-8ACE-E5310D8D45AB}">
  <cacheSource type="worksheet">
    <worksheetSource ref="A11:AM460" sheet="HHVCV"/>
  </cacheSource>
  <cacheFields count="39">
    <cacheField name="Status" numFmtId="0">
      <sharedItems/>
    </cacheField>
    <cacheField name="Code" numFmtId="0">
      <sharedItems containsBlank="1" containsMixedTypes="1" containsNumber="1" containsInteger="1" minValue="26000" maxValue="26017"/>
    </cacheField>
    <cacheField name="Fullname VN" numFmtId="0">
      <sharedItems containsBlank="1"/>
    </cacheField>
    <cacheField name="Department" numFmtId="0">
      <sharedItems containsBlank="1" count="13">
        <s v="HHVCV"/>
        <s v="PMC - WH"/>
        <s v="Subcontractor"/>
        <s v="PMC - Quality"/>
        <s v="COO - Maintenance"/>
        <s v="Pro - Expat"/>
        <m/>
        <s v="Pro - Aging"/>
        <s v="Pro - Painting"/>
        <s v="Pro - Packaging"/>
        <s v="Pro - Polishing"/>
        <s v="Pro - CNC"/>
        <s v="Pro - Data"/>
      </sharedItems>
    </cacheField>
    <cacheField name="Section" numFmtId="0">
      <sharedItems containsBlank="1"/>
    </cacheField>
    <cacheField name="Place" numFmtId="0">
      <sharedItems/>
    </cacheField>
    <cacheField name="Field7" caption="Field7" numFmtId="0">
      <sharedItems containsNonDate="0" containsString="0" containsBlank="1"/>
    </cacheField>
    <cacheField name="Last day" numFmtId="14">
      <sharedItems containsNonDate="0" containsString="0" containsBlank="1"/>
    </cacheField>
    <cacheField name="Field9" caption="Field9" numFmtId="0">
      <sharedItems containsNonDate="0" containsString="0" containsBlank="1"/>
    </cacheField>
    <cacheField name="Field10" caption="Field10" numFmtId="0">
      <sharedItems containsNonDate="0" containsString="0" containsBlank="1"/>
    </cacheField>
    <cacheField name="Field11" caption="Field11" numFmtId="0">
      <sharedItems containsNonDate="0" containsString="0" containsBlank="1"/>
    </cacheField>
    <cacheField name="Field12" caption="Field12" numFmtId="0">
      <sharedItems containsNonDate="0" containsString="0" containsBlank="1"/>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Blank="1"/>
    </cacheField>
    <cacheField name="Field31" caption="Field31" numFmtId="0">
      <sharedItems containsBlank="1"/>
    </cacheField>
    <cacheField name="Field32" caption="Field32" numFmtId="0">
      <sharedItems containsBlank="1"/>
    </cacheField>
    <cacheField name="Field33" caption="Field33" numFmtId="0">
      <sharedItems containsBlank="1"/>
    </cacheField>
    <cacheField name="Field34" caption="Field34" numFmtId="0">
      <sharedItems containsBlank="1"/>
    </cacheField>
    <cacheField name="Field35" caption="Field35" numFmtId="0">
      <sharedItems containsBlank="1"/>
    </cacheField>
    <cacheField name="Field36" caption="Field36" numFmtId="0">
      <sharedItems containsBlank="1"/>
    </cacheField>
    <cacheField name="Field37" caption="Field37" numFmtId="0">
      <sharedItems containsBlank="1"/>
    </cacheField>
    <cacheField name="Field38" caption="Field38" numFmtId="0">
      <sharedItems containsBlank="1"/>
    </cacheField>
    <cacheField name="Total meals per day" numFmtId="0">
      <sharedItems containsSemiMixedTypes="0" containsString="0" containsNumber="1" containsInteger="1" minValue="0" maxValue="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CV" refreshedDate="46295.62142372685" createdVersion="8" refreshedVersion="8" minRefreshableVersion="3" recordCount="340" xr:uid="{2C927AA8-5376-454F-803F-0041EAB39242}">
  <cacheSource type="worksheet">
    <worksheetSource ref="A15:AM355" sheet="HHVCV - Tăng ca"/>
  </cacheSource>
  <cacheFields count="39">
    <cacheField name="Status" numFmtId="0">
      <sharedItems/>
    </cacheField>
    <cacheField name="Code" numFmtId="0">
      <sharedItems containsBlank="1" containsMixedTypes="1" containsNumber="1" containsInteger="1" minValue="26000" maxValue="26017"/>
    </cacheField>
    <cacheField name="Fullname VN" numFmtId="0">
      <sharedItems containsBlank="1"/>
    </cacheField>
    <cacheField name="Department" numFmtId="0">
      <sharedItems containsBlank="1" count="7">
        <s v="HHVCV"/>
        <s v="PMC - WH"/>
        <s v="Subcontractor"/>
        <s v="PMC - Quality"/>
        <s v="COO - Maintenance"/>
        <s v="Pro - Expat"/>
        <m/>
      </sharedItems>
    </cacheField>
    <cacheField name="Section" numFmtId="0">
      <sharedItems containsBlank="1"/>
    </cacheField>
    <cacheField name="Place" numFmtId="0">
      <sharedItems containsBlank="1"/>
    </cacheField>
    <cacheField name="Field7" caption="Field7" numFmtId="0">
      <sharedItems containsNonDate="0" containsString="0" containsBlank="1"/>
    </cacheField>
    <cacheField name="Field8" caption="Field8" numFmtId="0">
      <sharedItems containsNonDate="0" containsString="0" containsBlank="1"/>
    </cacheField>
    <cacheField name="34" numFmtId="0">
      <sharedItems containsNonDate="0" containsString="0" containsBlank="1"/>
    </cacheField>
    <cacheField name="35" numFmtId="0">
      <sharedItems containsNonDate="0" containsString="0" containsBlank="1"/>
    </cacheField>
    <cacheField name="36" numFmtId="0">
      <sharedItems containsNonDate="0" containsString="0" containsBlank="1"/>
    </cacheField>
    <cacheField name="37" numFmtId="0">
      <sharedItems containsNonDate="0" containsString="0" containsBlank="1"/>
    </cacheField>
    <cacheField name="Field13" caption="Field13" numFmtId="0">
      <sharedItems containsNonDate="0" containsString="0" containsBlank="1"/>
    </cacheField>
    <cacheField name="40" numFmtId="0">
      <sharedItems containsNonDate="0" containsString="0" containsBlank="1"/>
    </cacheField>
    <cacheField name="41" numFmtId="0">
      <sharedItems containsNonDate="0" containsString="0" containsBlank="1"/>
    </cacheField>
    <cacheField name="42" numFmtId="0">
      <sharedItems containsNonDate="0" containsString="0" containsBlank="1"/>
    </cacheField>
    <cacheField name="43" numFmtId="0">
      <sharedItems containsNonDate="0" containsString="0" containsBlank="1"/>
    </cacheField>
    <cacheField name="432" numFmtId="0">
      <sharedItems containsNonDate="0" containsString="0" containsBlank="1"/>
    </cacheField>
    <cacheField name="44" numFmtId="0">
      <sharedItems containsNonDate="0" containsString="0" containsBlank="1"/>
    </cacheField>
    <cacheField name="45" numFmtId="0">
      <sharedItems containsNonDate="0" containsString="0" containsBlank="1"/>
    </cacheField>
    <cacheField name="46" numFmtId="0">
      <sharedItems containsNonDate="0" containsString="0" containsBlank="1"/>
    </cacheField>
    <cacheField name="47" numFmtId="0">
      <sharedItems containsNonDate="0" containsString="0" containsBlank="1"/>
    </cacheField>
    <cacheField name="48" numFmtId="0">
      <sharedItems containsNonDate="0" containsString="0" containsBlank="1"/>
    </cacheField>
    <cacheField name="49" numFmtId="0">
      <sharedItems containsNonDate="0" containsString="0" containsBlank="1"/>
    </cacheField>
    <cacheField name="50" numFmtId="0">
      <sharedItems containsNonDate="0" containsString="0" containsBlank="1"/>
    </cacheField>
    <cacheField name="51" numFmtId="0">
      <sharedItems containsNonDate="0" containsString="0" containsBlank="1"/>
    </cacheField>
    <cacheField name="52" numFmtId="0">
      <sharedItems containsNonDate="0" containsString="0" containsBlank="1"/>
    </cacheField>
    <cacheField name="53" numFmtId="0">
      <sharedItems containsNonDate="0" containsString="0" containsBlank="1"/>
    </cacheField>
    <cacheField name="54" numFmtId="0">
      <sharedItems containsNonDate="0" containsString="0" containsBlank="1"/>
    </cacheField>
    <cacheField name="55" numFmtId="0">
      <sharedItems containsBlank="1"/>
    </cacheField>
    <cacheField name="56" numFmtId="0">
      <sharedItems containsBlank="1"/>
    </cacheField>
    <cacheField name="57" numFmtId="0">
      <sharedItems containsBlank="1"/>
    </cacheField>
    <cacheField name="58" numFmtId="0">
      <sharedItems containsNonDate="0" containsString="0" containsBlank="1"/>
    </cacheField>
    <cacheField name="59" numFmtId="0">
      <sharedItems containsBlank="1"/>
    </cacheField>
    <cacheField name="60" numFmtId="0">
      <sharedItems containsBlank="1"/>
    </cacheField>
    <cacheField name="61" numFmtId="0">
      <sharedItems containsBlank="1"/>
    </cacheField>
    <cacheField name="62" numFmtId="0">
      <sharedItems containsBlank="1"/>
    </cacheField>
    <cacheField name="Field38" caption="Field38" numFmtId="0">
      <sharedItems containsBlank="1"/>
    </cacheField>
    <cacheField name="Total meals per day" numFmtId="0">
      <sharedItems containsSemiMixedTypes="0" containsString="0" containsNumber="1" containsInteger="1" minValue="0" maxValue="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3">
  <r>
    <s v="Active"/>
    <s v="HOLA001"/>
    <s v="Trần Thị Thúy Phượng"/>
    <x v="0"/>
    <s v="Subcontractor"/>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HOLA003"/>
    <s v="Trần Thị Lệ Sáng"/>
    <x v="0"/>
    <s v="Subcontractor"/>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s v="Sáng - Mặn - Xưởng"/>
    <n v="23"/>
  </r>
  <r>
    <s v="Active"/>
    <s v="HOLA004"/>
    <s v="Nguyễn Thị Chỉnh"/>
    <x v="0"/>
    <s v="Subcontractor"/>
    <s v="Office"/>
    <s v="Chay"/>
    <m/>
    <m/>
    <m/>
    <m/>
    <s v="Sáng - Chay - VP"/>
    <s v="Sáng - Chay - VP"/>
    <m/>
    <s v="Sáng - Chay - VP"/>
    <s v="Sáng - Chay - VP"/>
    <s v="Sáng - Chay - VP"/>
    <s v="Sáng - Chay - VP"/>
    <s v="Sáng - Chay - VP"/>
    <s v="Sáng - Chay - VP"/>
    <m/>
    <s v="Sáng - Chay - VP"/>
    <s v="Sáng - Chay - VP"/>
    <s v="Sáng - Chay - VP"/>
    <s v="Sáng - Chay - VP"/>
    <s v="Sáng - Chay - VP"/>
    <s v="Sáng - Chay - VP"/>
    <m/>
    <s v="Sáng - Chay - VP"/>
    <s v="Sáng - Chay - VP"/>
    <s v="Sáng - Chay - VP"/>
    <s v="Sáng - Chay - VP"/>
    <s v="Sáng - Chay - VP"/>
    <s v="Sáng - Chay - VP"/>
    <m/>
    <s v="Sáng - Chay - VP"/>
    <s v="Sáng - Chay - VP"/>
    <s v="Sáng - Chay - VP"/>
    <n v="23"/>
  </r>
  <r>
    <s v="Active"/>
    <s v="HOLA005"/>
    <s v="Nguyễn Thị Chín"/>
    <x v="0"/>
    <s v="Subcontractor"/>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PTT0451"/>
    <s v="Trần Huy Cường"/>
    <x v="1"/>
    <s v="Pro - Packaging"/>
    <s v="Factory"/>
    <m/>
    <m/>
    <s v="Sáng - Mặn - Xưởng"/>
    <m/>
    <m/>
    <m/>
    <s v="Sáng - Mặn - Xưởng"/>
    <m/>
    <m/>
    <m/>
    <m/>
    <m/>
    <m/>
    <m/>
    <m/>
    <m/>
    <m/>
    <m/>
    <m/>
    <m/>
    <m/>
    <m/>
    <m/>
    <m/>
    <m/>
    <m/>
    <m/>
    <m/>
    <m/>
    <m/>
    <m/>
    <m/>
    <n v="2"/>
  </r>
  <r>
    <s v="Active"/>
    <s v="PTT0583"/>
    <s v="Võ Thị Ánh Nguyệt"/>
    <x v="2"/>
    <s v="Pro - Aging"/>
    <s v="Factory"/>
    <m/>
    <m/>
    <s v="Sáng - Mặn - Xưởng"/>
    <m/>
    <m/>
    <m/>
    <s v="Sáng - Mặn - Xưởng"/>
    <s v="Sáng - Mặn - Xưởng"/>
    <m/>
    <m/>
    <m/>
    <m/>
    <m/>
    <m/>
    <m/>
    <m/>
    <m/>
    <m/>
    <m/>
    <m/>
    <m/>
    <m/>
    <m/>
    <m/>
    <m/>
    <m/>
    <m/>
    <m/>
    <m/>
    <m/>
    <m/>
    <m/>
    <n v="3"/>
  </r>
  <r>
    <s v="Active"/>
    <s v="PTT0591"/>
    <s v="Nguyễn Thị Thủy"/>
    <x v="2"/>
    <s v="Pro - Aging"/>
    <s v="Factory"/>
    <m/>
    <m/>
    <s v="Sáng - Mặn - Xưởng"/>
    <m/>
    <m/>
    <m/>
    <m/>
    <m/>
    <m/>
    <m/>
    <m/>
    <m/>
    <m/>
    <m/>
    <m/>
    <m/>
    <m/>
    <m/>
    <m/>
    <m/>
    <m/>
    <m/>
    <m/>
    <m/>
    <m/>
    <m/>
    <m/>
    <m/>
    <m/>
    <m/>
    <m/>
    <m/>
    <n v="1"/>
  </r>
  <r>
    <s v="Active"/>
    <s v="PTT0592"/>
    <s v="Nguyễn Thị Hương"/>
    <x v="2"/>
    <s v="Pro - Aging"/>
    <s v="Factory"/>
    <m/>
    <m/>
    <s v="Sáng - Mặn - Xưởng"/>
    <m/>
    <m/>
    <s v="Sáng - Mặn - Xưởng"/>
    <s v="Sáng - Mặn - Xưởng"/>
    <m/>
    <m/>
    <m/>
    <m/>
    <m/>
    <m/>
    <m/>
    <m/>
    <m/>
    <m/>
    <m/>
    <m/>
    <m/>
    <m/>
    <m/>
    <m/>
    <m/>
    <m/>
    <m/>
    <m/>
    <m/>
    <m/>
    <m/>
    <m/>
    <m/>
    <n v="3"/>
  </r>
  <r>
    <s v="Active"/>
    <s v="PTT0593"/>
    <s v="Nguyễn Thị Thanh Huyền"/>
    <x v="2"/>
    <s v="Pro - Aging"/>
    <s v="Factory"/>
    <m/>
    <m/>
    <s v="Sáng - Mặn - Xưởng"/>
    <m/>
    <m/>
    <s v="Sáng - Mặn - Xưởng"/>
    <m/>
    <m/>
    <m/>
    <m/>
    <m/>
    <m/>
    <m/>
    <m/>
    <m/>
    <m/>
    <m/>
    <m/>
    <m/>
    <m/>
    <m/>
    <m/>
    <m/>
    <m/>
    <m/>
    <m/>
    <m/>
    <m/>
    <m/>
    <m/>
    <m/>
    <m/>
    <n v="2"/>
  </r>
  <r>
    <s v="Active"/>
    <s v="PTT0598"/>
    <s v="Nguyễn Hải Yến"/>
    <x v="1"/>
    <s v="Pro - Packaging"/>
    <s v="Factory"/>
    <m/>
    <m/>
    <s v="Sáng - Mặn - Xưởng"/>
    <m/>
    <m/>
    <m/>
    <s v="Sáng - Mặn - Xưởng"/>
    <s v="Sáng - Mặn - Xưởng"/>
    <m/>
    <m/>
    <m/>
    <m/>
    <m/>
    <m/>
    <m/>
    <m/>
    <m/>
    <m/>
    <m/>
    <m/>
    <m/>
    <m/>
    <m/>
    <m/>
    <m/>
    <m/>
    <m/>
    <m/>
    <m/>
    <m/>
    <m/>
    <m/>
    <n v="3"/>
  </r>
  <r>
    <s v="Active"/>
    <s v="PTT0599"/>
    <s v="Trịnh Thị Nương Em"/>
    <x v="1"/>
    <s v="Pro - Packaging"/>
    <s v="Factory"/>
    <m/>
    <m/>
    <s v="Sáng - Mặn - Xưởng"/>
    <m/>
    <m/>
    <m/>
    <m/>
    <m/>
    <m/>
    <m/>
    <m/>
    <m/>
    <m/>
    <m/>
    <m/>
    <m/>
    <m/>
    <m/>
    <m/>
    <m/>
    <m/>
    <m/>
    <m/>
    <m/>
    <m/>
    <m/>
    <m/>
    <m/>
    <m/>
    <m/>
    <m/>
    <m/>
    <n v="1"/>
  </r>
  <r>
    <s v="Active"/>
    <s v="PTT0615"/>
    <s v="Nguyễn Văn Phước"/>
    <x v="1"/>
    <s v="Pro - Packaging"/>
    <s v="Factory"/>
    <m/>
    <m/>
    <s v="Sáng - Mặn - Xưởng"/>
    <m/>
    <m/>
    <m/>
    <s v="Sáng - Mặn - Xưởng"/>
    <s v="Sáng - Mặn - Xưởng"/>
    <m/>
    <m/>
    <m/>
    <m/>
    <m/>
    <m/>
    <m/>
    <m/>
    <m/>
    <m/>
    <m/>
    <m/>
    <m/>
    <m/>
    <m/>
    <m/>
    <m/>
    <m/>
    <m/>
    <m/>
    <m/>
    <m/>
    <m/>
    <m/>
    <n v="3"/>
  </r>
  <r>
    <s v="Active"/>
    <s v="VCV0797"/>
    <s v="Từ Tuấn Tú"/>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n v="25"/>
  </r>
  <r>
    <s v="Active"/>
    <s v="VCV0796"/>
    <s v="Lý Văn Luôl"/>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6"/>
  </r>
  <r>
    <s v="Active"/>
    <s v="VCV0794"/>
    <s v="Khưu Thị Cẩm Lai"/>
    <x v="1"/>
    <s v="Pro - Packaging"/>
    <s v="Factory"/>
    <m/>
    <m/>
    <s v="Sáng - Mặn - Xưởng"/>
    <m/>
    <m/>
    <s v="Sáng - Mặn - Xưởng"/>
    <s v="Sáng - Mặn - Xưởng"/>
    <s v="Sáng - Mặn - Xưởng"/>
    <s v="Sáng - Mặn - Xưởng"/>
    <s v="Sáng - Mặn - Xưởng"/>
    <s v="Sáng - Mặn - Xưởng"/>
    <s v="Sáng - Mặn - Xưởng"/>
    <m/>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5"/>
  </r>
  <r>
    <s v="Active"/>
    <s v="PTT0636"/>
    <s v="Hà Thị Thanh"/>
    <x v="2"/>
    <s v="Pro - Aging"/>
    <s v="Factory"/>
    <m/>
    <m/>
    <s v="Sáng - Mặn - Xưởng"/>
    <m/>
    <m/>
    <s v="Sáng - Mặn - Xưởng"/>
    <s v="Sáng - Mặn - Xưởng"/>
    <m/>
    <m/>
    <m/>
    <m/>
    <m/>
    <m/>
    <m/>
    <m/>
    <m/>
    <m/>
    <m/>
    <m/>
    <m/>
    <m/>
    <m/>
    <m/>
    <m/>
    <m/>
    <m/>
    <m/>
    <m/>
    <m/>
    <m/>
    <m/>
    <m/>
    <n v="3"/>
  </r>
  <r>
    <s v="Active"/>
    <s v="PTT0637"/>
    <s v="Đào Thị Kim Oanh"/>
    <x v="2"/>
    <s v="Pro - Aging"/>
    <s v="Factory"/>
    <m/>
    <m/>
    <s v="Sáng - Mặn - Xưởng"/>
    <m/>
    <m/>
    <s v="Sáng - Mặn - Xưởng"/>
    <s v="Sáng - Mặn - Xưởng"/>
    <m/>
    <m/>
    <m/>
    <m/>
    <m/>
    <m/>
    <m/>
    <m/>
    <m/>
    <m/>
    <m/>
    <m/>
    <m/>
    <m/>
    <m/>
    <m/>
    <m/>
    <m/>
    <m/>
    <m/>
    <m/>
    <m/>
    <m/>
    <m/>
    <m/>
    <n v="3"/>
  </r>
  <r>
    <s v="Active"/>
    <s v="VCV0795"/>
    <s v="Trần Thị Quỳnh Như"/>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5"/>
  </r>
  <r>
    <s v="Active"/>
    <s v="VCV0793"/>
    <s v="Võ Thị Kim Chung"/>
    <x v="1"/>
    <s v="Pro - Packaging"/>
    <s v="Factory"/>
    <m/>
    <m/>
    <s v="Sáng - Mặn - Xưởng"/>
    <m/>
    <m/>
    <s v="Sáng - Mặn - Xưởng"/>
    <s v="Sáng - Mặn - Xưởng"/>
    <s v="Sáng - Mặn - Xưởng"/>
    <s v="Sáng - Mặn - Xưởng"/>
    <s v="Sáng - Mặn - Xưởng"/>
    <s v="Sáng - Mặn - Xưởng"/>
    <s v="Sáng - Mặn - Xưởng"/>
    <m/>
    <m/>
    <m/>
    <m/>
    <m/>
    <m/>
    <m/>
    <m/>
    <m/>
    <m/>
    <m/>
    <m/>
    <m/>
    <m/>
    <m/>
    <m/>
    <m/>
    <m/>
    <m/>
    <m/>
    <n v="8"/>
  </r>
  <r>
    <s v="Active"/>
    <s v="TNBH0020"/>
    <s v="Lê Tuyết Anh"/>
    <x v="1"/>
    <s v="Pro - Packaging"/>
    <s v="Factory"/>
    <m/>
    <m/>
    <s v="Sáng - Mặn - Xưởng"/>
    <m/>
    <m/>
    <m/>
    <s v="Sáng - Mặn - Xưởng"/>
    <s v="Sáng - Mặn - Xưởng"/>
    <m/>
    <m/>
    <m/>
    <m/>
    <m/>
    <m/>
    <m/>
    <m/>
    <m/>
    <m/>
    <m/>
    <m/>
    <m/>
    <m/>
    <m/>
    <m/>
    <m/>
    <m/>
    <m/>
    <m/>
    <m/>
    <m/>
    <m/>
    <m/>
    <n v="3"/>
  </r>
  <r>
    <s v="Active"/>
    <s v="VCV0002"/>
    <s v="Dương Thị Vy Thảo"/>
    <x v="3"/>
    <s v="HR Admin"/>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752"/>
    <s v="Dương Anh Thư"/>
    <x v="3"/>
    <s v="HR Admin"/>
    <s v="Office"/>
    <m/>
    <m/>
    <s v="Sáng - Mặn - VP"/>
    <m/>
    <m/>
    <s v="Sáng - Mặn - VP"/>
    <s v="Sáng - Mặn - VP"/>
    <m/>
    <s v="Sáng - Mặn - VP"/>
    <m/>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3"/>
  </r>
  <r>
    <s v="Active"/>
    <s v="VCV0004"/>
    <s v="Trần Thu Thủy"/>
    <x v="4"/>
    <s v="PMC - Quality"/>
    <s v="Factory"/>
    <m/>
    <m/>
    <m/>
    <m/>
    <m/>
    <m/>
    <m/>
    <m/>
    <s v="Sáng - Mặn - VP"/>
    <m/>
    <s v="Sáng - Mặn - VP"/>
    <s v="Sáng - Mặn - VP"/>
    <s v="Sáng - Mặn - VP"/>
    <s v="Sáng - Mặn - VP"/>
    <m/>
    <s v="Sáng - Mặn - VP"/>
    <s v="Sáng - Mặn - VP"/>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CT"/>
    <n v="19"/>
  </r>
  <r>
    <s v="Active"/>
    <s v="VCV0007"/>
    <s v="Hoàng Thị Thanh Xuân"/>
    <x v="5"/>
    <s v="COO Office"/>
    <s v="Office"/>
    <m/>
    <m/>
    <s v="Sáng - Mặn - VP"/>
    <m/>
    <m/>
    <s v="Sáng - Mặn - VP"/>
    <s v="Sáng - Mặn - VP"/>
    <m/>
    <s v="Sáng - Mặn - VP"/>
    <s v="Sáng - Mặn - VP"/>
    <m/>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3"/>
  </r>
  <r>
    <s v="Active"/>
    <s v="VCV0009"/>
    <s v="Nguyễn Hoàng Khang"/>
    <x v="6"/>
    <s v="COO Office"/>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n v="23"/>
  </r>
  <r>
    <s v="Active"/>
    <s v="VCV0011"/>
    <s v="Nguyễn Thị Minh Hiền"/>
    <x v="7"/>
    <s v="COO Office"/>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012"/>
    <s v="Nguyễn Kim Chi"/>
    <x v="8"/>
    <s v="PMC - Plan"/>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m/>
    <m/>
    <s v="Sáng - Mặn - VP"/>
    <s v="Sáng - Mặn - VP"/>
    <s v="Sáng - Mặn - VP"/>
    <s v="Sáng - Mặn - VP"/>
    <s v="Sáng - Mặn - VP"/>
    <s v="Sáng - Mặn - VP"/>
    <m/>
    <m/>
    <s v="Sáng - Mặn - VP"/>
    <s v="Sáng - Mặn - VP"/>
    <n v="22"/>
  </r>
  <r>
    <s v="Active"/>
    <s v="VCV0015"/>
    <s v="Trương Phát Minh"/>
    <x v="9"/>
    <s v="COO Office"/>
    <s v="Factory"/>
    <m/>
    <m/>
    <m/>
    <m/>
    <m/>
    <m/>
    <s v="Sáng - Mặn - Xưởng"/>
    <m/>
    <s v="Sáng - Mặn - Xưởng"/>
    <s v="Sáng - Mặn - Xưởng"/>
    <s v="Sáng - Mặn - Xưởng"/>
    <s v="Sáng - Mặn - Xưởng"/>
    <s v="Sáng - Mặn - Xưởng"/>
    <s v="Sáng - Mặn - Xưởng"/>
    <m/>
    <m/>
    <s v="Sáng - Mặn - Xưởng"/>
    <s v="Sáng - Mặn - Xưởng"/>
    <s v="Sáng - Mặn - Xưởng"/>
    <m/>
    <s v="Sáng - Mặn - Xưởng"/>
    <m/>
    <s v="Sáng - Mặn - Xưởng"/>
    <s v="Sáng - Mặn - Xưởng"/>
    <s v="Sáng - Mặn - Xưởng"/>
    <s v="Sáng - Mặn - VP"/>
    <s v="Sáng - Mặn - VP"/>
    <s v="Sáng - Mặn - Xưởng"/>
    <m/>
    <s v="Sáng - Mặn - VP"/>
    <s v="Sáng - Mặn - VP"/>
    <s v="Sáng - Mặn - VP"/>
    <n v="20"/>
  </r>
  <r>
    <s v="Active"/>
    <s v="VCV0018"/>
    <s v="Vương Nhựt Lân"/>
    <x v="10"/>
    <s v="Pro - Weld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019"/>
    <s v="Nguyễn Quốc Anh"/>
    <x v="10"/>
    <s v="Pro - Weld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m/>
    <s v="Sáng - Mặn - Xưởng"/>
    <m/>
    <s v="Sáng - Mặn - Xưởng"/>
    <s v="Sáng - Mặn - Xưởng"/>
    <s v="Sáng - Mặn - Xưởng"/>
    <n v="23"/>
  </r>
  <r>
    <s v="Active"/>
    <s v="VCV0024"/>
    <s v="Huỳnh Thị Huyền Trang"/>
    <x v="4"/>
    <s v="PMC - Quality"/>
    <s v="Factory"/>
    <m/>
    <m/>
    <s v="Sáng - Mặn - Xưởng"/>
    <m/>
    <m/>
    <s v="CT"/>
    <s v="CT"/>
    <m/>
    <s v="Sáng - Mặn - Xưởng"/>
    <s v="Sáng - Mặn - Xưởng"/>
    <s v="Sáng - Mặn - Xưởng"/>
    <s v="CT"/>
    <m/>
    <s v="CT"/>
    <m/>
    <s v="CT"/>
    <s v="CT"/>
    <s v="CT"/>
    <s v="CT"/>
    <s v="CT"/>
    <s v="CT"/>
    <m/>
    <s v="CT"/>
    <s v="CT"/>
    <s v="CT"/>
    <s v="CT"/>
    <s v="CT"/>
    <s v="CT"/>
    <m/>
    <s v="CT"/>
    <s v="CT"/>
    <s v="Sáng - Mặn - Xưởng"/>
    <n v="5"/>
  </r>
  <r>
    <s v="Active"/>
    <s v="VCV0025"/>
    <s v="Phạm Thị Ngọc Diễm"/>
    <x v="11"/>
    <s v="Pro - Data"/>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m/>
    <s v="Sáng - Mặn - VP"/>
    <s v="Sáng - Mặn - VP"/>
    <s v="Sáng - Mặn - VP"/>
    <s v="Sáng - Mặn - Xưởng"/>
    <s v="Sáng - Mặn - VP"/>
    <s v="Sáng - Mặn - VP"/>
    <s v="Sáng - Mặn - VP"/>
    <n v="24"/>
  </r>
  <r>
    <s v="Active"/>
    <s v="VCV0028"/>
    <s v="Bùi Long Phi"/>
    <x v="12"/>
    <s v="Pro - Polish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m/>
    <m/>
    <m/>
    <m/>
    <m/>
    <m/>
    <m/>
    <m/>
    <m/>
    <m/>
    <m/>
    <m/>
    <m/>
    <m/>
    <m/>
    <n v="11"/>
  </r>
  <r>
    <s v="Active"/>
    <s v="VCV0029"/>
    <s v="Đoàn Thị Chút"/>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031"/>
    <s v="Thòng Cooc Làn"/>
    <x v="2"/>
    <s v="Pro - Aging"/>
    <s v="Factory"/>
    <m/>
    <m/>
    <s v="Sáng - Mặn - Xưởng"/>
    <m/>
    <m/>
    <s v="Sáng - Mặn - Xưởng"/>
    <s v="Sáng - Mặn - Xưởng"/>
    <m/>
    <s v="Sáng - Mặn - Xưởng"/>
    <m/>
    <m/>
    <m/>
    <m/>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0"/>
  </r>
  <r>
    <s v="Active"/>
    <s v="VCV0032"/>
    <s v="Nguyễn Thị Ngọc Trâm"/>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033"/>
    <s v="Nguyễn Phương Thanh"/>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s v="Sáng - Mặn - Xưởng"/>
    <n v="21"/>
  </r>
  <r>
    <s v="Active"/>
    <s v="VCV0036"/>
    <s v="Bùi Hồng Giang"/>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s v="Sáng - Mặn - Xưởng"/>
    <n v="20"/>
  </r>
  <r>
    <s v="Active"/>
    <s v="VCV0037"/>
    <s v="Hồ Thị Quỳnh Thoa"/>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s v="Sáng - Mặn - Xưởng"/>
    <n v="20"/>
  </r>
  <r>
    <s v="Active"/>
    <s v="VCV0041"/>
    <s v="Yan Wei"/>
    <x v="13"/>
    <s v="Pro - Expat"/>
    <s v="Chinese"/>
    <m/>
    <m/>
    <s v="Sáng - Trung"/>
    <m/>
    <m/>
    <s v="Sáng - Trung"/>
    <s v="Sáng - Trung"/>
    <s v="Sáng - Trung"/>
    <s v="Sáng - Trung"/>
    <s v="Sáng - Trung"/>
    <s v="Sáng - Trung"/>
    <s v="Sáng - Trung"/>
    <s v="Sáng - Trung"/>
    <s v="Sáng - Trung"/>
    <m/>
    <s v="Sáng - Trung"/>
    <s v="Sáng - Trung"/>
    <s v="Sáng - Trung"/>
    <s v="Sáng - Trung"/>
    <s v="Sáng - Trung"/>
    <s v="Sáng - Trung"/>
    <s v="Sáng - Trung"/>
    <s v="Sáng - Trung"/>
    <s v="Sáng - Trung"/>
    <s v="Sáng - Trung"/>
    <s v="Sáng - Trung"/>
    <s v="Sáng - Trung"/>
    <s v="Sáng - Trung"/>
    <m/>
    <s v="Sáng - Trung"/>
    <s v="Sáng - Trung"/>
    <s v="Sáng - Trung"/>
    <n v="26"/>
  </r>
  <r>
    <s v="Active"/>
    <s v="VCV0042"/>
    <s v="Chen Jianyun"/>
    <x v="13"/>
    <s v="Pro - Expat"/>
    <s v="Chinese"/>
    <m/>
    <m/>
    <m/>
    <m/>
    <m/>
    <m/>
    <m/>
    <s v="Sáng - Trung"/>
    <m/>
    <m/>
    <m/>
    <m/>
    <m/>
    <m/>
    <m/>
    <m/>
    <s v="Sáng - Trung"/>
    <s v="Sáng - Trung"/>
    <s v="Sáng - Trung"/>
    <s v="Sáng - Trung"/>
    <s v="Sáng - Trung"/>
    <m/>
    <s v="Sáng - Trung"/>
    <s v="Sáng - Trung"/>
    <s v="Sáng - Trung"/>
    <s v="Sáng - Trung"/>
    <s v="Sáng - Trung"/>
    <s v="Sáng - Trung"/>
    <m/>
    <s v="Sáng - Trung"/>
    <s v="Sáng - Trung"/>
    <s v="Sáng - Trung"/>
    <n v="15"/>
  </r>
  <r>
    <s v="Active"/>
    <s v="VCV0043"/>
    <s v="Lu Changxi"/>
    <x v="13"/>
    <s v="Pro - Expat"/>
    <s v="Chinese"/>
    <m/>
    <m/>
    <s v="CT"/>
    <m/>
    <m/>
    <s v="CT"/>
    <s v="CT"/>
    <m/>
    <s v="CT"/>
    <s v="CT"/>
    <s v="CT"/>
    <s v="CT"/>
    <s v="CT"/>
    <s v="CT"/>
    <m/>
    <s v="CT"/>
    <s v="CT"/>
    <s v="CT"/>
    <s v="CT"/>
    <s v="CT"/>
    <s v="CT"/>
    <m/>
    <s v="CT"/>
    <s v="CT"/>
    <s v="CT"/>
    <s v="Sáng - Trung"/>
    <s v="CT"/>
    <s v="CT"/>
    <m/>
    <s v="CT"/>
    <s v="Sáng - Trung"/>
    <s v="CT"/>
    <n v="2"/>
  </r>
  <r>
    <s v="Active"/>
    <s v="VCV0044"/>
    <s v="Yu Zichun"/>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4"/>
  </r>
  <r>
    <s v="Active"/>
    <s v="VCV0047"/>
    <s v="Chen Xiaojun"/>
    <x v="13"/>
    <s v="Pro - Expat"/>
    <s v="Chinese"/>
    <m/>
    <m/>
    <s v="Sáng - Trung"/>
    <m/>
    <m/>
    <s v="Sáng - Trung"/>
    <s v="Sáng - Trung"/>
    <m/>
    <s v="Sáng - Trung"/>
    <s v="Sáng - Trung"/>
    <s v="Sáng - Trung"/>
    <s v="Sáng - Trung"/>
    <s v="Sáng - Trung"/>
    <s v="Sáng - Trung"/>
    <m/>
    <s v="Sáng - Trung"/>
    <s v="Sáng - Trung"/>
    <s v="Sáng - Trung"/>
    <s v="Sáng - Trung"/>
    <s v="Sáng - Trung"/>
    <m/>
    <m/>
    <s v="Sáng - Trung"/>
    <s v="Sáng - Trung"/>
    <s v="Sáng - Trung"/>
    <s v="Sáng - Trung"/>
    <s v="Sáng - Trung"/>
    <s v="Sáng - Trung"/>
    <m/>
    <s v="Sáng - Trung"/>
    <s v="Sáng - Trung"/>
    <s v="Sáng - Trung"/>
    <n v="23"/>
  </r>
  <r>
    <s v="Active"/>
    <s v="VCV0048"/>
    <s v="Ren Mingguang"/>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4"/>
  </r>
  <r>
    <s v="Active"/>
    <s v="VCV0049"/>
    <s v="Yang Xingwen"/>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4"/>
  </r>
  <r>
    <s v="Active"/>
    <s v="VCV0050"/>
    <s v="Luo Goutian"/>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4"/>
  </r>
  <r>
    <s v="Active"/>
    <s v="VCV0051"/>
    <s v="Xu Jingang"/>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s v="Sáng - Trung"/>
    <s v="Sáng - Trung"/>
    <s v="Sáng - Trung"/>
    <s v="Sáng - Trung"/>
    <n v="25"/>
  </r>
  <r>
    <s v="Active"/>
    <s v="VCV0052"/>
    <s v="Chen Fengliang"/>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4"/>
  </r>
  <r>
    <s v="Active"/>
    <s v="VCV0059"/>
    <s v="Nguyễn Thị Kiều Nga"/>
    <x v="14"/>
    <s v="COO Office"/>
    <s v="Office"/>
    <m/>
    <m/>
    <s v="Sáng - Mặn - VP"/>
    <m/>
    <m/>
    <s v="Sáng - Mặn - VP"/>
    <s v="Sáng - Mặn - VP"/>
    <m/>
    <s v="Sáng - Mặn - VP"/>
    <s v="Sáng - Mặn - VP"/>
    <s v="Sáng - Mặn - VP"/>
    <s v="Sáng - Mặn - VP"/>
    <s v="Sáng - Mặn - VP"/>
    <s v="Sáng - Mặn - VP"/>
    <m/>
    <m/>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3"/>
  </r>
  <r>
    <s v="Active"/>
    <s v="VCV0060"/>
    <s v="Vũ Văn Dần"/>
    <x v="15"/>
    <s v="Pro - CNC"/>
    <s v="Factory"/>
    <m/>
    <m/>
    <s v="Sáng - Mặn - Xưởng"/>
    <m/>
    <m/>
    <s v="Sáng - Mặn - Xưởng"/>
    <s v="Sáng - Mặn - Xưởng"/>
    <m/>
    <m/>
    <m/>
    <m/>
    <m/>
    <m/>
    <m/>
    <m/>
    <s v="Sáng - Mặn - Xưởng"/>
    <s v="Sáng - Mặn - Xưởng"/>
    <m/>
    <s v="Sáng - Mặn - Xưởng"/>
    <m/>
    <s v="Sáng - Mặn - Xưởng"/>
    <m/>
    <s v="Sáng - Mặn - Xưởng"/>
    <s v="Sáng - Mặn - Xưởng"/>
    <s v="Sáng - Mặn - Xưởng"/>
    <m/>
    <s v="Sáng - Mặn - Xưởng"/>
    <s v="Sáng - Mặn - Xưởng"/>
    <m/>
    <m/>
    <m/>
    <s v="Sáng - Mặn - Xưởng"/>
    <n v="13"/>
  </r>
  <r>
    <s v="Active"/>
    <s v="VCV0061"/>
    <s v="Trần Minh Công"/>
    <x v="15"/>
    <s v="Pro - CNC"/>
    <s v="Factory"/>
    <m/>
    <m/>
    <s v="Sáng - Mặn - Xưởng"/>
    <m/>
    <m/>
    <s v="Sáng - Mặn - Xưởng"/>
    <s v="Sáng - Mặn - Xưởng"/>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m/>
    <m/>
    <s v="Sáng - Mặn - Xưởng"/>
    <s v="Sáng - Mặn - Xưởng"/>
    <m/>
    <m/>
    <s v="Sáng - Mặn - Xưởng"/>
    <s v="Sáng - Mặn - Xưởng"/>
    <n v="19"/>
  </r>
  <r>
    <s v="Active"/>
    <s v="VCV0063 "/>
    <s v="Trần Cường"/>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s v="Sáng - Mặn - Xưởng"/>
    <n v="23"/>
  </r>
  <r>
    <s v="Active"/>
    <s v="VCV0065"/>
    <s v="Nguyễn Hoàng Vũ"/>
    <x v="16"/>
    <s v="Pro - Manual Lathe"/>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s v="Sáng - Mặn - Xưởng"/>
    <n v="23"/>
  </r>
  <r>
    <s v="Active"/>
    <s v="VCV0069"/>
    <s v="Đinh Thị Ngọc Thùy"/>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m/>
    <n v="22"/>
  </r>
  <r>
    <s v="Active"/>
    <s v="VCV0072"/>
    <s v="Trương Thị Hóa"/>
    <x v="2"/>
    <s v="Pro - Aging"/>
    <s v="Factory"/>
    <m/>
    <m/>
    <s v="Sáng - Mặn - Xưởng"/>
    <m/>
    <m/>
    <m/>
    <m/>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s v="Sáng - Mặn - Xưởng"/>
    <n v="18"/>
  </r>
  <r>
    <s v="Active"/>
    <s v="VCV0073"/>
    <s v="Nguyễn Thành Dư"/>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n v="23"/>
  </r>
  <r>
    <s v="Active"/>
    <s v="VCV0085"/>
    <s v="Yang Defen"/>
    <x v="13"/>
    <s v="Pro - Expat"/>
    <s v="Chinese"/>
    <m/>
    <m/>
    <s v="Sáng - Trung"/>
    <m/>
    <m/>
    <s v="Sáng - Trung"/>
    <s v="Sáng - Trung"/>
    <s v="Sáng - Trung"/>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5"/>
  </r>
  <r>
    <s v="Active"/>
    <s v="VCV0088"/>
    <s v="Bùi Thị Vân Anh"/>
    <x v="11"/>
    <s v="Pro - Data"/>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091"/>
    <s v="Vòng Quyền Chi"/>
    <x v="12"/>
    <s v="Pro - Polishing"/>
    <s v="Factory"/>
    <m/>
    <m/>
    <s v="Sáng - Mặn - Xưởng"/>
    <m/>
    <m/>
    <s v="Sáng - Mặn - Xưởng"/>
    <s v="Sáng - Mặn - Xưởng"/>
    <m/>
    <s v="Sáng - Mặn - Xưởng"/>
    <m/>
    <s v="Sáng - Mặn - Xưởng"/>
    <s v="Sáng - Mặn - Xưởng"/>
    <s v="Sáng - Mặn - Xưởng"/>
    <s v="Sáng - Mặn - Xưởng"/>
    <m/>
    <s v="Sáng - Mặn - Xưởng"/>
    <s v="Sáng - Mặn - Xưởng"/>
    <s v="Sáng - Mặn - Xưởng"/>
    <m/>
    <m/>
    <m/>
    <m/>
    <m/>
    <m/>
    <m/>
    <m/>
    <m/>
    <m/>
    <m/>
    <m/>
    <m/>
    <m/>
    <n v="11"/>
  </r>
  <r>
    <s v="Active"/>
    <s v="VCV0095"/>
    <s v="Siu Dôi"/>
    <x v="16"/>
    <s v="Pro - Manual Lathe"/>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099"/>
    <s v="Lê Thị Kim Hoàng"/>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03"/>
    <s v="Lê Thị Hải"/>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106"/>
    <s v="Phạm Thị Nhung"/>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m/>
    <s v="Sáng - Mặn - Xưởng"/>
    <m/>
    <s v="Sáng - Mặn - Xưởng"/>
    <s v="Sáng - Mặn - Xưởng"/>
    <s v="Sáng - Mặn - Xưởng"/>
    <n v="20"/>
  </r>
  <r>
    <s v="Active"/>
    <s v="VCV0108"/>
    <s v="Li WenQiang"/>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s v="Sáng - Trung"/>
    <s v="Sáng - Trung"/>
    <s v="Sáng - Trung"/>
    <s v="Sáng - Trung"/>
    <n v="25"/>
  </r>
  <r>
    <s v="Active"/>
    <s v="VCV0109"/>
    <s v="Nguyễn Thị Vân"/>
    <x v="2"/>
    <s v="Pro - Aging"/>
    <s v="Factory"/>
    <m/>
    <m/>
    <s v="Sáng - Mặn - Xưởng"/>
    <m/>
    <m/>
    <s v="Sáng - Mặn - Xưởng"/>
    <s v="Sáng - Mặn - Xưởng"/>
    <m/>
    <s v="Sáng - Mặn - Xưởng"/>
    <m/>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113"/>
    <s v="Trần Văn Luyện"/>
    <x v="12"/>
    <s v="Pro - Polish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n v="23"/>
  </r>
  <r>
    <s v="Active"/>
    <s v="VCV0115"/>
    <s v="Phạm Thị Hồng"/>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116"/>
    <s v="Nguyễn Văn Giang"/>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119"/>
    <s v="Rah Lan H in"/>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121"/>
    <s v="Trần Thị Thủy"/>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n v="20"/>
  </r>
  <r>
    <s v="Active"/>
    <s v="VCV0123"/>
    <s v="Bùi Văn Tâm"/>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n v="20"/>
  </r>
  <r>
    <s v="Active"/>
    <s v="VCV0124"/>
    <s v="Nguyễn Thị Kim Thanh"/>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28"/>
    <s v="Đoàn Gia Hào"/>
    <x v="11"/>
    <s v="Pro - Data"/>
    <s v="Factory"/>
    <m/>
    <m/>
    <s v="Sáng - Mặn - Xưởng"/>
    <m/>
    <m/>
    <s v="Sáng - Mặn - Xưởng"/>
    <s v="Sáng - Mặn - Xưởng"/>
    <m/>
    <s v="Sáng - Mặn - Xưởng"/>
    <m/>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32"/>
    <s v="Võ Thị Kim Thủy"/>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133"/>
    <s v="Ngô Thị Kim Thao"/>
    <x v="2"/>
    <s v="Pro - Aging"/>
    <s v="Factory"/>
    <m/>
    <m/>
    <s v="Sáng - Mặn - Xưởng"/>
    <m/>
    <m/>
    <s v="Sáng - Mặn - Xưởng"/>
    <s v="Sáng - Mặn - Xưởng"/>
    <m/>
    <s v="Sáng - Mặn - Xưởng"/>
    <m/>
    <s v="Sáng - Mặn - Xưởng"/>
    <s v="Sáng - Mặn - Xưởng"/>
    <s v="Sáng - Mặn - Xưởng"/>
    <s v="Sáng - Mặn - Xưởng"/>
    <m/>
    <s v="Sáng - Mặn - Xưởng"/>
    <m/>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134"/>
    <s v="Đặng Thị Nhâ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36"/>
    <s v="Lương Ngọc Cẩm Hà"/>
    <x v="11"/>
    <s v="Pro - Data"/>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m/>
    <s v="Sáng - Mặn - VP"/>
    <s v="Sáng - Mặn - VP"/>
    <n v="23"/>
  </r>
  <r>
    <s v="Active"/>
    <s v="VCV0137"/>
    <s v="Kim Thanh Hiệp"/>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38"/>
    <s v="Lê Thị Lệ Quyê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n v="21"/>
  </r>
  <r>
    <s v="Active"/>
    <s v="VCV0140"/>
    <s v="Phạm Thành Đạt"/>
    <x v="18"/>
    <s v="COO Office"/>
    <s v="Office"/>
    <s v="Chay"/>
    <m/>
    <s v="Sáng - Chay - VP"/>
    <m/>
    <m/>
    <s v="Sáng - Chay - VP"/>
    <s v="Sáng - Chay - VP"/>
    <m/>
    <s v="Sáng - Chay - VP"/>
    <s v="Sáng - Chay - VP"/>
    <s v="Sáng - Chay - VP"/>
    <s v="Sáng - Chay - VP"/>
    <s v="Sáng - Chay - VP"/>
    <s v="Sáng - Chay - VP"/>
    <m/>
    <s v="Sáng - Chay - VP"/>
    <m/>
    <s v="Sáng - Chay - VP"/>
    <s v="Sáng - Chay - VP"/>
    <s v="Sáng - Chay - VP"/>
    <s v="Sáng - Chay - VP"/>
    <m/>
    <s v="Sáng - Chay - VP"/>
    <s v="Sáng - Chay - VP"/>
    <s v="Sáng - Chay - VP"/>
    <s v="Sáng - Chay - VP"/>
    <s v="Sáng - Chay - VP"/>
    <s v="Sáng - Chay - VP"/>
    <m/>
    <s v="Sáng - Chay - VP"/>
    <s v="Sáng - Chay - VP"/>
    <s v="Sáng - Chay - VP"/>
    <n v="23"/>
  </r>
  <r>
    <s v="Active"/>
    <s v="VCV0141"/>
    <s v="Nguyễn Thị Hiền"/>
    <x v="2"/>
    <s v="Pro - Aging"/>
    <s v="Factory"/>
    <m/>
    <m/>
    <s v="Sáng - Mặn - Xưởng"/>
    <m/>
    <m/>
    <s v="Sáng - Mặn - Xưởng"/>
    <s v="Sáng - Mặn - Xưởng"/>
    <m/>
    <s v="Sáng - Mặn - Xưởng"/>
    <m/>
    <m/>
    <m/>
    <s v="Sáng - Mặn - Xưởng"/>
    <s v="Sáng - Mặn - Xưởng"/>
    <m/>
    <s v="Sáng - Mặn - Xưởng"/>
    <m/>
    <s v="Sáng - Mặn - Xưởng"/>
    <s v="Sáng - Mặn - Xưởng"/>
    <s v="Sáng - Mặn - Xưởng"/>
    <s v="Sáng - Mặn - Xưởng"/>
    <m/>
    <s v="Sáng - Mặn - Xưởng"/>
    <s v="Sáng - Mặn - Xưởng"/>
    <s v="Sáng - Mặn - Xưởng"/>
    <s v="Sáng - Mặn - Xưởng"/>
    <m/>
    <s v="Sáng - Mặn - Xưởng"/>
    <m/>
    <s v="Sáng - Mặn - Xưởng"/>
    <s v="Sáng - Mặn - Xưởng"/>
    <s v="Sáng - Mặn - Xưởng"/>
    <n v="19"/>
  </r>
  <r>
    <s v="Active"/>
    <s v="VCV0143"/>
    <s v="Phan Thị Lục"/>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145"/>
    <s v="Lâm Thị Ra"/>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s v="Sáng - Mặn - Xưởng"/>
    <n v="24"/>
  </r>
  <r>
    <s v="Active"/>
    <s v="VCV0148"/>
    <s v="Thái Thị Mế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49"/>
    <s v="Phạm Văn Khoai"/>
    <x v="12"/>
    <s v="Pro - Polishing"/>
    <s v="Factory"/>
    <m/>
    <m/>
    <s v="Sáng - Mặn - Xưởng"/>
    <m/>
    <m/>
    <s v="Sáng - Mặn - Xưởng"/>
    <m/>
    <m/>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m/>
    <m/>
    <m/>
    <m/>
    <m/>
    <m/>
    <m/>
    <m/>
    <m/>
    <m/>
    <m/>
    <n v="13"/>
  </r>
  <r>
    <s v="Active"/>
    <s v="VCV0154"/>
    <s v="Nguyễn Thị Nghĩa"/>
    <x v="19"/>
    <s v="Pro - Fabrication"/>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156"/>
    <s v="Nguyễn Thị Ngọc Giàu"/>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57"/>
    <s v="Lê Thị Thu Hà"/>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59"/>
    <s v="Đinh Thị Giáng Xuâ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60"/>
    <s v="Trần Cỏng Dếnh"/>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163"/>
    <s v="Đinh Văn Thiết"/>
    <x v="10"/>
    <s v="Pro - Welding"/>
    <s v="Factory"/>
    <m/>
    <m/>
    <s v="Sáng - Mặn - Xưởng"/>
    <m/>
    <m/>
    <s v="Sáng - Mặn - Xưởng"/>
    <s v="Sáng - Mặn - Xưởng"/>
    <m/>
    <s v="Sáng - Mặn - Xưởng"/>
    <s v="Sáng - Mặn - Xưởng"/>
    <m/>
    <m/>
    <m/>
    <m/>
    <m/>
    <s v="Sáng - Mặn - Xưởng"/>
    <m/>
    <m/>
    <m/>
    <m/>
    <m/>
    <m/>
    <s v="Sáng - Mặn - Xưởng"/>
    <s v="Sáng - Mặn - Xưởng"/>
    <s v="Sáng - Mặn - Xưởng"/>
    <s v="Sáng - Mặn - Xưởng"/>
    <s v="Sáng - Mặn - Xưởng"/>
    <s v="Sáng - Mặn - Xưởng"/>
    <m/>
    <s v="Sáng - Mặn - Xưởng"/>
    <s v="Sáng - Mặn - Xưởng"/>
    <s v="Sáng - Mặn - Xưởng"/>
    <n v="15"/>
  </r>
  <r>
    <s v="Active"/>
    <s v="VCV0165"/>
    <s v="Nguyễn Trường Chính"/>
    <x v="19"/>
    <s v="Pro - Fabrication"/>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m/>
    <m/>
    <m/>
    <s v="Sáng - Mặn - Xưởng"/>
    <s v="Sáng - Mặn - Xưởng"/>
    <s v="Sáng - Mặn - Xưởng"/>
    <n v="22"/>
  </r>
  <r>
    <s v="Active"/>
    <s v="VCV0168"/>
    <s v="Lê Thị Thu Thủy"/>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169"/>
    <s v="Hà Thị Hồng"/>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171"/>
    <s v="Bùi Thị Thanh Liễu"/>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m/>
    <s v="Sáng - Mặn - Xưởng"/>
    <n v="20"/>
  </r>
  <r>
    <s v="Active"/>
    <s v="VCV0172"/>
    <s v="Phạm Thị Ngọc Hà"/>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m/>
    <s v="Sáng - Mặn - Xưởng"/>
    <s v="Sáng - Mặn - Xưởng"/>
    <s v="Sáng - Mặn - Xưởng"/>
    <s v="Sáng - Mặn - Xưởng"/>
    <s v="Sáng - Mặn - Xưởng"/>
    <m/>
    <s v="Sáng - Mặn - Xưởng"/>
    <s v="Sáng - Mặn - Xưởng"/>
    <s v="Sáng - Mặn - Xưởng"/>
    <n v="20"/>
  </r>
  <r>
    <s v="Active"/>
    <s v="VCV0176"/>
    <s v="Bàng Thị Hương Giang"/>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178"/>
    <s v="Nguyễn Hoàng Văn"/>
    <x v="12"/>
    <s v="Pro - Polishing"/>
    <s v="Factory"/>
    <m/>
    <m/>
    <s v="Sáng - Mặn - Xưởng"/>
    <m/>
    <m/>
    <s v="Sáng - Mặn - Xưởng"/>
    <s v="Sáng - Mặn - Xưởng"/>
    <m/>
    <s v="Sáng - Mặn - Xưởng"/>
    <s v="Sáng - Mặn - Xưởng"/>
    <m/>
    <m/>
    <m/>
    <m/>
    <m/>
    <s v="Sáng - Mặn - Xưởng"/>
    <m/>
    <m/>
    <m/>
    <m/>
    <m/>
    <m/>
    <s v="Sáng - Mặn - Xưởng"/>
    <s v="Sáng - Mặn - Xưởng"/>
    <s v="Sáng - Mặn - Xưởng"/>
    <s v="Sáng - Mặn - Xưởng"/>
    <s v="Sáng - Mặn - Xưởng"/>
    <s v="Sáng - Mặn - Xưởng"/>
    <m/>
    <s v="Sáng - Mặn - Xưởng"/>
    <s v="Sáng - Mặn - Xưởng"/>
    <s v="Sáng - Mặn - Xưởng"/>
    <n v="15"/>
  </r>
  <r>
    <s v="Active"/>
    <s v="VCV0181"/>
    <s v="Dương Thành Sang"/>
    <x v="19"/>
    <s v="Pro - Fabrication"/>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n v="23"/>
  </r>
  <r>
    <s v="Active"/>
    <s v="VCV0183"/>
    <s v="Phạm Văn Giang"/>
    <x v="19"/>
    <s v="Pro - Fabrication"/>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184"/>
    <s v="Nguyễn Văn Học"/>
    <x v="19"/>
    <s v="Pro - Fabrication"/>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186"/>
    <s v="Nguyễn Thị Thùy Ngân"/>
    <x v="19"/>
    <s v="Pro - Fabrication"/>
    <s v="Factory"/>
    <m/>
    <m/>
    <s v="Sáng - Mặn - Xưởng"/>
    <m/>
    <m/>
    <s v="Sáng - Mặn - Xưởng"/>
    <s v="Sáng - Mặn - Xưởng"/>
    <m/>
    <s v="Sáng - Mặn - Xưởng"/>
    <s v="Sáng - Mặn - Xưởng"/>
    <m/>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n v="22"/>
  </r>
  <r>
    <s v="Active"/>
    <s v="VCV0193"/>
    <s v="Triệu Minh Tiền"/>
    <x v="2"/>
    <s v="Pro - Aging"/>
    <s v="Factory"/>
    <m/>
    <m/>
    <s v="Sáng - Mặn - Xưởng"/>
    <m/>
    <m/>
    <m/>
    <m/>
    <m/>
    <s v="Sáng - Mặn - Xưởng"/>
    <s v="Sáng - Mặn - Xưởng"/>
    <s v="Sáng - Mặn - Xưởng"/>
    <s v="Sáng - Mặn - Xưởng"/>
    <m/>
    <m/>
    <m/>
    <s v="Sáng - Mặn - Xưởng"/>
    <s v="Sáng - Mặn - Xưởng"/>
    <s v="Sáng - Mặn - Xưởng"/>
    <s v="Sáng - Mặn - Xưởng"/>
    <s v="Sáng - Mặn - Xưởng"/>
    <s v="Sáng - Mặn - Xưởng"/>
    <m/>
    <m/>
    <s v="Sáng - Mặn - Xưởng"/>
    <s v="Sáng - Mặn - Xưởng"/>
    <s v="Sáng - Mặn - Xưởng"/>
    <s v="Sáng - Mặn - Xưởng"/>
    <s v="Sáng - Mặn - Xưởng"/>
    <m/>
    <s v="Sáng - Mặn - Xưởng"/>
    <s v="Sáng - Mặn - Xưởng"/>
    <s v="Sáng - Mặn - Xưởng"/>
    <n v="19"/>
  </r>
  <r>
    <s v="Active"/>
    <s v="VCV0194"/>
    <s v="Triệu Minh Tài"/>
    <x v="1"/>
    <s v="Pro - Packaging"/>
    <s v="Factory"/>
    <m/>
    <m/>
    <s v="Sáng - Mặn - Xưởng"/>
    <m/>
    <m/>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n v="24"/>
  </r>
  <r>
    <s v="Active"/>
    <s v="VCV0195"/>
    <s v="Trần Thiện Duy"/>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196"/>
    <s v="Hồ Anh Khương"/>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198"/>
    <s v="Lã Công Trung"/>
    <x v="4"/>
    <s v="PMC - Quality"/>
    <s v="Factory"/>
    <m/>
    <m/>
    <s v="Sáng - Mặn - Xưởng"/>
    <m/>
    <m/>
    <s v="Sáng - Mặn - Xưởng"/>
    <s v="Sáng - Mặn - Xưởng"/>
    <m/>
    <s v="Sáng - Mặn - Xưởng"/>
    <s v="Sáng - Mặn - Xưởng"/>
    <s v="CT"/>
    <s v="CT"/>
    <s v="Sáng - Mặn - Xưởng"/>
    <s v="CT"/>
    <m/>
    <s v="CT"/>
    <s v="CT"/>
    <s v="CT"/>
    <s v="CT"/>
    <s v="CT"/>
    <s v="Sáng - Mặn - Xưởng"/>
    <m/>
    <s v="Sáng - Mặn - Xưởng"/>
    <s v="CT"/>
    <s v="Sáng - Mặn - Xưởng"/>
    <s v="Sáng - Mặn - Xưởng"/>
    <s v="CT"/>
    <s v="Sáng - Mặn - Xưởng"/>
    <m/>
    <s v="CT"/>
    <s v="CT"/>
    <s v="Sáng - Mặn - Xưởng"/>
    <n v="12"/>
  </r>
  <r>
    <s v="Active"/>
    <s v="VCV0200"/>
    <s v="Hà Trung Dũng"/>
    <x v="11"/>
    <s v="Pro - Data"/>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m/>
    <m/>
    <s v="Sáng - Mặn - VP"/>
    <m/>
    <s v="Sáng - Mặn - VP"/>
    <n v="22"/>
  </r>
  <r>
    <s v="Active"/>
    <s v="VCV0201"/>
    <s v="Đào Văn Tuyển"/>
    <x v="15"/>
    <s v="Pro - CNC"/>
    <s v="Factory"/>
    <m/>
    <m/>
    <s v="Sáng - Mặn - Xưởng"/>
    <m/>
    <m/>
    <s v="Sáng - Mặn - Xưởng"/>
    <s v="Sáng - Mặn - Xưởng"/>
    <m/>
    <m/>
    <m/>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m/>
    <m/>
    <s v="Sáng - Mặn - Xưởng"/>
    <s v="Sáng - Mặn - Xưởng"/>
    <m/>
    <s v="Sáng - Mặn - Xưởng"/>
    <s v="Sáng - Mặn - Xưởng"/>
    <s v="Sáng - Mặn - Xưởng"/>
    <n v="19"/>
  </r>
  <r>
    <s v="Active"/>
    <s v="VCV0206"/>
    <s v="Đặng Văn Long"/>
    <x v="6"/>
    <s v="COO Office"/>
    <s v="Factory"/>
    <m/>
    <m/>
    <s v="Sáng - Mặn - Xưởng"/>
    <m/>
    <m/>
    <s v="Sáng - Mặn - Xưởng"/>
    <s v="Sáng - Mặn - Xưởng"/>
    <m/>
    <s v="Sáng - Mặn - Xưởng"/>
    <s v="Sáng - Mặn - Xưởng"/>
    <s v="Sáng - Mặn - Xưởng"/>
    <s v="Sáng - Mặn - Xưởng"/>
    <m/>
    <s v="Sáng - Mặn - Xưởng"/>
    <m/>
    <s v="Sáng - Mặn - Xưởng"/>
    <m/>
    <m/>
    <m/>
    <m/>
    <m/>
    <m/>
    <s v="Sáng - Mặn - Xưởng"/>
    <s v="Sáng - Mặn - Xưởng"/>
    <s v="Sáng - Mặn - Xưởng"/>
    <s v="Sáng - Mặn - Xưởng"/>
    <s v="Sáng - Mặn - Xưởng"/>
    <s v="Sáng - Mặn - Xưởng"/>
    <m/>
    <s v="Sáng - Mặn - Xưởng"/>
    <s v="Sáng - Mặn - Xưởng"/>
    <s v="Sáng - Mặn - Xưởng"/>
    <n v="18"/>
  </r>
  <r>
    <s v="Active"/>
    <s v="VCV0207"/>
    <s v="Vũ Ngọc Thiên Nhan"/>
    <x v="4"/>
    <s v="PMC - Quality"/>
    <s v="Factory"/>
    <m/>
    <m/>
    <s v="Sáng - Mặn - Xưởng"/>
    <m/>
    <m/>
    <s v="Sáng - Mặn - Xưởng"/>
    <s v="Sáng - Mặn - Xưởng"/>
    <m/>
    <s v="Sáng - Mặn - Xưởng"/>
    <m/>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3"/>
  </r>
  <r>
    <s v="Active"/>
    <s v="VCV0209"/>
    <s v="Hoàng Thị Thảo"/>
    <x v="4"/>
    <s v="PMC - Quality"/>
    <s v="Factory"/>
    <m/>
    <m/>
    <s v="Sáng - Mặn - Xưởng"/>
    <m/>
    <m/>
    <m/>
    <m/>
    <m/>
    <s v="CT"/>
    <s v="CT"/>
    <s v="CT"/>
    <s v="CT"/>
    <s v="Sáng - Mặn - Xưởng"/>
    <s v="CT"/>
    <m/>
    <s v="CT"/>
    <m/>
    <s v="CT"/>
    <s v="CT"/>
    <s v="CT"/>
    <s v="CT"/>
    <m/>
    <s v="CT"/>
    <s v="CT"/>
    <s v="CT"/>
    <s v="CT"/>
    <s v="CT"/>
    <s v="CT"/>
    <m/>
    <s v="CT"/>
    <s v="CT"/>
    <s v="CT"/>
    <n v="2"/>
  </r>
  <r>
    <s v="Active"/>
    <s v="VCV0211"/>
    <s v="Hu Wenge"/>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4"/>
  </r>
  <r>
    <s v="Active"/>
    <s v="VCV0213"/>
    <s v="Xu Fang"/>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4"/>
  </r>
  <r>
    <s v="Active"/>
    <s v="VCV0214"/>
    <s v="Zhang Taosu"/>
    <x v="13"/>
    <s v="Pro - Expat"/>
    <s v="Chinese"/>
    <m/>
    <m/>
    <m/>
    <m/>
    <m/>
    <m/>
    <m/>
    <m/>
    <m/>
    <m/>
    <m/>
    <m/>
    <m/>
    <m/>
    <m/>
    <s v="Sáng - Trung"/>
    <s v="Sáng - Trung"/>
    <s v="Sáng - Trung"/>
    <s v="Sáng - Trung"/>
    <s v="Sáng - Trung"/>
    <m/>
    <m/>
    <m/>
    <m/>
    <m/>
    <m/>
    <m/>
    <m/>
    <m/>
    <m/>
    <m/>
    <s v="Sáng - Trung"/>
    <n v="6"/>
  </r>
  <r>
    <s v="Active"/>
    <s v="VCV0217"/>
    <s v="Dai Liuan"/>
    <x v="13"/>
    <s v="Pro - Expat"/>
    <s v="Chinese"/>
    <m/>
    <m/>
    <m/>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m/>
    <m/>
    <m/>
    <n v="20"/>
  </r>
  <r>
    <s v="Active"/>
    <s v="VCV0218"/>
    <s v="Liu Guosheng"/>
    <x v="13"/>
    <s v="Pro - Expat"/>
    <s v="Chinese"/>
    <m/>
    <m/>
    <s v="Sáng - Trung"/>
    <m/>
    <m/>
    <s v="Sáng - Trung"/>
    <s v="Sáng - Trung"/>
    <m/>
    <s v="Sáng - Trung"/>
    <s v="Sáng - Trung"/>
    <m/>
    <m/>
    <m/>
    <m/>
    <m/>
    <s v="Sáng - Trung"/>
    <m/>
    <m/>
    <m/>
    <m/>
    <m/>
    <m/>
    <m/>
    <m/>
    <m/>
    <m/>
    <m/>
    <m/>
    <m/>
    <s v="Sáng - Trung"/>
    <s v="Sáng - Trung"/>
    <s v="Sáng - Trung"/>
    <n v="9"/>
  </r>
  <r>
    <s v="Active"/>
    <s v="VCV0219"/>
    <s v="Sun Baoyong"/>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s v="Sáng - Trung"/>
    <s v="Sáng - Trung"/>
    <s v="Sáng - Trung"/>
    <s v="Sáng - Trung"/>
    <s v="Sáng - Trung"/>
    <s v="Sáng - Trung"/>
    <s v="Sáng - Trung"/>
    <s v="Sáng - Trung"/>
    <s v="Sáng - Trung"/>
    <s v="Sáng - Trung"/>
    <s v="Sáng - Trung"/>
    <n v="26"/>
  </r>
  <r>
    <s v="Active"/>
    <s v="VCV0220"/>
    <s v="Zheng Wanjun"/>
    <x v="13"/>
    <s v="Pro - Expat"/>
    <s v="Chinese"/>
    <m/>
    <m/>
    <s v="Sáng - Trung"/>
    <m/>
    <m/>
    <s v="Sáng - Trung"/>
    <s v="Sáng - Trung"/>
    <s v="Sáng - Trung"/>
    <s v="Sáng - Trung"/>
    <s v="Sáng - Trung"/>
    <s v="Sáng - Trung"/>
    <s v="Sáng - Trung"/>
    <s v="Sáng - Trung"/>
    <s v="Sáng - Trung"/>
    <m/>
    <s v="Sáng - Trung"/>
    <s v="Sáng - Trung"/>
    <s v="Sáng - Trung"/>
    <s v="Sáng - Trung"/>
    <s v="Sáng - Trung"/>
    <s v="Sáng - Trung"/>
    <s v="Sáng - Trung"/>
    <s v="Sáng - Trung"/>
    <s v="Sáng - Trung"/>
    <s v="Sáng - Trung"/>
    <s v="Sáng - Trung"/>
    <s v="Sáng - Trung"/>
    <s v="Sáng - Trung"/>
    <s v="Sáng - Trung"/>
    <s v="Sáng - Trung"/>
    <s v="Sáng - Trung"/>
    <s v="Sáng - Trung"/>
    <n v="27"/>
  </r>
  <r>
    <s v="Active"/>
    <s v="VCV0221"/>
    <s v="Sun Hongjie"/>
    <x v="13"/>
    <s v="Pro - Expat"/>
    <s v="Chinese"/>
    <m/>
    <m/>
    <s v="Sáng - Trung"/>
    <m/>
    <m/>
    <s v="Sáng - Trung"/>
    <s v="Sáng - Trung"/>
    <m/>
    <s v="Sáng - Trung"/>
    <s v="Sáng - Trung"/>
    <m/>
    <s v="Sáng - Trung"/>
    <m/>
    <m/>
    <m/>
    <s v="Sáng - Trung"/>
    <s v="Sáng - Trung"/>
    <m/>
    <m/>
    <m/>
    <s v="Sáng - Trung"/>
    <s v="Sáng - Trung"/>
    <s v="Sáng - Trung"/>
    <s v="Sáng - Trung"/>
    <s v="Sáng - Trung"/>
    <s v="Sáng - Trung"/>
    <s v="Sáng - Trung"/>
    <s v="Sáng - Trung"/>
    <s v="Sáng - Trung"/>
    <s v="Sáng - Trung"/>
    <s v="Sáng - Trung"/>
    <s v="Sáng - Trung"/>
    <n v="20"/>
  </r>
  <r>
    <s v="Active"/>
    <s v="VCV0222"/>
    <s v="Yang Zhengxian"/>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s v="Sáng - Trung"/>
    <s v="Sáng - Trung"/>
    <s v="Sáng - Trung"/>
    <s v="Sáng - Trung"/>
    <s v="Sáng - Trung"/>
    <s v="Sáng - Trung"/>
    <s v="Sáng - Trung"/>
    <s v="Sáng - Trung"/>
    <s v="Sáng - Trung"/>
    <s v="Sáng - Trung"/>
    <s v="Sáng - Trung"/>
    <n v="26"/>
  </r>
  <r>
    <s v="Active"/>
    <s v="VCV0227"/>
    <s v="Shen Chengshun"/>
    <x v="13"/>
    <s v="Pro - Expat"/>
    <s v="Chinese"/>
    <m/>
    <m/>
    <m/>
    <m/>
    <m/>
    <m/>
    <m/>
    <m/>
    <m/>
    <m/>
    <m/>
    <m/>
    <m/>
    <m/>
    <m/>
    <s v="Sáng - Trung"/>
    <s v="Sáng - Trung"/>
    <s v="Sáng - Trung"/>
    <s v="Sáng - Trung"/>
    <s v="Sáng - Trung"/>
    <m/>
    <m/>
    <s v="Sáng - Trung"/>
    <s v="Sáng - Trung"/>
    <s v="Sáng - Trung"/>
    <s v="Sáng - Trung"/>
    <s v="Sáng - Trung"/>
    <s v="Sáng - Trung"/>
    <m/>
    <s v="Sáng - Trung"/>
    <m/>
    <s v="Sáng - Trung"/>
    <n v="13"/>
  </r>
  <r>
    <s v="Active"/>
    <s v="VCV0228"/>
    <s v="Nguyễn Duy Luân"/>
    <x v="15"/>
    <s v="Pro - CNC"/>
    <s v="Factory"/>
    <m/>
    <m/>
    <s v="Sáng - Mặn - Xưởng"/>
    <m/>
    <m/>
    <m/>
    <s v="Sáng - Mặn - Xưởng"/>
    <m/>
    <s v="Sáng - Mặn - Xưởng"/>
    <m/>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m/>
    <s v="Sáng - Mặn - Xưởng"/>
    <s v="Sáng - Mặn - Xưởng"/>
    <n v="20"/>
  </r>
  <r>
    <s v="Active"/>
    <s v="VCV0229"/>
    <s v="Nguyễn Thị Chúc"/>
    <x v="15"/>
    <s v="Pro - CNC"/>
    <s v="Factory"/>
    <m/>
    <m/>
    <s v="Sáng - Mặn - Xưởng"/>
    <m/>
    <m/>
    <s v="Sáng - Mặn - Xưởng"/>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230"/>
    <s v="Phạm Quang Khải"/>
    <x v="6"/>
    <s v="COO Office"/>
    <s v="Factory"/>
    <m/>
    <m/>
    <s v="Sáng - Mặn - Xưởng"/>
    <m/>
    <m/>
    <s v="Sáng - Mặn - Xưởng"/>
    <s v="Sáng - Mặn - Xưởng"/>
    <m/>
    <m/>
    <m/>
    <m/>
    <m/>
    <m/>
    <m/>
    <m/>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m/>
    <m/>
    <m/>
    <m/>
    <n v="14"/>
  </r>
  <r>
    <s v="Active"/>
    <s v="VCV0231"/>
    <s v="Tsần Phát Đạt"/>
    <x v="11"/>
    <s v="Pro - Data"/>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37"/>
    <s v="Đoàn Thị Diễn"/>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n v="23"/>
  </r>
  <r>
    <s v="Active"/>
    <s v="VCV0239"/>
    <s v="Trần Văn Nguyên"/>
    <x v="15"/>
    <s v="Pro - CNC"/>
    <s v="Factory"/>
    <m/>
    <m/>
    <s v="Sáng - Mặn - Xưởng"/>
    <m/>
    <m/>
    <m/>
    <s v="Sáng - Mặn - Xưởng"/>
    <m/>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s v="Sáng - Mặn - Xưởng"/>
    <n v="21"/>
  </r>
  <r>
    <s v="Active"/>
    <s v="VCV0247"/>
    <s v="Zhang Yi"/>
    <x v="13"/>
    <s v="Pro - Expat"/>
    <s v="Chinese"/>
    <m/>
    <m/>
    <s v="Sáng - Trung"/>
    <m/>
    <m/>
    <s v="CT"/>
    <s v="CT"/>
    <m/>
    <s v="CT"/>
    <s v="CT"/>
    <s v="CT"/>
    <s v="CT"/>
    <s v="Sáng - Trung"/>
    <s v="CT"/>
    <m/>
    <s v="CT"/>
    <s v="CT"/>
    <s v="CT"/>
    <s v="CT"/>
    <s v="CT"/>
    <s v="CT"/>
    <m/>
    <s v="CT"/>
    <s v="CT"/>
    <s v="CT"/>
    <s v="CT"/>
    <s v="CT"/>
    <s v="CT"/>
    <m/>
    <m/>
    <m/>
    <m/>
    <n v="2"/>
  </r>
  <r>
    <s v="Active"/>
    <s v="VCV0251"/>
    <s v="Ngô Thị Thùy Em"/>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CT"/>
    <s v="CT"/>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3"/>
  </r>
  <r>
    <s v="Active"/>
    <s v="VCV0258"/>
    <s v="Nguyễn Hoàng Hải"/>
    <x v="12"/>
    <s v="Pro - Polishing"/>
    <s v="Factory"/>
    <m/>
    <m/>
    <s v="Sáng - Mặn - Xưởng"/>
    <m/>
    <m/>
    <s v="Sáng - Mặn - Xưởng"/>
    <m/>
    <m/>
    <s v="Sáng - Mặn - Xưởng"/>
    <s v="Sáng - Mặn - Xưởng"/>
    <m/>
    <m/>
    <m/>
    <m/>
    <m/>
    <s v="Sáng - Mặn - Xưởng"/>
    <m/>
    <m/>
    <s v="Sáng - Mặn - Xưởng"/>
    <s v="Sáng - Mặn - Xưởng"/>
    <s v="Sáng - Mặn - Xưởng"/>
    <m/>
    <m/>
    <s v="Sáng - Mặn - Xưởng"/>
    <s v="Sáng - Mặn - Xưởng"/>
    <s v="Sáng - Mặn - Xưởng"/>
    <s v="Sáng - Mặn - Xưởng"/>
    <s v="Sáng - Mặn - Xưởng"/>
    <m/>
    <s v="Sáng - Mặn - Xưởng"/>
    <s v="Sáng - Mặn - Xưởng"/>
    <s v="Sáng - Mặn - Xưởng"/>
    <n v="16"/>
  </r>
  <r>
    <s v="Active"/>
    <s v="VCV0265"/>
    <s v="Phạm Thị Thu Trang"/>
    <x v="20"/>
    <s v="Finance - Accounting"/>
    <s v="Office"/>
    <m/>
    <m/>
    <s v="Sáng - Mặn - VP"/>
    <m/>
    <m/>
    <s v="Sáng - Mặn - VP"/>
    <s v="Sáng - Mặn - VP"/>
    <m/>
    <s v="Sáng - Mặn - VP"/>
    <s v="Sáng - Mặn - VP"/>
    <s v="Sáng - Mặn - VP"/>
    <m/>
    <s v="Sáng - Mặn - VP"/>
    <s v="Sáng - Mặn - VP"/>
    <m/>
    <s v="Sáng - Mặn - VP"/>
    <s v="Sáng - Mặn - VP"/>
    <s v="Sáng - Mặn - VP"/>
    <s v="Sáng - Mặn - VP"/>
    <s v="Sáng - Mặn - VP"/>
    <s v="Sáng - Mặn - VP"/>
    <m/>
    <s v="Sáng - Mặn - VP"/>
    <s v="Sáng - Mặn - VP"/>
    <s v="Sáng - Mặn - VP"/>
    <s v="Sáng - Mặn - VP"/>
    <m/>
    <s v="Sáng - Mặn - VP"/>
    <m/>
    <m/>
    <s v="Sáng - Mặn - VP"/>
    <s v="Sáng - Mặn - VP"/>
    <n v="21"/>
  </r>
  <r>
    <s v="Active"/>
    <s v="VCV0266"/>
    <s v="Mai Huỳnh Phi Long"/>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68"/>
    <s v="Phạm Quỳnh Minh Quang"/>
    <x v="11"/>
    <s v="Pro - Data"/>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73"/>
    <s v="Lê Trọng Thuận"/>
    <x v="10"/>
    <s v="Pro - Weld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79"/>
    <s v="Trần Nhớ"/>
    <x v="12"/>
    <s v="Pro - Polishing"/>
    <s v="Factory"/>
    <m/>
    <m/>
    <s v="Sáng - Mặn - Xưởng"/>
    <m/>
    <m/>
    <s v="Sáng - Mặn - Xưởng"/>
    <s v="Sáng - Mặn - Xưởng"/>
    <m/>
    <s v="Sáng - Mặn - Xưởng"/>
    <m/>
    <m/>
    <s v="Sáng - Mặn - Xưởng"/>
    <s v="Sáng - Mặn - Xưởng"/>
    <s v="Sáng - Mặn - Xưởng"/>
    <m/>
    <s v="Sáng - Mặn - Xưởng"/>
    <s v="Sáng - Mặn - Xưởng"/>
    <m/>
    <m/>
    <m/>
    <m/>
    <m/>
    <m/>
    <m/>
    <m/>
    <m/>
    <m/>
    <m/>
    <m/>
    <m/>
    <m/>
    <m/>
    <n v="9"/>
  </r>
  <r>
    <s v="Active"/>
    <s v="VCV0283"/>
    <s v="Phạm Duy Nam"/>
    <x v="21"/>
    <s v="Pro - Gold Applying"/>
    <s v="Factory"/>
    <m/>
    <m/>
    <s v="Sáng - Mặn - Xưởng"/>
    <m/>
    <m/>
    <m/>
    <m/>
    <m/>
    <s v="Sáng - Mặn - Xưởng"/>
    <s v="Sáng - Mặn - Xưởng"/>
    <s v="Sáng - Mặn - Xưởng"/>
    <s v="Sáng - Mặn - Xưởng"/>
    <m/>
    <s v="Sáng - Mặn - Xưởng"/>
    <m/>
    <s v="Sáng - Mặn - Xưởng"/>
    <s v="Sáng - Mặn - Xưởng"/>
    <s v="Sáng - Mặn - Xưởng"/>
    <s v="Sáng - Mặn - Xưởng"/>
    <s v="Sáng - Mặn - Xưởng"/>
    <m/>
    <m/>
    <s v="Sáng - Mặn - Xưởng"/>
    <s v="Sáng - Mặn - Xưởng"/>
    <m/>
    <m/>
    <m/>
    <m/>
    <m/>
    <s v="Sáng - Mặn - Xưởng"/>
    <m/>
    <m/>
    <n v="14"/>
  </r>
  <r>
    <s v="Active"/>
    <s v="VCV0284"/>
    <s v="Phạm Thị Lượng"/>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m/>
    <m/>
    <m/>
    <m/>
    <m/>
    <m/>
    <m/>
    <m/>
    <m/>
    <s v="Sáng - Mặn - Xưởng"/>
    <n v="15"/>
  </r>
  <r>
    <s v="Active"/>
    <s v="VCV0285"/>
    <s v="Trần Thị Thanh Thúy"/>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m/>
    <m/>
    <m/>
    <s v="Sáng - Mặn - Xưởng"/>
    <s v="Sáng - Mặn - Xưởng"/>
    <m/>
    <n v="21"/>
  </r>
  <r>
    <s v="Active"/>
    <s v="VCV0286"/>
    <s v="Đoàn Thị Thủy"/>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87"/>
    <s v="Hà Thị Hồng Năm"/>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89"/>
    <s v="Quan Huệ Phương"/>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90"/>
    <s v="Trần Văn Long"/>
    <x v="21"/>
    <s v="Pro - Gold Applying"/>
    <s v="Factory"/>
    <m/>
    <m/>
    <s v="Sáng - Mặn - Xưởng"/>
    <m/>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291"/>
    <s v="Trịnh Thị Bình"/>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92"/>
    <s v="Đàm Thị Hương"/>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294"/>
    <s v="Nguyễn Duy Phương"/>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295"/>
    <s v="Trần Thị Mỹ Tuyề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297"/>
    <s v="Nguyễn Thị Kim Nga"/>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298"/>
    <s v="Nguyễn Thị Ngọc Trinh"/>
    <x v="2"/>
    <s v="Pro - Aging"/>
    <s v="Factory"/>
    <m/>
    <m/>
    <s v="Sáng - Mặn - Xưởng"/>
    <m/>
    <m/>
    <s v="Sáng - Mặn - Xưởng"/>
    <s v="Sáng - Mặn - Xưởng"/>
    <m/>
    <s v="Sáng - Mặn - Xưởng"/>
    <m/>
    <m/>
    <m/>
    <m/>
    <s v="Sáng - Mặn - Xưởng"/>
    <m/>
    <s v="Sáng - Mặn - Xưởng"/>
    <s v="Sáng - Mặn - Xưởng"/>
    <s v="Sáng - Mặn - Xưởng"/>
    <s v="Sáng - Mặn - Xưởng"/>
    <s v="Sáng - Mặn - Xưởng"/>
    <s v="Sáng - Mặn - Xưởng"/>
    <m/>
    <m/>
    <s v="Sáng - Mặn - Xưởng"/>
    <s v="Sáng - Mặn - Xưởng"/>
    <s v="Sáng - Mặn - Xưởng"/>
    <s v="Sáng - Mặn - Xưởng"/>
    <s v="Sáng - Mặn - Xưởng"/>
    <m/>
    <s v="Sáng - Mặn - Xưởng"/>
    <s v="Sáng - Mặn - Xưởng"/>
    <s v="Sáng - Mặn - Xưởng"/>
    <n v="19"/>
  </r>
  <r>
    <s v="Active"/>
    <s v="VCV0299"/>
    <s v="Ninh Xuân Trường"/>
    <x v="2"/>
    <s v="Pro - Aging"/>
    <s v="Factory"/>
    <m/>
    <m/>
    <s v="Sáng - Mặn - Xưởng"/>
    <m/>
    <m/>
    <s v="Sáng - Mặn - Xưởng"/>
    <m/>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300"/>
    <s v="Huỳnh Chinh Nhật Minh"/>
    <x v="11"/>
    <s v="Pro - Data"/>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n v="23"/>
  </r>
  <r>
    <s v="Active"/>
    <s v="VCV0301"/>
    <s v="Nguyễn Trần Hưng"/>
    <x v="11"/>
    <s v="Pro - Data"/>
    <s v="Factory"/>
    <m/>
    <m/>
    <s v="Sáng - Mặn - Xưởng"/>
    <m/>
    <m/>
    <s v="Sáng - Mặn - Xưởng"/>
    <s v="Sáng - Mặn - Xưởng"/>
    <m/>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303"/>
    <s v="Lê Văn Bảo"/>
    <x v="22"/>
    <s v="PMC - WH"/>
    <s v="Factory"/>
    <m/>
    <m/>
    <s v="Sáng - Mặn - Xưởng"/>
    <m/>
    <m/>
    <s v="Sáng - Mặn - Xưởng"/>
    <m/>
    <m/>
    <s v="Sáng - Mặn - Xưởng"/>
    <s v="Sáng - Mặn - Xưởng"/>
    <s v="Sáng - Mặn - Xưởng"/>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s v="Sáng - Mặn - Xưởng"/>
    <n v="21"/>
  </r>
  <r>
    <s v="Active"/>
    <s v="VCV0308"/>
    <s v="Song Shanping"/>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m/>
    <s v="Sáng - Trung"/>
    <s v="Sáng - Trung"/>
    <s v="Sáng - Trung"/>
    <s v="Sáng - Trung"/>
    <s v="Sáng - Trung"/>
    <m/>
    <m/>
    <s v="Sáng - Trung"/>
    <s v="Sáng - Trung"/>
    <n v="22"/>
  </r>
  <r>
    <s v="Active"/>
    <s v="VCV0309"/>
    <s v="Lê Hữu Tấn"/>
    <x v="10"/>
    <s v="Pro - Weld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m/>
    <s v="Sáng - Mặn - Xưởng"/>
    <s v="Sáng - Mặn - Xưởng"/>
    <s v="Sáng - Mặn - Xưởng"/>
    <s v="Sáng - Mặn - Xưởng"/>
    <s v="Sáng - Mặn - Xưởng"/>
    <m/>
    <s v="Sáng - Mặn - Xưởng"/>
    <s v="Sáng - Mặn - Xưởng"/>
    <s v="Sáng - Mặn - Xưởng"/>
    <n v="22"/>
  </r>
  <r>
    <s v="Active"/>
    <s v="VCV0310"/>
    <s v="Lâm Thị Mộng Thúy"/>
    <x v="8"/>
    <s v="PMC - Plan"/>
    <s v="Office"/>
    <m/>
    <m/>
    <s v="Sáng - Mặn - VP"/>
    <m/>
    <m/>
    <s v="Sáng - Mặn - VP"/>
    <s v="Sáng - Mặn - VP"/>
    <m/>
    <s v="Sáng - Mặn - VP"/>
    <s v="Sáng - Mặn - VP"/>
    <s v="Sáng - Chay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4"/>
  </r>
  <r>
    <s v="Active"/>
    <s v="VCV0311"/>
    <s v="Nguyễn Thị Hải Đường"/>
    <x v="7"/>
    <s v="COO Office"/>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4"/>
  </r>
  <r>
    <s v="Active"/>
    <s v="VCV0315"/>
    <s v="Vũ Thị Thùy"/>
    <x v="20"/>
    <s v="Finance - Accounting"/>
    <s v="Office"/>
    <m/>
    <m/>
    <m/>
    <m/>
    <m/>
    <s v="Sáng - Mặn - VP"/>
    <s v="Sáng - Mặn - VP"/>
    <m/>
    <s v="Sáng - Mặn - VP"/>
    <s v="Sáng - Mặn - VP"/>
    <s v="Sáng - Mặn - VP"/>
    <s v="Sáng - Mặn - VP"/>
    <s v="Sáng - Mặn - VP"/>
    <m/>
    <m/>
    <s v="Sáng - Mặn - VP"/>
    <s v="Sáng - Mặn - VP"/>
    <s v="Sáng - Mặn - VP"/>
    <m/>
    <s v="Sáng - Mặn - VP"/>
    <s v="Sáng - Mặn - VP"/>
    <m/>
    <s v="Sáng - Mặn - VP"/>
    <m/>
    <m/>
    <s v="Sáng - Mặn - VP"/>
    <s v="Sáng - Mặn - VP"/>
    <s v="Sáng - Mặn - VP"/>
    <m/>
    <s v="Sáng - Mặn - VP"/>
    <s v="Sáng - Mặn - VP"/>
    <s v="Sáng - Mặn - VP"/>
    <n v="19"/>
  </r>
  <r>
    <s v="Active"/>
    <s v="VCV0316"/>
    <s v="Nguyễn Ngọc Minh Châu"/>
    <x v="9"/>
    <s v="COO Office"/>
    <s v="Office"/>
    <m/>
    <m/>
    <s v="Sáng - Mặn - Xưởng"/>
    <m/>
    <m/>
    <m/>
    <s v="Sáng - Mặn - Xưởng"/>
    <m/>
    <s v="Sáng - Mặn - VP"/>
    <s v="Sáng - Mặn - VP"/>
    <s v="Sáng - Mặn - VP"/>
    <s v="Sáng - Mặn - VP"/>
    <s v="Sáng - Mặn - VP"/>
    <m/>
    <m/>
    <s v="Sáng - Mặn - Xưởng"/>
    <s v="Sáng - Mặn - VP"/>
    <s v="Sáng - Mặn - VP"/>
    <s v="Sáng - Mặn - VP"/>
    <s v="Sáng - Mặn - VP"/>
    <m/>
    <m/>
    <s v="Sáng - Mặn - VP"/>
    <s v="Sáng - Mặn - VP"/>
    <s v="Sáng - Mặn - VP"/>
    <s v="Sáng - Mặn - VP"/>
    <m/>
    <m/>
    <m/>
    <s v="Sáng - Mặn - VP"/>
    <s v="Sáng - Mặn - VP"/>
    <s v="Sáng - Mặn - VP"/>
    <n v="19"/>
  </r>
  <r>
    <s v="Active"/>
    <s v="VCV0317"/>
    <s v="Phạm Thị Lan"/>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18"/>
    <s v="Đỗ Thị Hạnh"/>
    <x v="4"/>
    <s v="PMC - Quality"/>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n v="25"/>
  </r>
  <r>
    <s v="Active"/>
    <s v="VCV0319"/>
    <s v="Dương Ngọc Sơn"/>
    <x v="22"/>
    <s v="PMC - WH"/>
    <s v="Factory"/>
    <m/>
    <m/>
    <s v="Sáng - Mặn - Xưởng"/>
    <m/>
    <m/>
    <s v="CT"/>
    <s v="Sáng - Mặn - Xưởng"/>
    <m/>
    <s v="Sáng - Mặn - Xưởng"/>
    <s v="Sáng - Mặn - Xưởng"/>
    <s v="CT"/>
    <s v="Sáng - Mặn - Xưởng"/>
    <s v="CT"/>
    <s v="CT"/>
    <m/>
    <s v="Sáng - Mặn - Xưởng"/>
    <s v="CT"/>
    <s v="Sáng - Mặn - Xưởng"/>
    <m/>
    <s v="Sáng - Mặn - Xưởng"/>
    <s v="Sáng - Mặn - Xưởng"/>
    <m/>
    <m/>
    <m/>
    <m/>
    <m/>
    <m/>
    <m/>
    <m/>
    <m/>
    <m/>
    <m/>
    <n v="9"/>
  </r>
  <r>
    <s v="Active"/>
    <s v="VCV0320"/>
    <s v="Đỗ Lệ Ngọc"/>
    <x v="22"/>
    <s v="PMC - WH"/>
    <s v="Factory"/>
    <m/>
    <m/>
    <s v="CT"/>
    <m/>
    <m/>
    <s v="CT"/>
    <s v="CT"/>
    <m/>
    <s v="CT"/>
    <s v="CT"/>
    <s v="CT"/>
    <s v="CT"/>
    <s v="CT"/>
    <s v="CT"/>
    <m/>
    <s v="Sáng - Mặn - Xưởng"/>
    <s v="CT"/>
    <s v="CT"/>
    <s v="CT"/>
    <s v="CT"/>
    <s v="CT"/>
    <m/>
    <s v="CT"/>
    <s v="CT"/>
    <s v="CT"/>
    <s v="Sáng - Mặn - Xưởng"/>
    <s v="CT"/>
    <s v="CT"/>
    <m/>
    <s v="CT"/>
    <s v="Sáng - Mặn - Xưởng"/>
    <s v="CT"/>
    <n v="3"/>
  </r>
  <r>
    <s v="Active"/>
    <s v="VCV0325"/>
    <s v="Phan Văn Dần"/>
    <x v="10"/>
    <s v="Pro - Weld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28"/>
    <s v="Trần Thị Hoa Ly"/>
    <x v="20"/>
    <s v="Finance - Accounting"/>
    <s v="Office"/>
    <m/>
    <m/>
    <s v="Sáng - Mặn - VP"/>
    <m/>
    <m/>
    <s v="Sáng - Mặn - VP"/>
    <s v="Sáng - Mặn - VP"/>
    <m/>
    <s v="Sáng - Mặn - VP"/>
    <s v="Sáng - Mặn - VP"/>
    <s v="Sáng - Mặn - VP"/>
    <s v="Sáng - Mặn - VP"/>
    <s v="Sáng - Mặn - VP"/>
    <s v="Sáng - Mặn - VP"/>
    <m/>
    <s v="Sáng - Mặn - VP"/>
    <m/>
    <s v="Sáng - Mặn - VP"/>
    <s v="Sáng - Mặn - VP"/>
    <s v="Sáng - Mặn - VP"/>
    <s v="Sáng - Mặn - VP"/>
    <m/>
    <s v="Sáng - Mặn - VP"/>
    <s v="Sáng - Mặn - VP"/>
    <s v="Sáng - Mặn - VP"/>
    <s v="Sáng - Mặn - VP"/>
    <s v="Sáng - Mặn - VP"/>
    <s v="Sáng - Mặn - VP"/>
    <m/>
    <s v="Sáng - Mặn - VP"/>
    <s v="Sáng - Mặn - VP"/>
    <s v="Sáng - Mặn - VP"/>
    <n v="23"/>
  </r>
  <r>
    <s v="Active"/>
    <s v="VCV0330"/>
    <s v="Nguyễn Phạm Đức Thịnh"/>
    <x v="10"/>
    <s v="Pro - Welding"/>
    <s v="Factory"/>
    <m/>
    <m/>
    <s v="Sáng - Mặn - Xưởng"/>
    <m/>
    <m/>
    <m/>
    <m/>
    <m/>
    <s v="Sáng - Mặn - Xưởng"/>
    <s v="Sáng - Mặn - Xưởng"/>
    <s v="Sáng - Mặn - Xưởng"/>
    <s v="Sáng - Mặn - Xưởng"/>
    <s v="Sáng - Mặn - Xưởng"/>
    <s v="Sáng - Mặn - Xưởng"/>
    <m/>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335"/>
    <s v="Nguyễn Hoàng Thiên Phú"/>
    <x v="10"/>
    <s v="Pro - Weld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3"/>
  </r>
  <r>
    <s v="Active"/>
    <s v="VCV0339"/>
    <s v="Nguyễn Thị Hoàng Yến"/>
    <x v="22"/>
    <s v="PMC - WH"/>
    <s v="Office"/>
    <m/>
    <m/>
    <s v="Sáng - Mặn - VP"/>
    <m/>
    <m/>
    <m/>
    <m/>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m/>
    <m/>
    <s v="Sáng - Mặn - VP"/>
    <s v="Sáng - Mặn - VP"/>
    <s v="Sáng - Mặn - VP"/>
    <n v="21"/>
  </r>
  <r>
    <s v="Active"/>
    <s v="VCV0342"/>
    <s v="Nguyễn Hữu Thọ"/>
    <x v="23"/>
    <s v="COO Office"/>
    <s v="Office"/>
    <s v="Chay"/>
    <m/>
    <m/>
    <m/>
    <m/>
    <s v="Sáng - Chay - VP"/>
    <s v="Sáng - Chay - VP"/>
    <m/>
    <s v="Sáng - Chay - VP"/>
    <s v="Sáng - Chay - VP"/>
    <s v="Sáng - Chay - VP"/>
    <s v="Sáng - Chay - VP"/>
    <s v="Sáng - Chay - VP"/>
    <s v="Sáng - Chay - VP"/>
    <m/>
    <s v="Sáng - Chay - VP"/>
    <s v="Sáng - Chay - VP"/>
    <s v="Sáng - Chay - VP"/>
    <s v="Sáng - Chay - VP"/>
    <s v="Sáng - Chay - VP"/>
    <s v="Sáng - Chay - VP"/>
    <m/>
    <s v="Sáng - Chay - VP"/>
    <s v="Sáng - Chay - VP"/>
    <s v="Sáng - Chay - VP"/>
    <s v="Sáng - Chay - VP"/>
    <s v="Sáng - Chay - VP"/>
    <s v="Sáng - Chay - VP"/>
    <m/>
    <s v="Sáng - Chay - VP"/>
    <s v="Sáng - Chay - VP"/>
    <s v="Sáng - Chay - VP"/>
    <n v="23"/>
  </r>
  <r>
    <s v="Active"/>
    <s v="VCV0343"/>
    <s v="Sú Phóng Cóng"/>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51"/>
    <s v="Nguyễn Văn Duy Mạnh"/>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m/>
    <s v="Sáng - Mặn - Xưởng"/>
    <s v="Sáng - Mặn - Xưởng"/>
    <s v="Sáng - Mặn - Xưởng"/>
    <n v="25"/>
  </r>
  <r>
    <s v="Active"/>
    <s v="VCV0353"/>
    <s v="Trang Duy Tùng"/>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54"/>
    <s v="Vòng A Sình"/>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362"/>
    <s v="Lê Văn Tâm"/>
    <x v="12"/>
    <s v="Pro - Polishing"/>
    <s v="Factory"/>
    <m/>
    <m/>
    <s v="Sáng - Mặn - Xưởng"/>
    <m/>
    <m/>
    <s v="Sáng - Mặn - Xưởng"/>
    <s v="Sáng - Mặn - Xưởng"/>
    <m/>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m/>
    <m/>
    <m/>
    <m/>
    <m/>
    <m/>
    <m/>
    <m/>
    <m/>
    <m/>
    <m/>
    <n v="14"/>
  </r>
  <r>
    <s v="Active"/>
    <s v="VCV0364"/>
    <s v="Trần Thị Thu Lại"/>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65"/>
    <s v="Lê Thị Hiền"/>
    <x v="21"/>
    <s v="Pro - Gold Applying"/>
    <s v="Factory"/>
    <m/>
    <m/>
    <s v="Sáng - Mặn - Xưởng"/>
    <m/>
    <m/>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366"/>
    <s v="Phạm Thị Trang"/>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67"/>
    <s v="Nguyễn Thị Minh"/>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68"/>
    <s v="Lý Ngọc Nhí"/>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69"/>
    <s v="Nguyễn Thị Minh Hiếu"/>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70"/>
    <s v="Đoàn Thị Thắm"/>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71"/>
    <s v="Trịnh Thị Loan"/>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m/>
    <m/>
    <m/>
    <m/>
    <m/>
    <m/>
    <m/>
    <m/>
    <m/>
    <m/>
    <n v="14"/>
  </r>
  <r>
    <s v="Active"/>
    <s v="VCV0374"/>
    <s v="Lê Thị Hồng"/>
    <x v="1"/>
    <s v="Pro - Packaging"/>
    <s v="Factory"/>
    <m/>
    <m/>
    <s v="Sáng - Mặn - Xưởng"/>
    <m/>
    <m/>
    <s v="Sáng - Mặn - Xưởng"/>
    <s v="Sáng - Mặn - Xưởng"/>
    <s v="Sáng - Mặn - Xưởng"/>
    <m/>
    <s v="Sáng - Mặn - Xưởng"/>
    <s v="Sáng - Mặn - Xưởng"/>
    <s v="Sáng - Mặn - Xưởng"/>
    <s v="Sáng - Mặn - Xưởng"/>
    <s v="Sáng - Mặn - Xưởng"/>
    <m/>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5"/>
  </r>
  <r>
    <s v="Active"/>
    <s v="VCV0376"/>
    <s v="Lý Thanh Đông Thức"/>
    <x v="22"/>
    <s v="PMC - WH"/>
    <s v="Factory"/>
    <m/>
    <m/>
    <s v="Sáng - Mặn - Xưởng"/>
    <m/>
    <m/>
    <s v="Sáng - Mặn - Xưởng"/>
    <s v="Sáng - Mặn - Xưởng"/>
    <m/>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377"/>
    <s v="Lương Trọng Thắng"/>
    <x v="22"/>
    <s v="PMC - WH"/>
    <s v="Factory"/>
    <m/>
    <m/>
    <s v="CT"/>
    <m/>
    <m/>
    <s v="CT"/>
    <m/>
    <m/>
    <m/>
    <m/>
    <m/>
    <m/>
    <m/>
    <m/>
    <m/>
    <s v="Sáng - Mặn - Xưởng"/>
    <m/>
    <m/>
    <m/>
    <m/>
    <m/>
    <m/>
    <m/>
    <m/>
    <m/>
    <m/>
    <m/>
    <m/>
    <m/>
    <m/>
    <m/>
    <m/>
    <n v="1"/>
  </r>
  <r>
    <s v="Active"/>
    <s v="VCV0378"/>
    <s v="Lê Thị Phương Linh"/>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83"/>
    <s v="Ká Hoan"/>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95"/>
    <s v="Nguyên Văn Còn"/>
    <x v="12"/>
    <s v="Pro - Polishing"/>
    <s v="Factory"/>
    <m/>
    <m/>
    <s v="Sáng - Mặn - Xưởng"/>
    <m/>
    <m/>
    <s v="Sáng - Mặn - Xưởng"/>
    <s v="Sáng - Mặn - Xưởng"/>
    <m/>
    <s v="Sáng - Mặn - Xưởng"/>
    <s v="Sáng - Mặn - Xưởng"/>
    <m/>
    <m/>
    <m/>
    <m/>
    <m/>
    <s v="Sáng - Mặn - Xưởng"/>
    <m/>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18"/>
  </r>
  <r>
    <s v="Active"/>
    <s v="VCV0396"/>
    <s v="Phạm Gia Bảo"/>
    <x v="12"/>
    <s v="Pro - Polishing"/>
    <s v="Factory"/>
    <m/>
    <m/>
    <s v="Sáng - Mặn - Xưởng"/>
    <m/>
    <m/>
    <s v="Sáng - Mặn - Xưởng"/>
    <s v="Sáng - Mặn - Xưởng"/>
    <m/>
    <s v="Sáng - Mặn - Xưởng"/>
    <s v="Sáng - Mặn - Xưởng"/>
    <m/>
    <m/>
    <m/>
    <m/>
    <m/>
    <s v="Sáng - Mặn - Xưởng"/>
    <m/>
    <m/>
    <m/>
    <m/>
    <m/>
    <m/>
    <m/>
    <s v="Sáng - Mặn - Xưởng"/>
    <s v="Sáng - Mặn - Xưởng"/>
    <s v="Sáng - Mặn - Xưởng"/>
    <s v="Sáng - Mặn - Xưởng"/>
    <s v="Sáng - Mặn - Xưởng"/>
    <m/>
    <s v="Sáng - Mặn - Xưởng"/>
    <s v="Sáng - Mặn - Xưởng"/>
    <s v="Sáng - Mặn - Xưởng"/>
    <n v="14"/>
  </r>
  <r>
    <s v="Active"/>
    <s v="VCV0397"/>
    <s v="Nguyễn Thị Tuyết"/>
    <x v="1"/>
    <s v="Pro - Packaging"/>
    <s v="Factory"/>
    <m/>
    <m/>
    <s v="Sáng - Mặn - Xưởng"/>
    <m/>
    <m/>
    <s v="Sáng - Mặn - Xưởng"/>
    <s v="Sáng - Mặn - Xưởng"/>
    <s v="Sáng - Mặn - Xưởng"/>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398"/>
    <s v="Phạm Đức Tuy"/>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399"/>
    <s v="Đỗ Thị Lộc"/>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405"/>
    <s v="Hoàng Thị Kim Loan"/>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4"/>
  </r>
  <r>
    <s v="Active"/>
    <s v="VCV0408"/>
    <s v="Trịnh Hải Nam"/>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409"/>
    <s v="Nguyễn Minh Đức"/>
    <x v="15"/>
    <s v="Pro - CNC"/>
    <s v="Factory"/>
    <m/>
    <m/>
    <s v="Sáng - Mặn - Xưởng"/>
    <m/>
    <m/>
    <s v="Sáng - Mặn - Xưởng"/>
    <s v="Sáng - Mặn - Xưởng"/>
    <m/>
    <m/>
    <m/>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m/>
    <m/>
    <s v="Sáng - Mặn - Xưởng"/>
    <s v="Sáng - Mặn - Xưởng"/>
    <m/>
    <s v="Sáng - Mặn - Xưởng"/>
    <s v="Sáng - Mặn - Xưởng"/>
    <m/>
    <n v="18"/>
  </r>
  <r>
    <s v="Active"/>
    <s v="VCV0414"/>
    <s v="Nông Thị Thu Trang"/>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5"/>
  </r>
  <r>
    <s v="Active"/>
    <s v="VCV0423"/>
    <s v="Đinh Nguyễn Thảo Trinh"/>
    <x v="22"/>
    <s v="PMC - WH"/>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426"/>
    <s v="Đào Thanh Xuân"/>
    <x v="7"/>
    <s v="COO Office"/>
    <s v="Office"/>
    <m/>
    <m/>
    <s v="Sáng - Mặn - VP"/>
    <m/>
    <m/>
    <s v="Sáng - Mặn - VP"/>
    <s v="Sáng - Mặn - VP"/>
    <m/>
    <s v="Sáng - Mặn - VP"/>
    <s v="Sáng - Mặn - VP"/>
    <s v="Sáng - Mặn - VP"/>
    <s v="Sáng - Mặn - VP"/>
    <s v="Sáng - Mặn - VP"/>
    <m/>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3"/>
  </r>
  <r>
    <s v="Active"/>
    <s v="VCV0427"/>
    <s v="Nguyễn Văn Tuấn"/>
    <x v="22"/>
    <s v="PMC - WH"/>
    <s v="Factory"/>
    <m/>
    <m/>
    <s v="Sáng - Mặn - Xưởng"/>
    <m/>
    <m/>
    <s v="Sáng - Mặn - Xưởng"/>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431"/>
    <s v="Nguyễn Anh Tuấn"/>
    <x v="22"/>
    <s v="PMC - WH"/>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432"/>
    <s v="Lê Bá Hoàng"/>
    <x v="22"/>
    <s v="PMC - WH"/>
    <s v="Factory"/>
    <m/>
    <m/>
    <s v="Sáng - Mặn - Xưởng"/>
    <m/>
    <m/>
    <s v="Sáng - Mặn - Xưởng"/>
    <s v="Sáng - Mặn - Xưởng"/>
    <m/>
    <s v="Sáng - Mặn - Xưởng"/>
    <s v="Sáng - Mặn - Xưởng"/>
    <s v="Sáng - Mặn - Xưởng"/>
    <s v="Sáng - Mặn - Xưởng"/>
    <s v="Sáng - Mặn - Xưởng"/>
    <s v="Sáng - Mặn - Xưởng"/>
    <m/>
    <s v="CT"/>
    <s v="CT"/>
    <s v="CT"/>
    <s v="CT"/>
    <s v="CT"/>
    <m/>
    <m/>
    <s v="Sáng - Mặn - Xưởng"/>
    <s v="Sáng - Mặn - Xưởng"/>
    <s v="Sáng - Mặn - Xưởng"/>
    <s v="Sáng - Mặn - Xưởng"/>
    <s v="Sáng - Mặn - Xưởng"/>
    <s v="Sáng - Mặn - Xưởng"/>
    <m/>
    <s v="Sáng - Mặn - Xưởng"/>
    <s v="Sáng - Mặn - Xưởng"/>
    <s v="Sáng - Mặn - Xưởng"/>
    <n v="18"/>
  </r>
  <r>
    <s v="Active"/>
    <s v="VCV0433"/>
    <s v="Nguyễn Hoàng Nam"/>
    <x v="22"/>
    <s v="PMC - WH"/>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435"/>
    <s v="Vũ Ngọc Đức"/>
    <x v="15"/>
    <s v="Pro - CNC"/>
    <s v="Factory"/>
    <m/>
    <m/>
    <s v="Sáng - Mặn - Xưởng"/>
    <m/>
    <m/>
    <m/>
    <s v="Sáng - Mặn - Xưởng"/>
    <m/>
    <s v="Sáng - Mặn - Xưởng"/>
    <m/>
    <s v="Sáng - Mặn - Xưởng"/>
    <s v="Sáng - Mặn - Xưởng"/>
    <s v="Sáng - Mặn - Xưởng"/>
    <s v="Sáng - Mặn - Xưởng"/>
    <m/>
    <m/>
    <s v="Sáng - Mặn - Xưởng"/>
    <m/>
    <s v="Sáng - Mặn - Xưởng"/>
    <s v="Sáng - Mặn - Xưởng"/>
    <s v="Sáng - Mặn - Xưởng"/>
    <m/>
    <s v="Sáng - Mặn - Xưởng"/>
    <s v="Sáng - Mặn - Xưởng"/>
    <s v="Sáng - Mặn - Xưởng"/>
    <s v="Sáng - Mặn - Xưởng"/>
    <s v="Sáng - Mặn - Xưởng"/>
    <m/>
    <m/>
    <m/>
    <s v="Sáng - Mặn - Xưởng"/>
    <m/>
    <n v="17"/>
  </r>
  <r>
    <s v="Active"/>
    <s v="VCV0444"/>
    <s v="Lê Doãn Hội"/>
    <x v="22"/>
    <s v="PMC - WH"/>
    <s v="Factory"/>
    <m/>
    <m/>
    <s v="Sáng - Mặn - Xưởng"/>
    <m/>
    <m/>
    <s v="Sáng - Mặn - Xưởng"/>
    <s v="Sáng - Mặn - Xưởng"/>
    <m/>
    <s v="Sáng - Mặn - Xưởng"/>
    <s v="Sáng - Mặn - Xưởng"/>
    <s v="CT"/>
    <s v="Sáng - Mặn - Xưởng"/>
    <s v="CT"/>
    <s v="CT"/>
    <m/>
    <s v="CT"/>
    <s v="CT"/>
    <s v="Sáng - Mặn - Xưởng"/>
    <s v="CT"/>
    <m/>
    <m/>
    <m/>
    <s v="CT"/>
    <s v="CT"/>
    <s v="CT"/>
    <s v="Sáng - Mặn - Xưởng"/>
    <s v="CT"/>
    <s v="CT"/>
    <m/>
    <s v="CT"/>
    <s v="Sáng - Mặn - Xưởng"/>
    <s v="Sáng - Mặn - Xưởng"/>
    <n v="10"/>
  </r>
  <r>
    <s v="Active"/>
    <s v="VCV0445"/>
    <s v="Đỗ Khương Thịnh"/>
    <x v="11"/>
    <s v="Pro - Data"/>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452"/>
    <s v="Lỷ Sẹc Chắn"/>
    <x v="2"/>
    <s v="Pro - Aging"/>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4"/>
  </r>
  <r>
    <s v="Active"/>
    <s v="VCV0453"/>
    <s v="Nguyễn Văn Chiến"/>
    <x v="4"/>
    <s v="PMC - Quality"/>
    <s v="Factory"/>
    <m/>
    <m/>
    <s v="Sáng - Mặn - VP"/>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4"/>
  </r>
  <r>
    <s v="Active"/>
    <s v="VCV0454"/>
    <s v="Đoàn Thanh Hương"/>
    <x v="24"/>
    <s v="COO Office"/>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4"/>
  </r>
  <r>
    <s v="Active"/>
    <s v="VCV0464"/>
    <s v="Nguyễn Thị Hồng Ly"/>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467"/>
    <s v="Nguyễn Thị Chung"/>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6"/>
  </r>
  <r>
    <s v="Active"/>
    <s v="VCV0468"/>
    <s v="Nguyễn Lê Trường Bảo"/>
    <x v="1"/>
    <s v="Pro - Packaging"/>
    <s v="Factory"/>
    <m/>
    <m/>
    <s v="Sáng - Mặn - Xưởng"/>
    <m/>
    <m/>
    <s v="Sáng - Mặn - Xưởng"/>
    <s v="Sáng - Mặn - Xưởng"/>
    <s v="Sáng - Mặn - Xưởng"/>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469"/>
    <s v="Trần Thị Bến"/>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471"/>
    <s v="Vũ Thị Huyền"/>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477"/>
    <s v="Lý Hoàng Chương"/>
    <x v="19"/>
    <s v="Pro - Fabrication"/>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503"/>
    <s v="Lưu Duy Hà"/>
    <x v="25"/>
    <s v="Production"/>
    <s v="Office"/>
    <m/>
    <m/>
    <s v="Sáng - Mặn - VP"/>
    <m/>
    <m/>
    <s v="Sáng - Mặn - VP"/>
    <s v="Sáng - Mặn - VP"/>
    <m/>
    <s v="Sáng - Mặn - VP"/>
    <s v="Sáng - Mặn - VP"/>
    <s v="Sáng - Mặn - VP"/>
    <s v="Sáng - Mặn - VP"/>
    <s v="Sáng - Mặn - VP"/>
    <s v="Sáng - Mặn - VP"/>
    <m/>
    <s v="Sáng - Mặn - VP"/>
    <s v="Sáng - Mặn - VP"/>
    <m/>
    <m/>
    <s v="Sáng - Mặn - VP"/>
    <m/>
    <m/>
    <m/>
    <m/>
    <m/>
    <m/>
    <m/>
    <m/>
    <m/>
    <s v="Sáng - Mặn - VP"/>
    <s v="Sáng - Mặn - VP"/>
    <m/>
    <n v="14"/>
  </r>
  <r>
    <s v="Active"/>
    <s v="VCV0505"/>
    <s v="Đặng Nghĩa Bảo"/>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506"/>
    <s v="Tăng Trần Hồng Liêm"/>
    <x v="23"/>
    <s v="COO Office"/>
    <s v="Office"/>
    <m/>
    <m/>
    <s v="Sáng - Mặn - VP"/>
    <m/>
    <m/>
    <s v="Sáng - Mặn - VP"/>
    <s v="Sáng - Mặn - VP"/>
    <m/>
    <s v="Sáng - Mặn - VP"/>
    <s v="Sáng - Mặn - VP"/>
    <s v="Sáng - Mặn - VP"/>
    <s v="Sáng - Mặn - VP"/>
    <s v="Sáng - Mặn - VP"/>
    <m/>
    <m/>
    <s v="Sáng - Mặn - VP"/>
    <s v="Sáng - Mặn - VP"/>
    <m/>
    <s v="Sáng - Mặn - VP"/>
    <s v="Sáng - Mặn - VP"/>
    <s v="Sáng - Mặn - VP"/>
    <m/>
    <s v="Sáng - Mặn - VP"/>
    <s v="Sáng - Mặn - VP"/>
    <s v="Sáng - Mặn - VP"/>
    <s v="Sáng - Mặn - VP"/>
    <s v="Sáng - Mặn - VP"/>
    <s v="Sáng - Mặn - VP"/>
    <m/>
    <s v="Sáng - Mặn - VP"/>
    <s v="Sáng - Mặn - VP"/>
    <s v="Sáng - Mặn - VP"/>
    <n v="22"/>
  </r>
  <r>
    <s v="Active"/>
    <s v="VCV0507"/>
    <s v="Nguyẽn Minh Triết"/>
    <x v="20"/>
    <s v="Finance - Accounting"/>
    <s v="Office"/>
    <m/>
    <m/>
    <m/>
    <m/>
    <m/>
    <s v="Sáng - Chay - VP"/>
    <m/>
    <m/>
    <m/>
    <m/>
    <m/>
    <m/>
    <m/>
    <m/>
    <m/>
    <m/>
    <m/>
    <s v="Sáng - Chay - VP"/>
    <m/>
    <m/>
    <m/>
    <m/>
    <m/>
    <m/>
    <s v="Sáng - Chay - VP"/>
    <m/>
    <m/>
    <m/>
    <m/>
    <m/>
    <m/>
    <m/>
    <n v="3"/>
  </r>
  <r>
    <s v="Active"/>
    <s v="VCV0511"/>
    <s v="Hoàng Thị Luậ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512"/>
    <s v="Trần Thị Bích Thủy"/>
    <x v="2"/>
    <s v="Pro - Aging"/>
    <s v="Factory"/>
    <m/>
    <m/>
    <s v="Sáng - Mặn - Xưởng"/>
    <m/>
    <m/>
    <s v="Sáng - Mặn - Xưởng"/>
    <s v="Sáng - Mặn - Xưởng"/>
    <m/>
    <s v="Sáng - Mặn - Xưởng"/>
    <s v="Sáng - Mặn - Xưởng"/>
    <s v="Sáng - Mặn - Xưởng"/>
    <s v="Sáng - Mặn - Xưởng"/>
    <m/>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513"/>
    <s v="Trần Minh Ngọc"/>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514"/>
    <s v="Phạm Thị Thanh Thủy"/>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516"/>
    <s v="Trần Thị Kiều Mỹ Trinh"/>
    <x v="2"/>
    <s v="Pro - Aging"/>
    <s v="Factory"/>
    <m/>
    <m/>
    <s v="Sáng - Mặn - Xưởng"/>
    <m/>
    <m/>
    <s v="Sáng - Mặn - Xưởng"/>
    <s v="Sáng - Mặn - Xưởng"/>
    <m/>
    <s v="Sáng - Mặn - Xưởng"/>
    <m/>
    <m/>
    <m/>
    <s v="Sáng - Mặn - Xưởng"/>
    <s v="Sáng - Mặn - Xưởng"/>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0"/>
  </r>
  <r>
    <s v="Active"/>
    <s v="VCV0517"/>
    <s v="Đinh Thị Mỹ Loan"/>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518"/>
    <s v="Trương Khánh Huy"/>
    <x v="1"/>
    <s v="Pro - Packaging"/>
    <s v="Factory"/>
    <m/>
    <m/>
    <s v="Sáng - Mặn - Xưởng"/>
    <m/>
    <m/>
    <m/>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n v="25"/>
  </r>
  <r>
    <s v="Active"/>
    <s v="VCV0520"/>
    <s v="Nguyễn Hoàng Dũng"/>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521"/>
    <s v="Nguyễn Thị Kim Oanh"/>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522"/>
    <s v="Bùi Thị Kim Thoa"/>
    <x v="1"/>
    <s v="Pro - Packaging"/>
    <s v="Factory"/>
    <m/>
    <m/>
    <s v="Sáng - Mặn - Xưởng"/>
    <m/>
    <m/>
    <s v="Sáng - Mặn - Xưởng"/>
    <m/>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523"/>
    <s v="Nguyễn Thị Hồng Hiền"/>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524"/>
    <s v="Nguyễn Thị Minh Hồng"/>
    <x v="1"/>
    <s v="Pro - Packaging"/>
    <s v="Factory"/>
    <m/>
    <m/>
    <s v="Sáng - Mặn - Xưởng"/>
    <m/>
    <m/>
    <s v="Sáng - Mặn - Xưởng"/>
    <s v="Sáng - Mặn - Xưởng"/>
    <s v="Sáng - Mặn - Xưởng"/>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525"/>
    <s v="Đào Thị Thanh Tuyền"/>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m/>
    <m/>
    <m/>
    <m/>
    <m/>
    <m/>
    <m/>
    <m/>
    <m/>
    <m/>
    <n v="17"/>
  </r>
  <r>
    <s v="Active"/>
    <s v="VCV0526"/>
    <s v="Bùi Thị Ngọc Tuyết"/>
    <x v="1"/>
    <s v="Pro - Packaging"/>
    <s v="Factory"/>
    <m/>
    <m/>
    <s v="Sáng - Mặn - Xưởng"/>
    <m/>
    <m/>
    <s v="Sáng - Mặn - Xưởng"/>
    <s v="Sáng - Mặn - Xưởng"/>
    <s v="Sáng - Mặn - Xưởng"/>
    <s v="Sáng - Mặn - Xưởng"/>
    <s v="Sáng - Mặn - Xưởng"/>
    <s v="Sáng - Mặn - Xưởng"/>
    <s v="Sáng - Mặn - Xưởng"/>
    <m/>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5"/>
  </r>
  <r>
    <s v="Active"/>
    <s v="VCV0527"/>
    <s v="Trần Thị Ánh"/>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6"/>
  </r>
  <r>
    <s v="Active"/>
    <s v="VCV0528"/>
    <s v="Ngô Thị Ngọc Thanh"/>
    <x v="1"/>
    <s v="Pro - Packaging"/>
    <s v="Factory"/>
    <m/>
    <m/>
    <s v="Sáng - Mặn - Xưởng"/>
    <m/>
    <m/>
    <s v="Sáng - Mặn - Xưởng"/>
    <s v="Sáng - Mặn - Xưởng"/>
    <m/>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m/>
    <s v="Sáng - Mặn - Xưởng"/>
    <n v="23"/>
  </r>
  <r>
    <s v="Active"/>
    <s v="VCV0529"/>
    <s v="Nguyễn Viết Hưng"/>
    <x v="1"/>
    <s v="Pro - Packaging"/>
    <s v="Factory"/>
    <m/>
    <m/>
    <s v="Sáng - Mặn - Xưởng"/>
    <m/>
    <m/>
    <m/>
    <s v="Sáng - Mặn - Xưởng"/>
    <s v="Sáng - Mặn - Xưởng"/>
    <m/>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3"/>
  </r>
  <r>
    <s v="Active"/>
    <s v="VCV0530"/>
    <s v="Lầm Siu Hà"/>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n v="26"/>
  </r>
  <r>
    <s v="Active"/>
    <s v="VCV0531"/>
    <s v="Hoàng Thị Dung"/>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532"/>
    <s v="Chắng A Dưỡng"/>
    <x v="1"/>
    <s v="Pro - Packaging"/>
    <s v="Factory"/>
    <m/>
    <m/>
    <s v="Sáng - Mặn - Xưởng"/>
    <m/>
    <m/>
    <s v="Sáng - Mặn - Xưởng"/>
    <s v="Sáng - Mặn - Xưởng"/>
    <s v="Sáng - Mặn - Xưởng"/>
    <s v="Sáng - Mặn - Xưởng"/>
    <m/>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4"/>
  </r>
  <r>
    <s v="Active"/>
    <s v="VCV0533"/>
    <s v="Nguyễn Văn Hoài"/>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535"/>
    <s v="Hoàng Nữ Duyên Mai"/>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536"/>
    <s v="Nguyễn Thị Kim Phương"/>
    <x v="1"/>
    <s v="Pro - Packaging"/>
    <s v="Factory"/>
    <m/>
    <m/>
    <s v="Sáng - Mặn - Xưởng"/>
    <m/>
    <m/>
    <s v="Sáng - Mặn - Xưởng"/>
    <s v="Sáng - Mặn - Xưởng"/>
    <s v="Sáng - Mặn - Xưởng"/>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n v="25"/>
  </r>
  <r>
    <s v="Active"/>
    <s v="VCV0537"/>
    <s v="Phạm Công Tuấn"/>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m/>
    <s v="Sáng - Mặn - Xưởng"/>
    <s v="Sáng - Mặn - Xưởng"/>
    <s v="Sáng - Mặn - Xưởng"/>
    <n v="25"/>
  </r>
  <r>
    <s v="Active"/>
    <s v="VCV0538"/>
    <s v="Nguyễn Thị Thu Huyền"/>
    <x v="23"/>
    <s v="COO Office"/>
    <s v="Office"/>
    <m/>
    <m/>
    <s v="Sáng - Mặn - VP"/>
    <m/>
    <m/>
    <s v="Sáng - Mặn - VP"/>
    <s v="Sáng - Mặn - VP"/>
    <m/>
    <s v="Sáng - Mặn - VP"/>
    <s v="Sáng - Mặn - VP"/>
    <s v="Sáng - Mặn - VP"/>
    <s v="Sáng - Mặn - VP"/>
    <s v="Sáng - Mặn - VP"/>
    <m/>
    <m/>
    <s v="Sáng - Mặn - VP"/>
    <s v="Sáng - Mặn - VP"/>
    <m/>
    <m/>
    <m/>
    <s v="Sáng - Mặn - VP"/>
    <m/>
    <s v="Sáng - Mặn - VP"/>
    <s v="Sáng - Mặn - VP"/>
    <s v="Sáng - Mặn - VP"/>
    <s v="Sáng - Mặn - VP"/>
    <s v="Sáng - Mặn - VP"/>
    <s v="Sáng - Mặn - VP"/>
    <m/>
    <s v="Sáng - Mặn - VP"/>
    <s v="Sáng - Mặn - VP"/>
    <s v="Sáng - Mặn - VP"/>
    <n v="20"/>
  </r>
  <r>
    <s v="Active"/>
    <s v="VCV0540"/>
    <s v="Trương Thị Hồng Mỹ"/>
    <x v="22"/>
    <s v="PMC - WH"/>
    <s v="Factory"/>
    <m/>
    <m/>
    <s v="Sáng - Mặn - Xưởng"/>
    <m/>
    <m/>
    <m/>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542"/>
    <s v="Vũ Đình Duy"/>
    <x v="15"/>
    <s v="Pro - CNC"/>
    <s v="Factory"/>
    <m/>
    <m/>
    <s v="Sáng - Mặn - Xưởng"/>
    <m/>
    <m/>
    <m/>
    <s v="Sáng - Mặn - Xưởng"/>
    <m/>
    <s v="Sáng - Mặn - Xưởng"/>
    <m/>
    <s v="Sáng - Mặn - Xưởng"/>
    <s v="Sáng - Mặn - Xưởng"/>
    <s v="Sáng - Mặn - Xưởng"/>
    <s v="Sáng - Mặn - Xưởng"/>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m/>
    <n v="19"/>
  </r>
  <r>
    <s v="Active"/>
    <s v="VCV0545"/>
    <s v="Nguyễn Trần Giang Châu"/>
    <x v="26"/>
    <s v="Pro - Auto Polish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546"/>
    <s v="Phùng Thị Diễm Lệ"/>
    <x v="11"/>
    <s v="Pro - Data"/>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m/>
    <s v="Sáng - Mặn - Xưởng"/>
    <s v="Sáng - Mặn - Xưởng"/>
    <s v="Sáng - Mặn - Xưởng"/>
    <m/>
    <m/>
    <m/>
    <m/>
    <s v="Sáng - Mặn - Xưởng"/>
    <s v="Sáng - Mặn - Xưởng"/>
    <s v="Sáng - Mặn - Xưởng"/>
    <s v="Sáng - Mặn - Xưởng"/>
    <m/>
    <s v="Sáng - Mặn - Xưởng"/>
    <s v="Sáng - Mặn - Xưởng"/>
    <s v="Sáng - Mặn - Xưởng"/>
    <n v="20"/>
  </r>
  <r>
    <s v="Active"/>
    <s v="VCV0547"/>
    <s v="Đinh Văn Quý"/>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m/>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555"/>
    <s v="Nguyễn Minh Thi"/>
    <x v="11"/>
    <s v="Pro - Data"/>
    <s v="Factory"/>
    <m/>
    <m/>
    <s v="Sáng - Mặn - Xưởng"/>
    <m/>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n v="21"/>
  </r>
  <r>
    <s v="Active"/>
    <s v="VCV0559"/>
    <s v="Nguyễn Văn Thưởng"/>
    <x v="19"/>
    <s v="Pro - Fabrication"/>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m/>
    <s v="Sáng - Mặn - Xưởng"/>
    <m/>
    <m/>
    <s v="Sáng - Mặn - Xưởng"/>
    <s v="Sáng - Mặn - Xưởng"/>
    <m/>
    <s v="Sáng - Mặn - Xưởng"/>
    <s v="Sáng - Mặn - Xưởng"/>
    <m/>
    <s v="Sáng - Mặn - Xưởng"/>
    <s v="Sáng - Mặn - Xưởng"/>
    <m/>
    <n v="20"/>
  </r>
  <r>
    <s v="Active"/>
    <s v="VCV0561"/>
    <s v="Nguyễn Nhật Anh"/>
    <x v="21"/>
    <s v="Pro - Gold Applying"/>
    <s v="Factory"/>
    <m/>
    <m/>
    <s v="Sáng - Mặn - Xưởng"/>
    <m/>
    <m/>
    <s v="Sáng - Mặn - Xưởng"/>
    <s v="Sáng - Mặn - Xưởng"/>
    <m/>
    <s v="Sáng - Mặn - Xưởng"/>
    <m/>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562"/>
    <s v="Đinh Thị Kim Phấn"/>
    <x v="2"/>
    <s v="Pro - Aging"/>
    <s v="Factory"/>
    <m/>
    <m/>
    <s v="Sáng - Mặn - Xưởng"/>
    <m/>
    <m/>
    <s v="Sáng - Mặn - Xưởng"/>
    <m/>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564"/>
    <s v="Lý Thị Kiều"/>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m/>
    <m/>
    <m/>
    <m/>
    <m/>
    <m/>
    <m/>
    <m/>
    <m/>
    <m/>
    <m/>
    <m/>
    <n v="11"/>
  </r>
  <r>
    <s v="Active"/>
    <s v="VCV0565"/>
    <s v="Trần A Cúc"/>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566"/>
    <s v="Trần A Cúc"/>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0"/>
  </r>
  <r>
    <s v="Active"/>
    <s v="VCV0568"/>
    <s v="Nguyễn Minh Khánh"/>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n v="25"/>
  </r>
  <r>
    <s v="Active"/>
    <s v="VCV0570"/>
    <s v="Nguyễn Hoàng Gia Bảo"/>
    <x v="1"/>
    <s v="Pro - Packaging"/>
    <s v="Factory"/>
    <m/>
    <m/>
    <s v="Sáng - Mặn - Xưởng"/>
    <m/>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3"/>
  </r>
  <r>
    <s v="Active"/>
    <s v="VCV0572"/>
    <s v="Nguyễn Gia Bảo"/>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573"/>
    <s v="Lê Trọng Tiến"/>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575"/>
    <s v="Kha Thanh Tuyen"/>
    <x v="1"/>
    <s v="Pro - Packaging"/>
    <s v="Factory"/>
    <m/>
    <m/>
    <s v="Sáng - Mặn - Xưởng"/>
    <m/>
    <m/>
    <m/>
    <m/>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5"/>
  </r>
  <r>
    <s v="Active"/>
    <s v="VCV0579"/>
    <s v="Voòng Cún Lìn "/>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580"/>
    <s v="Phan Ngọc Bích Châu"/>
    <x v="11"/>
    <s v="Pro - Data"/>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n v="23"/>
  </r>
  <r>
    <s v="Active"/>
    <s v="VCV0581"/>
    <s v="Ngàn Phát Sầu"/>
    <x v="12"/>
    <s v="Pro - Polishing"/>
    <s v="Factory"/>
    <m/>
    <m/>
    <s v="Sáng - Mặn - Xưởng"/>
    <m/>
    <m/>
    <m/>
    <m/>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598"/>
    <s v="Đào Thị Thùy Hương"/>
    <x v="3"/>
    <s v="HR Admin"/>
    <s v="Factory"/>
    <m/>
    <m/>
    <m/>
    <m/>
    <m/>
    <s v="Sáng - Mặn - VP"/>
    <s v="Sáng - Mặn - VP"/>
    <m/>
    <s v="Sáng - Mặn - VP"/>
    <s v="Sáng - Mặn - VP"/>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602"/>
    <s v="Đào Thị Kim Thư"/>
    <x v="20"/>
    <s v="Finance - Accounting"/>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m/>
    <s v="Sáng - Mặn - VP"/>
    <s v="Sáng - Mặn - VP"/>
    <s v="Sáng - Mặn - VP"/>
    <s v="Sáng - Mặn - VP"/>
    <s v="Sáng - Mặn - VP"/>
    <m/>
    <s v="Sáng - Mặn - VP"/>
    <s v="Sáng - Mặn - VP"/>
    <s v="Sáng - Mặn - VP"/>
    <n v="23"/>
  </r>
  <r>
    <s v="Active"/>
    <s v="VCV0604"/>
    <s v="Trần Sang"/>
    <x v="19"/>
    <s v="Pro - Fabrication"/>
    <s v="Factory"/>
    <m/>
    <m/>
    <s v="Sáng - Mặn - Xưởng"/>
    <m/>
    <m/>
    <m/>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m/>
    <m/>
    <s v="Sáng - Mặn - Xưởng"/>
    <s v="Sáng - Mặn - Xưởng"/>
    <n v="21"/>
  </r>
  <r>
    <s v="Active"/>
    <s v="VCV0605"/>
    <s v="U Bi Gô"/>
    <x v="23"/>
    <s v="COO Office"/>
    <s v="Office"/>
    <m/>
    <m/>
    <s v="Sáng - Mặn - VP"/>
    <m/>
    <m/>
    <s v="Sáng - Mặn - VP"/>
    <s v="Sáng - Mặn - VP"/>
    <m/>
    <s v="Sáng - Mặn - VP"/>
    <s v="Sáng - Mặn - VP"/>
    <s v="Sáng - Mặn - VP"/>
    <s v="Sáng - Mặn - VP"/>
    <s v="Sáng - Mặn - VP"/>
    <s v="Sáng - Mặn - VP"/>
    <m/>
    <s v="Sáng - Mặn - VP"/>
    <s v="Sáng - Mặn - VP"/>
    <m/>
    <s v="Sáng - Mặn - VP"/>
    <s v="Sáng - Mặn - VP"/>
    <s v="Sáng - Mặn - VP"/>
    <m/>
    <s v="Sáng - Mặn - VP"/>
    <s v="Sáng - Mặn - VP"/>
    <s v="Sáng - Mặn - VP"/>
    <s v="Sáng - Mặn - VP"/>
    <s v="Sáng - Mặn - VP"/>
    <s v="Sáng - Mặn - VP"/>
    <m/>
    <s v="Sáng - Mặn - VP"/>
    <s v="Sáng - Mặn - VP"/>
    <s v="Sáng - Mặn - VP"/>
    <n v="23"/>
  </r>
  <r>
    <s v="Active"/>
    <s v="VCV0606"/>
    <s v="Nguyễn Nhựt Du"/>
    <x v="19"/>
    <s v="Pro - Fabrication"/>
    <s v="Factory"/>
    <m/>
    <m/>
    <s v="Sáng - Mặn - Xưởng"/>
    <m/>
    <m/>
    <s v="Sáng - Mặn - Xưởng"/>
    <s v="Sáng - Mặn - Xưởng"/>
    <m/>
    <s v="Sáng - Mặn - Xưởng"/>
    <s v="Sáng - Mặn - Xưởng"/>
    <s v="Sáng - Mặn - Xưởng"/>
    <s v="Sáng - Mặn - Xưởng"/>
    <m/>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607"/>
    <s v="Tằng Nhịt Phùng"/>
    <x v="22"/>
    <s v="PMC - WH"/>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610"/>
    <s v="Nguyễn Thị Sinh"/>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3"/>
  </r>
  <r>
    <s v="Active"/>
    <s v="VCV0611"/>
    <s v="Võ Thị Cẩm Tiên"/>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n v="23"/>
  </r>
  <r>
    <s v="Active"/>
    <s v="VCV0614"/>
    <s v="Đặng Thị Thu Trang"/>
    <x v="4"/>
    <s v="PMC - Quality"/>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615"/>
    <s v="Vũ Đại Thắng"/>
    <x v="22"/>
    <s v="PMC - WH"/>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618"/>
    <s v="Vi Thị Dục"/>
    <x v="2"/>
    <s v="Pro - Aging"/>
    <s v="Factory"/>
    <m/>
    <m/>
    <s v="Sáng - Mặn - Xưởng"/>
    <m/>
    <m/>
    <s v="Sáng - Mặn - Xưởng"/>
    <m/>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m/>
    <m/>
    <n v="19"/>
  </r>
  <r>
    <s v="Active"/>
    <s v="VCV0619"/>
    <s v="Trần Thị Phúc"/>
    <x v="2"/>
    <s v="Pro - Aging"/>
    <s v="Factory"/>
    <m/>
    <m/>
    <s v="Sáng - Mặn - Xưởng"/>
    <m/>
    <m/>
    <s v="Sáng - Mặn - Xưởng"/>
    <s v="Sáng - Mặn - Xưởng"/>
    <m/>
    <s v="Sáng - Mặn - Xưởng"/>
    <m/>
    <m/>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19"/>
  </r>
  <r>
    <s v="Active"/>
    <s v="VCV0620"/>
    <s v="Đinh Thị Nở"/>
    <x v="12"/>
    <s v="Pro - Polish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621"/>
    <s v="Nguyễn Thị Kim Chi"/>
    <x v="27"/>
    <s v="PMC - Plan"/>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4"/>
  </r>
  <r>
    <s v="Active"/>
    <s v="VCV0622"/>
    <s v="Nguyễn Thị Phương Dung"/>
    <x v="27"/>
    <s v="PMC - Plan"/>
    <s v="Office"/>
    <s v="Chay"/>
    <m/>
    <s v="Sáng - Chay - VP"/>
    <m/>
    <m/>
    <s v="Sáng - Chay - VP"/>
    <s v="Sáng - Chay - VP"/>
    <m/>
    <s v="Sáng - Chay - VP"/>
    <s v="Sáng - Chay - VP"/>
    <s v="Sáng - Chay - VP"/>
    <s v="Sáng - Chay - VP"/>
    <s v="Sáng - Chay - VP"/>
    <s v="Sáng - Chay - VP"/>
    <m/>
    <s v="Sáng - Chay - VP"/>
    <s v="Sáng - Chay - VP"/>
    <s v="Sáng - Chay - VP"/>
    <s v="Sáng - Chay - VP"/>
    <s v="Sáng - Chay - VP"/>
    <s v="Sáng - Chay - VP"/>
    <m/>
    <s v="Sáng - Chay - VP"/>
    <s v="Sáng - Chay - VP"/>
    <s v="Sáng - Chay - VP"/>
    <s v="Sáng - Chay - VP"/>
    <s v="Sáng - Chay - VP"/>
    <s v="Sáng - Chay - VP"/>
    <m/>
    <s v="Sáng - Chay - VP"/>
    <s v="Sáng - Chay - VP"/>
    <s v="Sáng - Chay - VP"/>
    <n v="24"/>
  </r>
  <r>
    <s v="Active"/>
    <s v="VCV0623"/>
    <s v="Phạm Văn Tuấn"/>
    <x v="22"/>
    <s v="PMC - WH"/>
    <s v="Factory"/>
    <m/>
    <m/>
    <s v="CT"/>
    <m/>
    <m/>
    <s v="CT"/>
    <s v="CT"/>
    <m/>
    <s v="CT"/>
    <s v="CT"/>
    <s v="CT"/>
    <s v="CT"/>
    <s v="CT"/>
    <s v="CT"/>
    <m/>
    <s v="Sáng - Mặn - Xưởng"/>
    <s v="CT"/>
    <s v="CT"/>
    <s v="CT"/>
    <s v="CT"/>
    <s v="CT"/>
    <m/>
    <s v="CT"/>
    <s v="CT"/>
    <s v="CT"/>
    <s v="Sáng - Mặn - Xưởng"/>
    <s v="CT"/>
    <s v="CT"/>
    <m/>
    <s v="CT"/>
    <s v="Sáng - Mặn - Xưởng"/>
    <s v="CT"/>
    <n v="3"/>
  </r>
  <r>
    <s v="Active"/>
    <s v="VCV0631"/>
    <s v="Tsằn Ký Deng"/>
    <x v="22"/>
    <s v="PMC - WH"/>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634"/>
    <s v="Lâm Phát Vạn"/>
    <x v="26"/>
    <s v="Pro - Auto Polish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635"/>
    <s v="Nguyễn Hoàng Vinh"/>
    <x v="19"/>
    <s v="Pro - Fabrication"/>
    <s v="Factory"/>
    <m/>
    <m/>
    <s v="Sáng - Mặn - Xưởng"/>
    <m/>
    <m/>
    <m/>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n v="22"/>
  </r>
  <r>
    <s v="Active"/>
    <s v="VCV0636"/>
    <s v="Đỗ Ánh Hồng"/>
    <x v="22"/>
    <s v="PMC - WH"/>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m/>
    <s v="Sáng - Mặn - VP"/>
    <s v="Sáng - Mặn - Xưởng"/>
    <n v="23"/>
  </r>
  <r>
    <s v="Active"/>
    <s v="VCV0638"/>
    <s v="Chương Bích Phượng"/>
    <x v="22"/>
    <s v="PMC - WH"/>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640"/>
    <s v="Wu Huiming"/>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m/>
    <s v="Sáng - Trung"/>
    <s v="Sáng - Trung"/>
    <s v="Sáng - Trung"/>
    <n v="24"/>
  </r>
  <r>
    <s v="Active"/>
    <s v="VCV0645"/>
    <s v="Bùi Thị Ngọc Ý"/>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n v="23"/>
  </r>
  <r>
    <s v="Active"/>
    <s v="VCV0646"/>
    <s v="Lê Thị Hồng Cẩm"/>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m/>
    <s v="Sáng - Mặn - Xưởng"/>
    <s v="Sáng - Mặn - Xưởng"/>
    <s v="Sáng - Mặn - Xưởng"/>
    <n v="25"/>
  </r>
  <r>
    <s v="Active"/>
    <s v="VCV0647"/>
    <s v="Võ Thị Dân"/>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649"/>
    <s v="Pro - Expat"/>
    <x v="13"/>
    <s v="Pro - Expat"/>
    <s v="Chinese"/>
    <m/>
    <m/>
    <m/>
    <m/>
    <m/>
    <m/>
    <m/>
    <m/>
    <m/>
    <m/>
    <m/>
    <m/>
    <m/>
    <m/>
    <m/>
    <m/>
    <m/>
    <m/>
    <m/>
    <m/>
    <m/>
    <m/>
    <m/>
    <m/>
    <m/>
    <m/>
    <m/>
    <m/>
    <m/>
    <m/>
    <m/>
    <m/>
    <n v="0"/>
  </r>
  <r>
    <s v="Active"/>
    <s v="VCV0650"/>
    <s v="Nguyễn Thành Thiên"/>
    <x v="12"/>
    <s v="Pro - Polishing"/>
    <s v="Factory"/>
    <m/>
    <m/>
    <s v="Sáng - Mặn - Xưởng"/>
    <m/>
    <m/>
    <s v="Sáng - Mặn - Xưởng"/>
    <s v="Sáng - Mặn - Xưởng"/>
    <m/>
    <s v="Sáng - Mặn - Xưởng"/>
    <s v="Sáng - Mặn - Xưởng"/>
    <m/>
    <m/>
    <m/>
    <m/>
    <m/>
    <m/>
    <m/>
    <m/>
    <m/>
    <m/>
    <m/>
    <m/>
    <s v="Sáng - Mặn - Xưởng"/>
    <s v="Sáng - Mặn - Xưởng"/>
    <s v="Sáng - Mặn - Xưởng"/>
    <s v="Sáng - Mặn - Xưởng"/>
    <s v="Sáng - Mặn - Xưởng"/>
    <s v="Sáng - Mặn - Xưởng"/>
    <m/>
    <s v="Sáng - Mặn - Xưởng"/>
    <s v="Sáng - Mặn - Xưởng"/>
    <m/>
    <n v="13"/>
  </r>
  <r>
    <s v="Active"/>
    <s v="VCV0652"/>
    <s v="Trần Thị Mỹ Duyên"/>
    <x v="22"/>
    <s v="PMC - WH"/>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m/>
    <s v="Sáng - Mặn - Xưởng"/>
    <s v="Sáng - Mặn - Xưởng"/>
    <s v="Sáng - Mặn - Xưởng"/>
    <s v="Sáng - Mặn - Xưởng"/>
    <m/>
    <s v="Sáng - Mặn - Xưởng"/>
    <s v="Sáng - Mặn - Xưởng"/>
    <s v="Sáng - Mặn - Xưởng"/>
    <n v="23"/>
  </r>
  <r>
    <s v="Active"/>
    <s v="VCV0657"/>
    <s v="Nguyễn Văn Lâm"/>
    <x v="15"/>
    <s v="Pro - CNC"/>
    <s v="Factory"/>
    <m/>
    <m/>
    <s v="Sáng - Mặn - Xưởng"/>
    <m/>
    <m/>
    <s v="Sáng - Mặn - Xưởng"/>
    <s v="Sáng - Mặn - Xưởng"/>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m/>
    <m/>
    <s v="Sáng - Mặn - Xưởng"/>
    <m/>
    <m/>
    <s v="Sáng - Mặn - Xưởng"/>
    <s v="Sáng - Mặn - Xưởng"/>
    <s v="Sáng - Mặn - Xưởng"/>
    <n v="19"/>
  </r>
  <r>
    <s v="Active"/>
    <s v="VCV0659"/>
    <s v="Nguyễn Thanh Lâm"/>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660"/>
    <s v="Lương Linh Tý"/>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662"/>
    <s v="Nguyễn Tấn Anh"/>
    <x v="12"/>
    <s v="Pro - Polishing"/>
    <s v="Factory"/>
    <m/>
    <m/>
    <s v="Sáng - Mặn - Xưởng"/>
    <m/>
    <m/>
    <s v="Sáng - Mặn - Xưởng"/>
    <s v="Sáng - Mặn - Xưởng"/>
    <m/>
    <s v="Sáng - Mặn - Xưởng"/>
    <s v="Sáng - Mặn - Xưởng"/>
    <m/>
    <m/>
    <m/>
    <m/>
    <m/>
    <m/>
    <m/>
    <m/>
    <m/>
    <m/>
    <m/>
    <m/>
    <s v="Sáng - Mặn - Xưởng"/>
    <s v="Sáng - Mặn - Xưởng"/>
    <s v="Sáng - Mặn - Xưởng"/>
    <s v="Sáng - Mặn - Xưởng"/>
    <s v="Sáng - Mặn - Xưởng"/>
    <s v="Sáng - Mặn - Xưởng"/>
    <m/>
    <s v="Sáng - Mặn - Xưởng"/>
    <s v="Sáng - Mặn - Xưởng"/>
    <s v="Sáng - Mặn - Xưởng"/>
    <n v="14"/>
  </r>
  <r>
    <s v="Active"/>
    <s v="VCV0663"/>
    <s v="Sùng Thị Thúy Loa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664"/>
    <s v="Lê Thị Trang"/>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665"/>
    <s v="Huỳnh Bé Gái"/>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666"/>
    <s v="Hoàng Thị Hương"/>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667"/>
    <s v="Nguyễn Thị An"/>
    <x v="2"/>
    <s v="Pro - Aging"/>
    <s v="Factory"/>
    <m/>
    <m/>
    <s v="Sáng - Mặn - Xưởng"/>
    <m/>
    <m/>
    <m/>
    <s v="Sáng - Mặn - Xưởng"/>
    <m/>
    <s v="Sáng - Mặn - Xưởng"/>
    <s v="Sáng - Mặn - Xưởng"/>
    <s v="Sáng - Mặn - Xưởng"/>
    <s v="Sáng - Mặn - Xưởng"/>
    <m/>
    <m/>
    <m/>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0"/>
  </r>
  <r>
    <s v="Active"/>
    <s v="VCV0668"/>
    <s v="Nguyễn Thị Vân"/>
    <x v="2"/>
    <s v="Pro - Aging"/>
    <s v="Factory"/>
    <m/>
    <m/>
    <s v="Sáng - Mặn - Xưởng"/>
    <m/>
    <m/>
    <s v="Sáng - Mặn - Xưởng"/>
    <m/>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0"/>
  </r>
  <r>
    <s v="Active"/>
    <s v="VCV0669"/>
    <s v="Lê Ngọc Duyê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670"/>
    <s v="Nguyễn Phạm Kim Ngân"/>
    <x v="2"/>
    <s v="Pro - Aging"/>
    <s v="Factory"/>
    <m/>
    <m/>
    <s v="Sáng - Mặn - Xưởng"/>
    <m/>
    <m/>
    <s v="Sáng - Mặn - Xưởng"/>
    <s v="Sáng - Mặn - Xưởng"/>
    <m/>
    <s v="Sáng - Mặn - Xưởng"/>
    <m/>
    <m/>
    <m/>
    <s v="Sáng - Mặn - Xưởng"/>
    <m/>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n v="19"/>
  </r>
  <r>
    <s v="Active"/>
    <s v="VCV0671"/>
    <s v="Nguyễn Thị Diễm"/>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672"/>
    <s v="Phan Thị Ngọc Mai"/>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673"/>
    <s v="Thị Vượng"/>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674"/>
    <s v="Dương Thị Xum"/>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675"/>
    <s v="Nguyễn Thị Diễm"/>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676"/>
    <s v="Phạm Thị Hạnh"/>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m/>
    <s v="Sáng - Mặn - Xưởng"/>
    <s v="Sáng - Mặn - Xưởng"/>
    <m/>
    <s v="Sáng - Mặn - Xưởng"/>
    <s v="Sáng - Mặn - Xưởng"/>
    <s v="Sáng - Mặn - Xưởng"/>
    <n v="20"/>
  </r>
  <r>
    <s v="Active"/>
    <s v="VCV0677"/>
    <s v="Phạm Thị Hợp"/>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678"/>
    <s v="Lê Văn Tèo"/>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s v="Sáng - Mặn - Xưởng"/>
    <n v="20"/>
  </r>
  <r>
    <s v="Active"/>
    <s v="VCV0679"/>
    <s v="Đinh Văn Quang"/>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681"/>
    <s v="Làm Thị Út Sà Quyền"/>
    <x v="2"/>
    <s v="Pro - 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m/>
    <s v="Sáng - Mặn - Xưởng"/>
    <m/>
    <m/>
    <n v="21"/>
  </r>
  <r>
    <s v="Active"/>
    <s v="VCV0682"/>
    <s v="Lê Triệu Vy"/>
    <x v="2"/>
    <s v="Pro - 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6"/>
  </r>
  <r>
    <s v="Active"/>
    <s v="VCV0684"/>
    <s v="Trương Mỹ Lan"/>
    <x v="2"/>
    <s v="Pro - 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6"/>
  </r>
  <r>
    <s v="Active"/>
    <s v="VCV0685"/>
    <s v="Phún Nhật Chấn"/>
    <x v="2"/>
    <s v="Pro - 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n v="25"/>
  </r>
  <r>
    <s v="Active"/>
    <s v="VCV0688"/>
    <s v="Lin Hà Sấm Phụng"/>
    <x v="20"/>
    <s v="Finance - Accounting"/>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4"/>
  </r>
  <r>
    <s v="Active"/>
    <s v="VCV0692"/>
    <s v="LiYong"/>
    <x v="13"/>
    <s v="Pro - Expat"/>
    <s v="Chinese"/>
    <m/>
    <m/>
    <s v="Sáng - Trung"/>
    <m/>
    <m/>
    <s v="Sáng - Trung"/>
    <s v="Sáng - Trung"/>
    <s v="Sáng - Trung"/>
    <s v="Sáng - Trung"/>
    <s v="Sáng - Trung"/>
    <s v="Sáng - Trung"/>
    <s v="Sáng - Trung"/>
    <s v="Sáng - Trung"/>
    <s v="Sáng - Trung"/>
    <m/>
    <s v="Sáng - Trung"/>
    <s v="Sáng - Trung"/>
    <s v="Sáng - Trung"/>
    <s v="Sáng - Trung"/>
    <s v="Sáng - Trung"/>
    <s v="Sáng - Trung"/>
    <s v="Sáng - Trung"/>
    <s v="Sáng - Trung"/>
    <s v="Sáng - Trung"/>
    <s v="Sáng - Trung"/>
    <s v="Sáng - Trung"/>
    <s v="Sáng - Trung"/>
    <s v="Sáng - Trung"/>
    <m/>
    <s v="Sáng - Trung"/>
    <s v="Sáng - Trung"/>
    <s v="Sáng - Trung"/>
    <n v="26"/>
  </r>
  <r>
    <s v="Active"/>
    <s v="VCV0694"/>
    <s v="Trần Quỳnh Loan "/>
    <x v="28"/>
    <s v="COO Office"/>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4"/>
  </r>
  <r>
    <s v="Active"/>
    <s v="VCV0696"/>
    <s v="Nguyễn Quang Khải"/>
    <x v="2"/>
    <s v="Pro - 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m/>
    <s v="Sáng - Mặn - Xưởng"/>
    <s v="Sáng - Mặn - Xưởng"/>
    <s v="Sáng - Mặn - Xưởng"/>
    <n v="25"/>
  </r>
  <r>
    <s v="Active"/>
    <s v="VCV0751"/>
    <s v="Trần Thị Cẩm Thạch "/>
    <x v="3"/>
    <s v="HR Admin"/>
    <s v="Office"/>
    <m/>
    <m/>
    <m/>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m/>
    <s v="Sáng - Mặn - VP"/>
    <s v="Sáng - Mặn - VP"/>
    <m/>
    <s v="Sáng - Mặn - VP"/>
    <s v="Sáng - Mặn - VP"/>
    <s v="Sáng - Mặn - VP"/>
    <n v="22"/>
  </r>
  <r>
    <s v="Active"/>
    <s v="VCV0702"/>
    <s v="Phạm Thanh Minh"/>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703"/>
    <s v="Trần Hùng Vươn"/>
    <x v="16"/>
    <s v="Pro - Manual Lathe"/>
    <s v="Factory"/>
    <m/>
    <m/>
    <s v="Sáng - Mặn - Xưởng"/>
    <m/>
    <m/>
    <s v="Sáng - Mặn - Xưởng"/>
    <s v="Sáng - Mặn - Xưởng"/>
    <m/>
    <s v="Sáng - Mặn - Xưởng"/>
    <s v="Sáng - Mặn - Xưởng"/>
    <s v="Sáng - Mặn - Xưởng"/>
    <s v="Sáng - Mặn - Xưởng"/>
    <m/>
    <s v="Sáng - Mặn - Xưởng"/>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m/>
    <s v="Sáng - Mặn - Xưởng"/>
    <n v="21"/>
  </r>
  <r>
    <s v="Active"/>
    <s v="VCV0705"/>
    <s v="Phạm Tiến Đạt"/>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708"/>
    <s v="Nguyễn Văn Linh"/>
    <x v="1"/>
    <s v="Pro - Packaging"/>
    <s v="Factory"/>
    <m/>
    <m/>
    <s v="Sáng - Mặn - Xưởng"/>
    <m/>
    <m/>
    <s v="Sáng - Mặn - Xưởng"/>
    <m/>
    <s v="Sáng - Mặn - Xưởng"/>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m/>
    <m/>
    <m/>
    <n v="21"/>
  </r>
  <r>
    <s v="Active"/>
    <s v="VCV0709"/>
    <s v="Trần Văn Hiển"/>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m/>
    <s v="Mike"/>
    <x v="13"/>
    <s v="Pro - Expat"/>
    <s v="Chinese"/>
    <m/>
    <m/>
    <s v="Sáng - Trung"/>
    <m/>
    <m/>
    <s v="Sáng - Trung"/>
    <s v="Sáng - Trung"/>
    <m/>
    <s v="Sáng - Trung"/>
    <s v="Sáng - Trung"/>
    <s v="Sáng - Trung"/>
    <s v="Sáng - Trung"/>
    <s v="Sáng - Trung"/>
    <s v="Sáng - Trung"/>
    <m/>
    <s v="Sáng - Trung"/>
    <s v="Sáng - Trung"/>
    <s v="Sáng - Trung"/>
    <s v="Sáng - Trung"/>
    <s v="CT"/>
    <s v="Sáng - Trung"/>
    <m/>
    <s v="Sáng - Trung"/>
    <s v="Sáng - Trung"/>
    <s v="Sáng - Trung"/>
    <s v="Sáng - Trung"/>
    <s v="Sáng - Trung"/>
    <s v="Sáng - Trung"/>
    <s v="Sáng - Trung"/>
    <s v="Sáng - Trung"/>
    <s v="Sáng - Trung"/>
    <s v="Sáng - Trung"/>
    <n v="24"/>
  </r>
  <r>
    <s v="Active"/>
    <m/>
    <s v="Wilson"/>
    <x v="13"/>
    <s v="Pro - Expat"/>
    <s v="Chinese"/>
    <m/>
    <m/>
    <m/>
    <m/>
    <m/>
    <m/>
    <m/>
    <m/>
    <m/>
    <m/>
    <m/>
    <s v="CT"/>
    <m/>
    <s v="CT"/>
    <m/>
    <s v="CT"/>
    <s v="CT"/>
    <s v="CT"/>
    <m/>
    <m/>
    <s v="CT"/>
    <m/>
    <s v="Sáng - Trung"/>
    <s v="Sáng - Trung"/>
    <s v="Sáng - Trung"/>
    <s v="CT"/>
    <s v="CT"/>
    <s v="CT"/>
    <s v="Sáng - Trung"/>
    <m/>
    <s v="Sáng - Trung"/>
    <m/>
    <n v="5"/>
  </r>
  <r>
    <s v="Active"/>
    <m/>
    <s v="Vincent"/>
    <x v="13"/>
    <s v="Pro - Expat"/>
    <s v="Chinese"/>
    <m/>
    <m/>
    <s v="Sáng - Trung"/>
    <m/>
    <m/>
    <s v="Sáng - Trung"/>
    <s v="Sáng - Trung"/>
    <m/>
    <s v="Sáng - Trung"/>
    <s v="Sáng - Trung"/>
    <s v="Sáng - Trung"/>
    <s v="Sáng - Trung"/>
    <s v="Sáng - Trung"/>
    <s v="Sáng - Trung"/>
    <m/>
    <s v="Sáng - Trung"/>
    <s v="Sáng - Trung"/>
    <s v="Sáng - Trung"/>
    <s v="Sáng - Trung"/>
    <s v="Sáng - Trung"/>
    <s v="Sáng - Trung"/>
    <m/>
    <s v="Sáng - Trung"/>
    <s v="Sáng - Trung"/>
    <s v="Sáng - Trung"/>
    <s v="Sáng - Trung"/>
    <s v="Sáng - Trung"/>
    <s v="Sáng - Trung"/>
    <s v="Sáng - Trung"/>
    <s v="Sáng - Trung"/>
    <s v="Sáng - Trung"/>
    <s v="Sáng - Trung"/>
    <n v="25"/>
  </r>
  <r>
    <s v="Active"/>
    <m/>
    <s v="Thomas"/>
    <x v="13"/>
    <s v="Pro - Expat"/>
    <s v="Chinese"/>
    <m/>
    <m/>
    <s v="Sáng - Trung"/>
    <m/>
    <m/>
    <s v="Sáng - Trung"/>
    <s v="Sáng - Trung"/>
    <m/>
    <s v="Sáng - Trung"/>
    <s v="Sáng - Trung"/>
    <s v="Sáng - Trung"/>
    <s v="Sáng - Trung"/>
    <s v="Sáng - Trung"/>
    <s v="Sáng - Trung"/>
    <m/>
    <s v="Sáng - Trung"/>
    <s v="Sáng - Trung"/>
    <s v="Sáng - Trung"/>
    <s v="Sáng - Trung"/>
    <s v="Sáng - Trung"/>
    <m/>
    <m/>
    <m/>
    <m/>
    <m/>
    <m/>
    <m/>
    <m/>
    <m/>
    <m/>
    <m/>
    <m/>
    <n v="14"/>
  </r>
  <r>
    <s v="Active"/>
    <m/>
    <s v="Andy"/>
    <x v="13"/>
    <s v="Pro - Expat"/>
    <s v="Chinese"/>
    <m/>
    <m/>
    <m/>
    <m/>
    <m/>
    <m/>
    <m/>
    <m/>
    <m/>
    <m/>
    <m/>
    <m/>
    <m/>
    <m/>
    <m/>
    <m/>
    <m/>
    <m/>
    <m/>
    <m/>
    <m/>
    <m/>
    <m/>
    <m/>
    <m/>
    <m/>
    <m/>
    <m/>
    <m/>
    <m/>
    <m/>
    <m/>
    <n v="0"/>
  </r>
  <r>
    <s v="Active"/>
    <m/>
    <s v="Nick"/>
    <x v="13"/>
    <s v="Pro - Expat"/>
    <s v="Chinese"/>
    <m/>
    <m/>
    <s v="Sáng - Trung"/>
    <m/>
    <m/>
    <m/>
    <m/>
    <m/>
    <m/>
    <m/>
    <m/>
    <m/>
    <m/>
    <m/>
    <m/>
    <m/>
    <m/>
    <m/>
    <m/>
    <m/>
    <m/>
    <m/>
    <m/>
    <m/>
    <m/>
    <m/>
    <m/>
    <m/>
    <m/>
    <m/>
    <m/>
    <m/>
    <n v="1"/>
  </r>
  <r>
    <s v="Active"/>
    <m/>
    <s v="Arnold"/>
    <x v="13"/>
    <s v="Pro - Expat"/>
    <s v="Office"/>
    <m/>
    <m/>
    <m/>
    <m/>
    <m/>
    <m/>
    <m/>
    <m/>
    <m/>
    <m/>
    <m/>
    <s v="Sáng - Trung"/>
    <s v="Sáng - Trung"/>
    <s v="Sáng - Trung"/>
    <m/>
    <s v="Sáng - Trung"/>
    <s v="Sáng - Trung"/>
    <s v="Sáng - Trung"/>
    <m/>
    <m/>
    <m/>
    <m/>
    <s v="Sáng - Trung"/>
    <s v="Sáng - Trung"/>
    <s v="Sáng - Trung"/>
    <s v="Sáng - Trung"/>
    <s v="Sáng - Trung"/>
    <s v="Sáng - Trung"/>
    <m/>
    <s v="Sáng - Trung"/>
    <m/>
    <m/>
    <n v="13"/>
  </r>
  <r>
    <s v="Active"/>
    <m/>
    <s v="Nguyễn Thị Hồng Nga"/>
    <x v="20"/>
    <s v="Finance - Accounting"/>
    <s v="Office"/>
    <m/>
    <m/>
    <m/>
    <m/>
    <m/>
    <s v="Sáng - Chay - VP"/>
    <m/>
    <m/>
    <m/>
    <m/>
    <s v="Sáng - Chay - VP"/>
    <s v="Sáng - Chay - VP"/>
    <m/>
    <m/>
    <m/>
    <m/>
    <s v="Sáng - Chay - VP"/>
    <s v="Sáng - Chay - VP"/>
    <s v="Sáng - Chay - VP"/>
    <m/>
    <m/>
    <m/>
    <m/>
    <s v="Sáng - Chay - VP"/>
    <s v="Sáng - Chay - VP"/>
    <s v="Sáng - Chay - VP"/>
    <s v="Sáng - Chay - VP"/>
    <m/>
    <m/>
    <s v="Sáng - Chay - VP"/>
    <m/>
    <s v="Sáng - Chay - VP"/>
    <n v="12"/>
  </r>
  <r>
    <s v="Active"/>
    <m/>
    <s v="Ano's Customer"/>
    <x v="13"/>
    <s v="Pro - Expat"/>
    <s v="Office"/>
    <m/>
    <m/>
    <m/>
    <m/>
    <m/>
    <m/>
    <m/>
    <m/>
    <m/>
    <m/>
    <m/>
    <s v="Sáng - Trung"/>
    <m/>
    <m/>
    <m/>
    <m/>
    <m/>
    <m/>
    <m/>
    <m/>
    <m/>
    <m/>
    <m/>
    <m/>
    <m/>
    <m/>
    <m/>
    <m/>
    <m/>
    <m/>
    <m/>
    <m/>
    <n v="1"/>
  </r>
  <r>
    <s v="Active"/>
    <m/>
    <s v="Driver"/>
    <x v="0"/>
    <s v="Subcontractor"/>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m/>
    <s v="Driver"/>
    <x v="0"/>
    <s v="Subcontractor"/>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m/>
    <s v="Driver"/>
    <x v="0"/>
    <s v="Subcontractor"/>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5"/>
  </r>
  <r>
    <s v="Active"/>
    <m/>
    <s v="Sercuirty "/>
    <x v="0"/>
    <s v="Subcontractor"/>
    <s v="Factory"/>
    <m/>
    <m/>
    <m/>
    <m/>
    <m/>
    <s v="Sáng - Mặn - Xưởng"/>
    <s v="Sáng - Mặn - Xưởng"/>
    <s v="Sáng - Mặn - Xưởng"/>
    <m/>
    <m/>
    <m/>
    <s v="Sáng - Mặn - Xưởng"/>
    <m/>
    <m/>
    <m/>
    <m/>
    <s v="Sáng - Mặn - Xưởng"/>
    <m/>
    <m/>
    <m/>
    <s v="Sáng - Mặn - Xưởng"/>
    <m/>
    <m/>
    <s v="Sáng - Mặn - Xưởng"/>
    <s v="Sáng - Mặn - Xưởng"/>
    <m/>
    <m/>
    <m/>
    <m/>
    <s v="Sáng - Mặn - Xưởng"/>
    <m/>
    <m/>
    <n v="9"/>
  </r>
  <r>
    <s v="Active"/>
    <s v="VCV0406"/>
    <s v="Nguyễn Lê Phương Dung"/>
    <x v="1"/>
    <s v="Pro - Packaging"/>
    <s v="Factory"/>
    <m/>
    <m/>
    <s v="Sáng - Mặn - Xưởng"/>
    <m/>
    <m/>
    <s v="Sáng - Mặn - Xưởng"/>
    <s v="Sáng - Mặn - Xưởng"/>
    <s v="Sáng - Mặn - Xưởng"/>
    <s v="Sáng - Mặn - Xưởng"/>
    <s v="Sáng - Mặn - Xưởng"/>
    <s v="Sáng - Mặn - Xưởng"/>
    <s v="Sáng - Mặn - Xưởng"/>
    <m/>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718"/>
    <s v="Nguyễn Văn Lâu"/>
    <x v="19"/>
    <s v="Pro - Fabrication"/>
    <s v="Factory"/>
    <m/>
    <m/>
    <s v="Sáng - Mặn - Xưởng"/>
    <m/>
    <m/>
    <s v="Sáng - Mặn - Xưởng"/>
    <s v="Sáng - Mặn - Xưởng"/>
    <m/>
    <m/>
    <m/>
    <m/>
    <m/>
    <m/>
    <s v="Sáng - Mặn - Xưởng"/>
    <m/>
    <m/>
    <m/>
    <m/>
    <m/>
    <m/>
    <m/>
    <m/>
    <m/>
    <s v="Sáng - Mặn - Xưởng"/>
    <s v="Sáng - Mặn - Xưởng"/>
    <s v="Sáng - Mặn - Xưởng"/>
    <s v="Sáng - Mặn - Xưởng"/>
    <s v="Sáng - Mặn - Xưởng"/>
    <m/>
    <s v="Sáng - Mặn - Xưởng"/>
    <s v="Sáng - Mặn - Xưởng"/>
    <s v="Sáng - Mặn - Xưởng"/>
    <n v="12"/>
  </r>
  <r>
    <s v="Active"/>
    <s v="VCV0577"/>
    <s v="Nguyễn Trung Hiếu"/>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DG"/>
    <s v="VCV0719"/>
    <s v="Trịnh Xuân Trường"/>
    <x v="22"/>
    <s v="PMC - WH"/>
    <s v="Factory"/>
    <m/>
    <m/>
    <s v="CT"/>
    <m/>
    <m/>
    <s v="CT"/>
    <s v="CT"/>
    <m/>
    <s v="CT"/>
    <s v="CT"/>
    <s v="CT"/>
    <s v="CT"/>
    <s v="CT"/>
    <s v="CT"/>
    <m/>
    <s v="CT"/>
    <s v="CT"/>
    <s v="CT"/>
    <s v="CT"/>
    <s v="CT"/>
    <s v="CT"/>
    <m/>
    <s v="CT"/>
    <s v="CT"/>
    <s v="CT"/>
    <s v="Sáng - Mặn - Xưởng"/>
    <s v="CT"/>
    <s v="CT"/>
    <m/>
    <s v="CT"/>
    <s v="Sáng - Mặn - Xưởng"/>
    <s v="CT"/>
    <n v="2"/>
  </r>
  <r>
    <s v="Active"/>
    <s v="VCV0723"/>
    <s v="Worker - Packaging"/>
    <x v="1"/>
    <s v="Pro - Packaging"/>
    <s v="Factory"/>
    <m/>
    <m/>
    <s v="Sáng - Mặn - Xưởng"/>
    <m/>
    <m/>
    <s v="Sáng - Mặn - Xưởng"/>
    <m/>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n v="25"/>
  </r>
  <r>
    <s v="Active"/>
    <s v="VCV0644"/>
    <s v="Trần Nhất Linh"/>
    <x v="4"/>
    <s v="PMC - Quality"/>
    <s v="Factory"/>
    <m/>
    <m/>
    <s v="Sáng - Mặn - Xưởng"/>
    <m/>
    <m/>
    <m/>
    <m/>
    <m/>
    <m/>
    <m/>
    <m/>
    <m/>
    <m/>
    <m/>
    <m/>
    <m/>
    <m/>
    <m/>
    <m/>
    <m/>
    <m/>
    <m/>
    <m/>
    <m/>
    <m/>
    <m/>
    <m/>
    <m/>
    <m/>
    <m/>
    <m/>
    <m/>
    <n v="1"/>
  </r>
  <r>
    <s v="Active"/>
    <s v="VCV0724"/>
    <s v="Lê Hồ Thị Hồng Phấn"/>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730"/>
    <s v="Vũ Thị Len"/>
    <x v="20"/>
    <s v="Finance - Accounting"/>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m/>
    <s v="Sáng - Mặn - VP"/>
    <s v="Sáng - Mặn - VP"/>
    <m/>
    <s v="Sáng - Mặn - VP"/>
    <s v="Sáng - Mặn - VP"/>
    <s v="Sáng - Mặn - VP"/>
    <n v="23"/>
  </r>
  <r>
    <s v="Active"/>
    <s v="VCV0735"/>
    <s v="Đinh Thị Trâm Anh"/>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6"/>
  </r>
  <r>
    <s v="Active"/>
    <s v="VCV0736"/>
    <s v="Đinh Thị Hà Lan"/>
    <x v="1"/>
    <s v="Pro - Packaging"/>
    <s v="Factory"/>
    <m/>
    <m/>
    <s v="Sáng - Mặn - Xưởng"/>
    <m/>
    <m/>
    <s v="Sáng - Mặn - Xưởng"/>
    <s v="Sáng - Mặn - Xưởng"/>
    <m/>
    <s v="Sáng - Mặn - Xưởng"/>
    <s v="Sáng - Mặn - Xưởng"/>
    <s v="Sáng - Mặn - Xưởng"/>
    <s v="Sáng - Mặn - Xưởng"/>
    <m/>
    <m/>
    <m/>
    <m/>
    <m/>
    <m/>
    <m/>
    <m/>
    <m/>
    <m/>
    <m/>
    <m/>
    <m/>
    <m/>
    <m/>
    <m/>
    <m/>
    <m/>
    <m/>
    <m/>
    <n v="7"/>
  </r>
  <r>
    <s v="Active"/>
    <s v="VCV0740"/>
    <s v="Mai Thị Dung"/>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7"/>
  </r>
  <r>
    <s v="Active"/>
    <s v="VCV0726"/>
    <s v="Hồ Thanh Tuấn"/>
    <x v="26"/>
    <s v="Pro - Auto Polish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m/>
    <m/>
    <s v="Sáng - Mặn - Xưởng"/>
    <s v="Sáng - Mặn - Xưởng"/>
    <m/>
    <s v="Sáng - Mặn - Xưởng"/>
    <s v="Sáng - Mặn - Xưởng"/>
    <s v="Sáng - Mặn - Xưởng"/>
    <n v="21"/>
  </r>
  <r>
    <s v="Active"/>
    <s v="VCV0727"/>
    <s v="Huỳnh Manh Vũ"/>
    <x v="17"/>
    <s v="Pro - Painting"/>
    <s v="Factory"/>
    <m/>
    <m/>
    <s v="Sáng - Mặn - Xưởng"/>
    <m/>
    <m/>
    <m/>
    <s v="Sáng - Mặn - Xưởng"/>
    <m/>
    <s v="Sáng - Mặn - Xưởng"/>
    <s v="Sáng - Mặn - Xưởng"/>
    <s v="Sáng - Mặn - Xưởng"/>
    <s v="Sáng - Mặn - Xưởng"/>
    <s v="Sáng - Mặn - Xưởng"/>
    <s v="Sáng - Mặn - Xưởng"/>
    <m/>
    <m/>
    <s v="Sáng - Mặn - Xưởng"/>
    <s v="Sáng - Mặn - Xưởng"/>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728"/>
    <s v="Trịnh Thị Thái Hiền"/>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729"/>
    <s v="Dương Thị Ngọc Loan"/>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3"/>
  </r>
  <r>
    <s v="Active"/>
    <s v="VCV0743"/>
    <s v="Võ Thị Ánh Nguyệt"/>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5"/>
  </r>
  <r>
    <s v="Active"/>
    <s v="VCV0744"/>
    <s v="Hồ Nhục Thanh"/>
    <x v="23"/>
    <s v="COO Office"/>
    <s v="Office"/>
    <m/>
    <m/>
    <s v="Sáng - Mặn - VP"/>
    <m/>
    <m/>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s v="Sáng - Mặn - VP"/>
    <s v="Sáng - Mặn - VP"/>
    <s v="Sáng - Mặn - VP"/>
    <m/>
    <s v="Sáng - Mặn - VP"/>
    <s v="Sáng - Mặn - VP"/>
    <s v="Sáng - Mặn - VP"/>
    <n v="24"/>
  </r>
  <r>
    <s v="Active"/>
    <s v="VCV0741"/>
    <s v="Lê Tuyết Anh"/>
    <x v="1"/>
    <s v="Pro - Packaging"/>
    <s v="Factory"/>
    <m/>
    <m/>
    <s v="Sáng - Mặn - Xưởng"/>
    <m/>
    <m/>
    <m/>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4"/>
  </r>
  <r>
    <s v="Active"/>
    <s v="VCV0745"/>
    <s v="Hoàng Thị Bình"/>
    <x v="2"/>
    <s v="Pro - Aging"/>
    <s v="Factory"/>
    <m/>
    <m/>
    <s v="Sáng - Mặn - Xưởng"/>
    <m/>
    <m/>
    <s v="Sáng - Mặn - Xưởng"/>
    <s v="Sáng - Mặn - Xưởng"/>
    <m/>
    <s v="Sáng - Mặn - Xưởng"/>
    <m/>
    <m/>
    <m/>
    <s v="Sáng - Mặn - Xưởng"/>
    <s v="Sáng - Mặn - Xưởng"/>
    <m/>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0"/>
  </r>
  <r>
    <s v="Active"/>
    <s v="VCV0746"/>
    <s v="Chu Quang Tiến"/>
    <x v="15"/>
    <s v="Pro - CNC"/>
    <s v="Factory"/>
    <m/>
    <m/>
    <s v="Sáng - Mặn - Xưởng"/>
    <m/>
    <m/>
    <m/>
    <s v="Sáng - Mặn - Xưởng"/>
    <m/>
    <m/>
    <s v="Sáng - Mặn - Xưởng"/>
    <s v="Sáng - Mặn - Xưởng"/>
    <s v="Sáng - Mặn - Xưởng"/>
    <s v="Sáng - Mặn - Xưởng"/>
    <s v="Sáng - Mặn - Xưởng"/>
    <m/>
    <m/>
    <s v="Sáng - Mặn - Xưởng"/>
    <s v="Sáng - Mặn - Xưởng"/>
    <s v="Sáng - Mặn - Xưởng"/>
    <s v="Sáng - Mặn - Xưởng"/>
    <s v="Sáng - Mặn - Xưởng"/>
    <m/>
    <s v="Sáng - Mặn - Xưởng"/>
    <s v="Sáng - Mặn - Xưởng"/>
    <s v="Sáng - Mặn - Xưởng"/>
    <s v="Sáng - Mặn - Xưởng"/>
    <s v="Sáng - Mặn - Xưởng"/>
    <m/>
    <m/>
    <m/>
    <s v="Sáng - Mặn - Xưởng"/>
    <m/>
    <n v="18"/>
  </r>
  <r>
    <s v="Active"/>
    <s v="VCV0747"/>
    <s v="Nguyễn Quang Đạo"/>
    <x v="11"/>
    <s v="Pro - Data"/>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m/>
    <s v="Sáng - Mặn - Xưởng"/>
    <s v="Sáng - Mặn - Xưởng"/>
    <s v="Sáng - Mặn - Xưởng"/>
    <n v="23"/>
  </r>
  <r>
    <s v="Active"/>
    <s v="VCV0748"/>
    <s v="Nguyễn Văn Nho"/>
    <x v="11"/>
    <s v="Pro - Data"/>
    <s v="Factory"/>
    <m/>
    <m/>
    <s v="Sáng - Mặn - Xưởng"/>
    <m/>
    <m/>
    <s v="Sáng - Mặn - Xưởng"/>
    <s v="Sáng - Mặn - Xưởng"/>
    <m/>
    <s v="Sáng - Mặn - Xưởng"/>
    <s v="Sáng - Mặn - Xưởng"/>
    <s v="Sáng - Mặn - Xưởng"/>
    <m/>
    <s v="Sáng - Mặn - Xưởng"/>
    <s v="Sáng - Mặn - Xưởng"/>
    <m/>
    <s v="Sáng - Mặn - Xưởng"/>
    <m/>
    <s v="Sáng - Mặn - Xưởng"/>
    <m/>
    <m/>
    <m/>
    <m/>
    <m/>
    <m/>
    <m/>
    <m/>
    <m/>
    <m/>
    <m/>
    <m/>
    <m/>
    <m/>
    <n v="10"/>
  </r>
  <r>
    <s v="Active"/>
    <s v="VCV0749"/>
    <s v="Nguyễn Thị Thanh Hoa"/>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s v="Sáng - Mặn - Xưởng"/>
    <n v="21"/>
  </r>
  <r>
    <s v="DG"/>
    <s v="VCV0750"/>
    <s v="Huỳnh Khánh Duy"/>
    <x v="22"/>
    <s v="PMC - WH"/>
    <s v="Factory"/>
    <m/>
    <m/>
    <s v="CT"/>
    <m/>
    <m/>
    <s v="CT"/>
    <s v="CT"/>
    <m/>
    <s v="CT"/>
    <s v="CT"/>
    <s v="CT"/>
    <s v="CT"/>
    <s v="CT"/>
    <s v="CT"/>
    <m/>
    <s v="CT"/>
    <s v="CT"/>
    <s v="CT"/>
    <s v="CT"/>
    <s v="CT"/>
    <s v="CT"/>
    <m/>
    <s v="CT"/>
    <s v="CT"/>
    <s v="CT"/>
    <s v="Sáng - Mặn - Xưởng"/>
    <s v="CT"/>
    <s v="CT"/>
    <m/>
    <s v="CT"/>
    <s v="Sáng - Mặn - Xưởng"/>
    <s v="CT"/>
    <n v="2"/>
  </r>
  <r>
    <s v="Active"/>
    <m/>
    <s v="Tô Ngọc Thanh"/>
    <x v="1"/>
    <s v="Pro - Packaging"/>
    <s v="Factory"/>
    <m/>
    <m/>
    <m/>
    <m/>
    <m/>
    <m/>
    <m/>
    <m/>
    <m/>
    <m/>
    <m/>
    <m/>
    <m/>
    <m/>
    <m/>
    <m/>
    <m/>
    <m/>
    <m/>
    <m/>
    <m/>
    <m/>
    <m/>
    <m/>
    <m/>
    <m/>
    <m/>
    <m/>
    <m/>
    <m/>
    <m/>
    <m/>
    <n v="0"/>
  </r>
  <r>
    <s v="Active"/>
    <s v="VCV0753"/>
    <s v="Thạch Thị Na Huy"/>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DG"/>
    <s v="VCV0756"/>
    <s v="Lường Chắn Hoa"/>
    <x v="22"/>
    <s v="PMC - WH"/>
    <s v="Factory"/>
    <m/>
    <m/>
    <s v="Sáng - Mặn - Xưởng"/>
    <m/>
    <m/>
    <s v="Sáng - Mặn - Xưởng"/>
    <s v="Sáng - Mặn - Xưởng"/>
    <m/>
    <s v="Sáng - Mặn - Xưởng"/>
    <s v="Sáng - Mặn - Xưởng"/>
    <s v="Sáng - Mặn - Xưởng"/>
    <s v="Sáng - Mặn - Xưởng"/>
    <s v="Sáng - Mặn - Xưởng"/>
    <s v="Sáng - Mặn - Xưởng"/>
    <m/>
    <s v="CT"/>
    <s v="CT"/>
    <s v="CT"/>
    <s v="CT"/>
    <s v="CT"/>
    <s v="CT"/>
    <m/>
    <s v="CT"/>
    <s v="CT"/>
    <s v="CT"/>
    <s v="Sáng - Mặn - Xưởng"/>
    <s v="CT"/>
    <s v="CT"/>
    <m/>
    <s v="CT"/>
    <s v="Sáng - Mặn - Xưởng"/>
    <s v="CT"/>
    <n v="11"/>
  </r>
  <r>
    <s v="Active"/>
    <s v="VCV0757"/>
    <s v="Nguyễn Ngô Thanh Vy"/>
    <x v="1"/>
    <s v="Pro - Packaging"/>
    <s v="Factory"/>
    <m/>
    <m/>
    <s v="Sáng - Mặn - Xưởng"/>
    <m/>
    <m/>
    <s v="Sáng - Mặn - Xưởng"/>
    <s v="Sáng - Mặn - Xưởng"/>
    <m/>
    <s v="Sáng - Mặn - Xưởng"/>
    <s v="Sáng - Mặn - Xưởng"/>
    <s v="Sáng - Mặn - Xưởng"/>
    <s v="Sáng - Mặn - Xưởng"/>
    <m/>
    <m/>
    <m/>
    <m/>
    <m/>
    <m/>
    <m/>
    <m/>
    <m/>
    <m/>
    <m/>
    <m/>
    <m/>
    <m/>
    <m/>
    <m/>
    <m/>
    <m/>
    <m/>
    <m/>
    <n v="7"/>
  </r>
  <r>
    <s v="Active"/>
    <s v="VCV0760"/>
    <s v="H Chintale MLô"/>
    <x v="2"/>
    <s v="Pro - Aging"/>
    <s v="Factory"/>
    <m/>
    <m/>
    <s v="Sáng - Mặn - Xưởng"/>
    <m/>
    <m/>
    <s v="Sáng - Mặn - Xưởng"/>
    <s v="Sáng - Mặn - Xưởng"/>
    <m/>
    <s v="Sáng - Mặn - Xưởng"/>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s v="Sáng - Mặn - Xưởng"/>
    <m/>
    <m/>
    <m/>
    <m/>
    <m/>
    <m/>
    <m/>
    <m/>
    <m/>
    <n v="16"/>
  </r>
  <r>
    <s v="Active"/>
    <s v="VCV0761"/>
    <s v="Phạm Văn Phường"/>
    <x v="2"/>
    <s v="Pro - Aging"/>
    <s v="Factory"/>
    <m/>
    <m/>
    <s v="Sáng - Mặn - Xưởng"/>
    <m/>
    <m/>
    <m/>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m/>
    <s v="Sáng - Mặn - Xưởng"/>
    <n v="19"/>
  </r>
  <r>
    <s v="Active"/>
    <s v="VCV0763"/>
    <s v="Lê Thị Thùy Trinh"/>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764"/>
    <s v="Thị Huyề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768"/>
    <s v="Bùi Thị Thanh Thúy"/>
    <x v="2"/>
    <s v="Pro - Aging"/>
    <s v="Factory"/>
    <m/>
    <m/>
    <s v="Sáng - Mặn - Xưởng"/>
    <m/>
    <m/>
    <s v="Sáng - Mặn - Xưởng"/>
    <s v="Sáng - Mặn - Xưởng"/>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0"/>
  </r>
  <r>
    <s v="Active"/>
    <s v="VCV0769"/>
    <s v="Nguyễn Thu Sương"/>
    <x v="21"/>
    <s v="Pro - Gold Apply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762"/>
    <s v="Trịnh Thị Nương Em"/>
    <x v="1"/>
    <s v="Pro - Packaging"/>
    <s v="Factory"/>
    <m/>
    <m/>
    <s v="Sáng - Mặn - Xưởng"/>
    <m/>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4"/>
  </r>
  <r>
    <s v="Active"/>
    <s v="VCV0765"/>
    <s v="Nguyễn Hải Yến"/>
    <x v="1"/>
    <s v="Pro - Packag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767"/>
    <s v="Trần Huy Cường"/>
    <x v="1"/>
    <s v="Pro - Packaging"/>
    <s v="Factory"/>
    <m/>
    <m/>
    <s v="Sáng - Mặn - Xưởng"/>
    <m/>
    <m/>
    <s v="Sáng - Mặn - Xưởng"/>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773"/>
    <s v="Hoàng Văn Cường"/>
    <x v="17"/>
    <s v="Pro - Painting"/>
    <s v="Factory"/>
    <m/>
    <m/>
    <s v="Sáng - Mặn - Xưởng"/>
    <m/>
    <m/>
    <s v="Sáng - Mặn - Xưởng"/>
    <s v="Sáng - Mặn - Xưởng"/>
    <m/>
    <m/>
    <s v="Sáng - Mặn - Xưởng"/>
    <s v="Sáng - Mặn - Xưởng"/>
    <s v="Sáng - Mặn - Xưởng"/>
    <s v="Sáng - Mặn - Xưởng"/>
    <m/>
    <m/>
    <m/>
    <s v="Sáng - Mặn - Xưởng"/>
    <s v="Sáng - Mặn - Xưởng"/>
    <s v="Sáng - Mặn - Xưởng"/>
    <s v="Sáng - Mặn - Xưởng"/>
    <s v="Sáng - Mặn - Xưởng"/>
    <m/>
    <s v="Sáng - Mặn - Xưởng"/>
    <s v="Sáng - Mặn - Xưởng"/>
    <s v="Sáng - Mặn - Xưởng"/>
    <s v="Sáng - Mặn - Xưởng"/>
    <s v="Sáng - Mặn - Xưởng"/>
    <m/>
    <m/>
    <m/>
    <s v="Sáng - Mặn - Xưởng"/>
    <s v="Sáng - Mặn - Xưởng"/>
    <n v="19"/>
  </r>
  <r>
    <s v="Active"/>
    <s v="VCV0774"/>
    <s v="Nguyễn Thị Phước Thủy"/>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m/>
    <s v="Sáng - Mặn - Xưởng"/>
    <n v="21"/>
  </r>
  <r>
    <s v="Active"/>
    <s v="VCV0775"/>
    <s v="Nguyễn Vĩnh Phúc"/>
    <x v="1"/>
    <s v="Pro - Packaging"/>
    <s v="Factory"/>
    <m/>
    <m/>
    <s v="Sáng - Mặn - Xưởng"/>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s v="Sáng - Mặn - Xưởng"/>
    <s v="Sáng - Mặn - Xưởng"/>
    <s v="Sáng - Mặn - Xưởng"/>
    <s v="Sáng - Mặn - Xưởng"/>
    <s v="Sáng - Mặn - Xưởng"/>
    <s v="Sáng - Mặn - Xưởng"/>
    <s v="Sáng - Mặn - Xưởng"/>
    <s v="Sáng - Mặn - Xưởng"/>
    <s v="Sáng - Mặn - Xưởng"/>
    <n v="25"/>
  </r>
  <r>
    <s v="Active"/>
    <s v="VCV0776"/>
    <s v="Lê Gia Đạt"/>
    <x v="1"/>
    <s v="Pro - Packaging"/>
    <s v="Factory"/>
    <m/>
    <m/>
    <s v="Sáng - Mặn - Xưởng"/>
    <m/>
    <m/>
    <m/>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25"/>
  </r>
  <r>
    <s v="Active"/>
    <s v="VCV0717"/>
    <s v="Chu Ngọc Anh"/>
    <x v="1"/>
    <s v="Pro - Packaging"/>
    <s v="Factory"/>
    <m/>
    <m/>
    <s v="Sáng - Mặn - Xưởng"/>
    <m/>
    <m/>
    <s v="Sáng - Mặn - Xưởng"/>
    <m/>
    <m/>
    <m/>
    <s v="Sáng - Mặn - Xưởng"/>
    <s v="Sáng - Mặn - Xưởng"/>
    <s v="Sáng - Mặn - Xưởng"/>
    <m/>
    <m/>
    <m/>
    <m/>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m/>
    <n v="17"/>
  </r>
  <r>
    <s v="Active"/>
    <s v="VCV0770"/>
    <s v="Tsần Thị Hồng Linh"/>
    <x v="22"/>
    <s v="PMC - WH"/>
    <s v="Office"/>
    <m/>
    <m/>
    <s v="Sáng - Mặn - VP"/>
    <m/>
    <m/>
    <s v="Sáng - Mặn - VP"/>
    <s v="Sáng - Mặn - VP"/>
    <m/>
    <s v="Sáng - Mặn - VP"/>
    <s v="Sáng - Mặn - VP"/>
    <s v="Sáng - Mặn - VP"/>
    <s v="Sáng - Mặn - VP"/>
    <m/>
    <s v="Sáng - Mặn - VP"/>
    <m/>
    <s v="Sáng - Mặn - VP"/>
    <s v="Sáng - Mặn - VP"/>
    <s v="Sáng - Mặn - VP"/>
    <s v="CT"/>
    <s v="Sáng - Mặn - VP"/>
    <s v="Sáng - Mặn - VP"/>
    <m/>
    <s v="Sáng - Mặn - VP"/>
    <s v="Sáng - Mặn - VP"/>
    <s v="Sáng - Mặn - VP"/>
    <m/>
    <s v="CT"/>
    <s v="Sáng - Mặn - Xưởng"/>
    <m/>
    <s v="Sáng - Mặn - VP"/>
    <s v="Sáng - Mặn - VP"/>
    <s v="Sáng - Mặn - VP"/>
    <n v="20"/>
  </r>
  <r>
    <s v="Active"/>
    <s v="VCV0772"/>
    <s v="Trần Thu Hiền"/>
    <x v="2"/>
    <s v="Pro - Aging"/>
    <s v="Factory"/>
    <m/>
    <m/>
    <s v="Sáng - Mặn - Xưởng"/>
    <m/>
    <m/>
    <s v="Sáng - Mặn - Xưởng"/>
    <s v="Sáng - Mặn - Xưởng"/>
    <m/>
    <s v="Sáng - Mặn - Xưởng"/>
    <s v="Sáng - Mặn - Xưởng"/>
    <s v="Sáng - Mặn - Xưởng"/>
    <s v="Sáng - Mặn - Xưởng"/>
    <m/>
    <m/>
    <m/>
    <s v="Sáng - Mặn - Xưởng"/>
    <s v="Sáng - Mặn - Xưởng"/>
    <s v="Sáng - Mặn - Xưởng"/>
    <m/>
    <s v="Sáng - Mặn - Xưởng"/>
    <s v="Sáng - Mặn - Xưởng"/>
    <m/>
    <s v="Sáng - Mặn - Xưởng"/>
    <s v="Sáng - Mặn - Xưởng"/>
    <s v="Sáng - Mặn - Xưởng"/>
    <s v="Sáng - Mặn - Xưởng"/>
    <s v="Sáng - Mặn - Xưởng"/>
    <s v="Sáng - Mặn - Xưởng"/>
    <m/>
    <s v="Sáng - Mặn - Xưởng"/>
    <s v="Sáng - Mặn - Xưởng"/>
    <m/>
    <n v="20"/>
  </r>
  <r>
    <s v="Active"/>
    <s v="VCV0779"/>
    <s v="Thạch Thị Chi"/>
    <x v="21"/>
    <s v="Pro - Gold Apply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777"/>
    <s v="Lê Thị Quỳnh Như"/>
    <x v="17"/>
    <s v="Pro - Painting"/>
    <s v="Factory"/>
    <m/>
    <m/>
    <s v="Sáng - Mặn - Xưởng"/>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4"/>
  </r>
  <r>
    <s v="Active"/>
    <s v="VCV0267"/>
    <s v="Huỳnh Minh Hiếu"/>
    <x v="12"/>
    <s v="Pro - Polishing"/>
    <s v="Factory"/>
    <m/>
    <m/>
    <s v="Sáng - Mặn - Xưởng"/>
    <m/>
    <m/>
    <s v="Sáng - Mặn - Xưởng"/>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m/>
    <s v="Yang Min"/>
    <x v="13"/>
    <s v="Pro - Expat"/>
    <s v="Chinese"/>
    <m/>
    <m/>
    <m/>
    <m/>
    <m/>
    <s v="Sáng - Trung"/>
    <m/>
    <m/>
    <s v="Sáng - Trung"/>
    <s v="Sáng - Trung"/>
    <s v="Sáng - Trung"/>
    <m/>
    <m/>
    <m/>
    <m/>
    <m/>
    <m/>
    <m/>
    <m/>
    <m/>
    <m/>
    <m/>
    <m/>
    <m/>
    <m/>
    <m/>
    <m/>
    <m/>
    <m/>
    <m/>
    <m/>
    <m/>
    <n v="4"/>
  </r>
  <r>
    <s v="Active"/>
    <s v="VCV0208"/>
    <s v="Phạm Văn Tuân"/>
    <x v="4"/>
    <s v="PMC - Quality"/>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CT"/>
    <s v="CT"/>
    <m/>
    <s v="CT"/>
    <s v="CT"/>
    <s v="CT"/>
    <n v="19"/>
  </r>
  <r>
    <s v="Active"/>
    <s v="VCV0260"/>
    <s v="Nguyễn Văn Thuần"/>
    <x v="4"/>
    <s v="PMC - Quality"/>
    <s v="Factory"/>
    <m/>
    <m/>
    <m/>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322"/>
    <s v="Phạm Thị Thanh Xuân"/>
    <x v="4"/>
    <s v="PMC - Quality"/>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166"/>
    <s v="Trương Thị Đào"/>
    <x v="19"/>
    <s v="Pro - Fabrication"/>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2"/>
  </r>
  <r>
    <s v="Active"/>
    <s v="VCV0167"/>
    <s v="Trương Kha Nhỉ"/>
    <x v="11"/>
    <s v="Pro - Data"/>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030"/>
    <s v="Thị Thủy"/>
    <x v="2"/>
    <s v="Pro - Aging"/>
    <s v="Factory"/>
    <m/>
    <m/>
    <m/>
    <m/>
    <m/>
    <s v="Sáng - Mặn - Xưởng"/>
    <s v="Sáng - Mặn - Xưởng"/>
    <m/>
    <s v="Sáng - Mặn - Xưởng"/>
    <m/>
    <m/>
    <m/>
    <s v="Sáng - Mặn - Xưởng"/>
    <s v="Sáng - Mặn - Xưởng"/>
    <m/>
    <s v="Sáng - Mặn - Xưởng"/>
    <s v="Sáng - Mặn - Xưởng"/>
    <m/>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19"/>
  </r>
  <r>
    <s v="Active"/>
    <s v="VCV0035"/>
    <s v="Hoàng Thanh Hoa"/>
    <x v="19"/>
    <s v="Pro - Fabrication"/>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22"/>
  </r>
  <r>
    <s v="Active"/>
    <s v="VCV0361"/>
    <s v="Nguyễn Sỹ Khôi"/>
    <x v="19"/>
    <s v="Pro - Fabrication"/>
    <s v="Factory"/>
    <m/>
    <m/>
    <m/>
    <m/>
    <m/>
    <s v="Sáng - Mặn - Xưởng"/>
    <s v="Sáng - Mặn - Xưởng"/>
    <m/>
    <s v="Sáng - Mặn - Xưởng"/>
    <s v="Sáng - Mặn - Xưởng"/>
    <s v="Sáng - Mặn - Xưởng"/>
    <m/>
    <s v="Sáng - Mặn - Xưởng"/>
    <s v="Sáng - Mặn - Xưởng"/>
    <m/>
    <s v="Sáng - Mặn - Xưởng"/>
    <s v="Sáng - Mặn - Xưởng"/>
    <s v="Sáng - Mặn - Xưởng"/>
    <s v="Sáng - Mặn - Xưởng"/>
    <s v="Sáng - Mặn - Xưởng"/>
    <s v="Sáng - Mặn - Xưởng"/>
    <m/>
    <s v="Sáng - Mặn - Xưởng"/>
    <m/>
    <m/>
    <s v="Sáng - Mặn - Xưởng"/>
    <s v="Sáng - Mặn - Xưởng"/>
    <s v="Sáng - Mặn - Xưởng"/>
    <m/>
    <s v="Sáng - Mặn - Xưởng"/>
    <m/>
    <s v="Sáng - Mặn - Xưởng"/>
    <n v="19"/>
  </r>
  <r>
    <s v="Active"/>
    <s v="VCV0401"/>
    <s v="Lê Gia Bảo"/>
    <x v="1"/>
    <s v="Pro - Packaging"/>
    <s v="Factory"/>
    <m/>
    <m/>
    <m/>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6"/>
  </r>
  <r>
    <s v="Active"/>
    <s v="VCV0428"/>
    <s v="Nguyễn Đình Bảo"/>
    <x v="22"/>
    <s v="PMC - WH"/>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442"/>
    <s v="Trương Thành Cường"/>
    <x v="1"/>
    <s v="Pro - Packaging"/>
    <s v="Factory"/>
    <m/>
    <m/>
    <m/>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m/>
    <m/>
    <s v="Sáng - Mặn - Xưởng"/>
    <s v="Sáng - Mặn - Xưởng"/>
    <s v="Sáng - Mặn - Xưởng"/>
    <s v="Sáng - Mặn - Xưởng"/>
    <m/>
    <s v="Sáng - Mặn - Xưởng"/>
    <s v="Sáng - Mặn - Xưởng"/>
    <s v="Sáng - Mặn - Xưởng"/>
    <n v="23"/>
  </r>
  <r>
    <s v="Active"/>
    <s v="VCV0501"/>
    <s v="Nguyễn Văn Phước"/>
    <x v="22"/>
    <s v="PMC - WH"/>
    <s v="Factory"/>
    <m/>
    <m/>
    <m/>
    <m/>
    <m/>
    <s v="CT"/>
    <s v="CT"/>
    <m/>
    <s v="CT"/>
    <s v="CT"/>
    <s v="CT"/>
    <s v="CT"/>
    <s v="CT"/>
    <s v="CT"/>
    <m/>
    <s v="CT"/>
    <s v="CT"/>
    <s v="CT"/>
    <s v="CT"/>
    <s v="CT"/>
    <s v="CT"/>
    <m/>
    <s v="CT"/>
    <s v="CT"/>
    <s v="CT"/>
    <s v="Sáng - Mặn - Xưởng"/>
    <s v="CT"/>
    <s v="CT"/>
    <m/>
    <s v="CT"/>
    <s v="Sáng - Mặn - Xưởng"/>
    <s v="CT"/>
    <n v="2"/>
  </r>
  <r>
    <s v="Active"/>
    <s v="VCV0509"/>
    <s v="Nguyễn Thị Thúy Na"/>
    <x v="2"/>
    <s v="Pro - Aging"/>
    <s v="Factory"/>
    <m/>
    <m/>
    <m/>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510"/>
    <s v="Phan Thị Phương"/>
    <x v="2"/>
    <s v="Pro - Aging"/>
    <s v="Factory"/>
    <m/>
    <m/>
    <m/>
    <m/>
    <m/>
    <s v="Sáng - Mặn - Xưởng"/>
    <s v="Sáng - Mặn - Xưởng"/>
    <m/>
    <s v="Sáng - Mặn - Xưởng"/>
    <s v="Sáng - Mặn - Xưởng"/>
    <s v="Sáng - Mặn - Xưởng"/>
    <s v="Sáng - Mặn - Xưởng"/>
    <m/>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0"/>
  </r>
  <r>
    <s v="Active"/>
    <s v="VCV0063"/>
    <s v="Trần Cường"/>
    <x v="4"/>
    <s v="PMC - Quality"/>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689"/>
    <s v="Lê Bảo Ngọc"/>
    <x v="1"/>
    <s v="Pro - Packaging"/>
    <s v="Factory"/>
    <m/>
    <m/>
    <m/>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5"/>
  </r>
  <r>
    <s v="Active"/>
    <s v="VCV0710"/>
    <s v="Nguyễn Hữu Ninh"/>
    <x v="16"/>
    <s v="Pro - Manual Lathe"/>
    <s v="Factory"/>
    <m/>
    <m/>
    <m/>
    <m/>
    <m/>
    <s v="Sáng - Mặn - Xưởng"/>
    <s v="Sáng - Mặn - Xưởng"/>
    <m/>
    <m/>
    <m/>
    <m/>
    <m/>
    <m/>
    <m/>
    <m/>
    <m/>
    <m/>
    <m/>
    <m/>
    <m/>
    <m/>
    <m/>
    <m/>
    <m/>
    <m/>
    <m/>
    <m/>
    <m/>
    <m/>
    <m/>
    <m/>
    <m/>
    <n v="2"/>
  </r>
  <r>
    <s v="Active"/>
    <s v="VCV0715"/>
    <s v="Trần Minh Trung"/>
    <x v="22"/>
    <s v="PMC - WH"/>
    <s v="Factory"/>
    <m/>
    <m/>
    <m/>
    <m/>
    <m/>
    <s v="CT"/>
    <m/>
    <m/>
    <m/>
    <m/>
    <m/>
    <m/>
    <m/>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14"/>
  </r>
  <r>
    <s v="Active"/>
    <s v="VCV0725"/>
    <s v="Vòng Thín Pẩu"/>
    <x v="12"/>
    <s v="Pro - Polishing"/>
    <s v="Factory"/>
    <m/>
    <m/>
    <m/>
    <m/>
    <m/>
    <s v="Sáng - Mặn - Xưởng"/>
    <s v="Sáng - Mặn - Xưởng"/>
    <m/>
    <m/>
    <s v="Sáng - Mặn - Xưởng"/>
    <m/>
    <m/>
    <m/>
    <m/>
    <m/>
    <m/>
    <m/>
    <m/>
    <m/>
    <m/>
    <m/>
    <m/>
    <s v="Sáng - Mặn - Xưởng"/>
    <s v="Sáng - Mặn - Xưởng"/>
    <s v="Sáng - Mặn - Xưởng"/>
    <s v="Sáng - Mặn - Xưởng"/>
    <s v="Sáng - Mặn - Xưởng"/>
    <s v="Sáng - Mặn - Xưởng"/>
    <m/>
    <s v="Sáng - Mặn - Xưởng"/>
    <m/>
    <m/>
    <n v="10"/>
  </r>
  <r>
    <s v="Active"/>
    <s v="VCV0742"/>
    <s v="Phan Tấn Hữu"/>
    <x v="1"/>
    <s v="Pro - Packaging"/>
    <s v="Factory"/>
    <m/>
    <m/>
    <m/>
    <m/>
    <m/>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s v="Sáng - Mặn - Xưởng"/>
    <s v="Sáng - Mặn - Xưởng"/>
    <n v="25"/>
  </r>
  <r>
    <s v="Active"/>
    <s v="VCV0771"/>
    <s v="Nguyễn Đình Nhật Quang"/>
    <x v="21"/>
    <s v="Pro - Gold Applying"/>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781"/>
    <s v="Hà Văn Dần"/>
    <x v="11"/>
    <s v="Pro - Data"/>
    <s v="Factory"/>
    <m/>
    <m/>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3"/>
  </r>
  <r>
    <s v="Active"/>
    <s v="VCV0782"/>
    <s v="Hà Thị Thanh"/>
    <x v="2"/>
    <s v="Pro - Aging"/>
    <s v="Factory"/>
    <m/>
    <m/>
    <m/>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783"/>
    <s v="Đào Thị Kim Oanh"/>
    <x v="2"/>
    <s v="Pro - Aging"/>
    <s v="Factory"/>
    <m/>
    <m/>
    <m/>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785"/>
    <s v="Nguyễn Thị Hương"/>
    <x v="2"/>
    <s v="Pro - Aging"/>
    <s v="Factory"/>
    <m/>
    <m/>
    <m/>
    <m/>
    <m/>
    <s v="Sáng - Mặn - Xưởng"/>
    <s v="Sáng - Mặn - Xưởng"/>
    <m/>
    <s v="Sáng - Mặn - Xưởng"/>
    <s v="Sáng - Mặn - Xưởng"/>
    <s v="Sáng - Mặn - Xưởng"/>
    <s v="Sáng - Mặn - Xưởng"/>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786"/>
    <s v="Nguyễn Thị Thanh Huyền"/>
    <x v="2"/>
    <s v="Pro - Aging"/>
    <s v="Factory"/>
    <m/>
    <m/>
    <m/>
    <m/>
    <m/>
    <s v="Sáng - Mặn - Xưởng"/>
    <m/>
    <m/>
    <s v="Sáng - Mặn - Xưởng"/>
    <m/>
    <m/>
    <m/>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19"/>
  </r>
  <r>
    <s v="Active"/>
    <s v="VCV0789"/>
    <s v="Phạm Văn Phúc"/>
    <x v="1"/>
    <s v="Pro - Packaging"/>
    <s v="Factory"/>
    <m/>
    <m/>
    <m/>
    <m/>
    <m/>
    <s v="Sáng - Mặn - Xưởng"/>
    <m/>
    <m/>
    <m/>
    <m/>
    <m/>
    <m/>
    <m/>
    <m/>
    <m/>
    <m/>
    <m/>
    <m/>
    <m/>
    <m/>
    <m/>
    <m/>
    <m/>
    <m/>
    <s v="Sáng - Mặn - Xưởng"/>
    <s v="Sáng - Mặn - Xưởng"/>
    <s v="Sáng - Mặn - Xưởng"/>
    <m/>
    <m/>
    <m/>
    <m/>
    <m/>
    <n v="4"/>
  </r>
  <r>
    <s v="Active"/>
    <s v="VCV0792"/>
    <s v="Nguyễn Thị Hồng Dung"/>
    <x v="1"/>
    <s v="Pro - Packaging"/>
    <s v="Factory"/>
    <m/>
    <m/>
    <m/>
    <m/>
    <m/>
    <s v="Sáng - Mặn - Xưởng"/>
    <s v="Sáng - Mặn - Xưởng"/>
    <s v="Sáng - Mặn - Xưởng"/>
    <s v="Sáng - Mặn - Xưởng"/>
    <m/>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25"/>
  </r>
  <r>
    <s v="Active"/>
    <s v="PTT0632"/>
    <s v="Hà Văn Dần"/>
    <x v="11"/>
    <s v="Pro - Data"/>
    <s v="Factory"/>
    <m/>
    <m/>
    <m/>
    <m/>
    <m/>
    <s v="Sáng - Mặn - Xưởng"/>
    <s v="Sáng - Mặn - Xưởng"/>
    <m/>
    <m/>
    <m/>
    <m/>
    <m/>
    <m/>
    <m/>
    <m/>
    <m/>
    <m/>
    <m/>
    <m/>
    <m/>
    <m/>
    <m/>
    <m/>
    <m/>
    <m/>
    <m/>
    <m/>
    <m/>
    <m/>
    <m/>
    <m/>
    <m/>
    <n v="2"/>
  </r>
  <r>
    <s v="Active"/>
    <s v="VCV0755"/>
    <s v="Kim Minh Phương"/>
    <x v="1"/>
    <s v="Pro - Packaging"/>
    <s v="Factory"/>
    <m/>
    <m/>
    <m/>
    <m/>
    <m/>
    <m/>
    <s v="Sáng - Mặn - Xưởng"/>
    <s v="Sáng - Mặn - Xưởng"/>
    <s v="Sáng - Mặn - Xưởng"/>
    <s v="Sáng - Mặn - Xưởng"/>
    <s v="Sáng - Mặn - Xưởng"/>
    <s v="Sáng - Mặn - Xưởng"/>
    <m/>
    <m/>
    <m/>
    <m/>
    <m/>
    <m/>
    <m/>
    <m/>
    <m/>
    <m/>
    <m/>
    <m/>
    <m/>
    <m/>
    <m/>
    <m/>
    <m/>
    <m/>
    <m/>
    <m/>
    <n v="6"/>
  </r>
  <r>
    <s v="Active"/>
    <s v="VCV0400"/>
    <s v="Trần Đình Sơn"/>
    <x v="1"/>
    <s v="Pro - Packaging"/>
    <s v="Factory"/>
    <m/>
    <m/>
    <m/>
    <m/>
    <m/>
    <m/>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m/>
    <m/>
    <s v="Sáng - Mặn - Xưởng"/>
    <n v="21"/>
  </r>
  <r>
    <s v="Active"/>
    <s v="VCV0111"/>
    <s v="Phạm Thị Xuân Liễu"/>
    <x v="17"/>
    <s v="Pro - Painting"/>
    <s v="Factory"/>
    <m/>
    <m/>
    <m/>
    <m/>
    <m/>
    <m/>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2"/>
  </r>
  <r>
    <s v="Active"/>
    <s v="VCV0571"/>
    <s v="Thạch Thị Mường"/>
    <x v="1"/>
    <s v="Pro - Packaging"/>
    <s v="Factory"/>
    <m/>
    <m/>
    <m/>
    <m/>
    <m/>
    <m/>
    <m/>
    <s v="Sáng - Mặn - Xưởng"/>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m/>
    <s v="Sáng - Mặn - Xưởng"/>
    <n v="23"/>
  </r>
  <r>
    <s v="Active"/>
    <s v="VCV0244"/>
    <s v="Lý Văn Chống"/>
    <x v="12"/>
    <s v="Pro - Polishing"/>
    <s v="Factory"/>
    <m/>
    <m/>
    <m/>
    <m/>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m/>
    <m/>
    <m/>
    <m/>
    <m/>
    <m/>
    <m/>
    <m/>
    <m/>
    <n v="12"/>
  </r>
  <r>
    <s v="Active"/>
    <s v="VCV0784"/>
    <s v="Nguyễn Thị Thủy"/>
    <x v="2"/>
    <s v="Pro - Aging"/>
    <s v="Factory"/>
    <m/>
    <m/>
    <m/>
    <m/>
    <m/>
    <m/>
    <m/>
    <m/>
    <s v="Sáng - Mặn - Xưởng"/>
    <m/>
    <m/>
    <m/>
    <s v="Sáng - Mặn - Xưởng"/>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m/>
    <m/>
    <s v="Sáng - Mặn - Xưởng"/>
    <s v="Sáng - Mặn - Xưởng"/>
    <s v="Sáng - Mặn - Xưởng"/>
    <n v="16"/>
  </r>
  <r>
    <s v="Active"/>
    <s v="VCV0465"/>
    <s v="Trương Thị Quỳnh Diễm"/>
    <x v="21"/>
    <s v="Pro - Gold Applying"/>
    <s v="Factory"/>
    <m/>
    <m/>
    <m/>
    <m/>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1"/>
  </r>
  <r>
    <s v="Active"/>
    <s v="VCV0321"/>
    <s v="Nguyễn Văn Thi"/>
    <x v="6"/>
    <s v="COO - Maintenance"/>
    <s v="Factory"/>
    <m/>
    <m/>
    <m/>
    <m/>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m/>
    <m/>
    <m/>
    <m/>
    <m/>
    <m/>
    <m/>
    <s v="Sáng - Mặn - Xưởng"/>
    <s v="Sáng - Mặn - Xưởng"/>
    <s v="Sáng - Mặn - Xưởng"/>
    <n v="15"/>
  </r>
  <r>
    <s v="Active"/>
    <s v="VCV0790"/>
    <s v="Huỳnh Thị Thảo"/>
    <x v="11"/>
    <s v="Pro - Data"/>
    <s v="Factory"/>
    <m/>
    <m/>
    <m/>
    <m/>
    <m/>
    <m/>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0"/>
  </r>
  <r>
    <s v="Active"/>
    <s v="VCV0791"/>
    <s v="Nguyễn Thanh Hà"/>
    <x v="17"/>
    <s v="Pro - Painting"/>
    <s v="Factory"/>
    <m/>
    <m/>
    <m/>
    <m/>
    <m/>
    <m/>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20"/>
  </r>
  <r>
    <s v="Active"/>
    <s v="VCV0787 "/>
    <s v="Nguyễn Phúc Ân"/>
    <x v="22"/>
    <s v="PMC - WH"/>
    <s v="Factory"/>
    <m/>
    <m/>
    <m/>
    <m/>
    <m/>
    <m/>
    <m/>
    <m/>
    <m/>
    <s v="CT"/>
    <s v="CT"/>
    <s v="CT"/>
    <s v="CT"/>
    <s v="CT"/>
    <m/>
    <s v="CT"/>
    <s v="CT"/>
    <s v="CT"/>
    <s v="CT"/>
    <s v="CT"/>
    <s v="CT"/>
    <m/>
    <s v="CT"/>
    <s v="CT"/>
    <s v="CT"/>
    <m/>
    <m/>
    <m/>
    <m/>
    <m/>
    <m/>
    <m/>
    <n v="0"/>
  </r>
  <r>
    <s v="Active"/>
    <s v=" VCV0788"/>
    <s v=" Diệu Ngọc"/>
    <x v="22"/>
    <s v="PMC - WH"/>
    <s v="Factory"/>
    <m/>
    <m/>
    <m/>
    <m/>
    <m/>
    <m/>
    <m/>
    <m/>
    <m/>
    <s v="CT"/>
    <s v="CT"/>
    <s v="CT"/>
    <s v="CT"/>
    <s v="CT"/>
    <m/>
    <s v="CT"/>
    <s v="CT"/>
    <s v="CT"/>
    <s v="CT"/>
    <s v="CT"/>
    <s v="CT"/>
    <m/>
    <s v="CT"/>
    <s v="CT"/>
    <s v="CT"/>
    <m/>
    <s v="CT"/>
    <s v="CT"/>
    <m/>
    <m/>
    <m/>
    <m/>
    <n v="0"/>
  </r>
  <r>
    <s v="Active"/>
    <m/>
    <s v="Robbert"/>
    <x v="13"/>
    <s v="Pro - Expat"/>
    <s v="Office"/>
    <m/>
    <m/>
    <m/>
    <m/>
    <m/>
    <m/>
    <m/>
    <m/>
    <m/>
    <m/>
    <m/>
    <s v="Sáng - Trung"/>
    <s v="Sáng - Trung"/>
    <m/>
    <m/>
    <m/>
    <m/>
    <m/>
    <m/>
    <m/>
    <m/>
    <m/>
    <m/>
    <m/>
    <m/>
    <m/>
    <m/>
    <m/>
    <m/>
    <m/>
    <m/>
    <m/>
    <n v="2"/>
  </r>
  <r>
    <s v="Active"/>
    <s v="VCV0802"/>
    <s v="Danh Anh Khoa"/>
    <x v="1"/>
    <s v="Pro - Packaging"/>
    <s v="Factory"/>
    <m/>
    <m/>
    <m/>
    <m/>
    <m/>
    <m/>
    <m/>
    <m/>
    <m/>
    <m/>
    <m/>
    <s v="Sáng - Mặn - Xưởng"/>
    <m/>
    <m/>
    <m/>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17"/>
  </r>
  <r>
    <s v="Active"/>
    <s v="VCV0804"/>
    <s v="Trần Thiện Thắng"/>
    <x v="1"/>
    <s v="Pro - Packaging"/>
    <s v="Factory"/>
    <m/>
    <m/>
    <m/>
    <m/>
    <m/>
    <m/>
    <m/>
    <m/>
    <m/>
    <m/>
    <m/>
    <s v="Sáng - Mặn - Xưởng"/>
    <m/>
    <m/>
    <m/>
    <m/>
    <s v="Sáng - Mặn - Xưởng"/>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m/>
    <m/>
    <n v="14"/>
  </r>
  <r>
    <s v="Active"/>
    <s v="VCV0402"/>
    <s v="Nguyễn Văn Tuấn"/>
    <x v="12"/>
    <s v="Pro - Polishing"/>
    <s v="Factory"/>
    <m/>
    <m/>
    <m/>
    <m/>
    <m/>
    <m/>
    <m/>
    <m/>
    <m/>
    <m/>
    <m/>
    <m/>
    <m/>
    <m/>
    <m/>
    <s v="Sáng - Mặn - Xưởng"/>
    <s v="Sáng - Mặn - Xưởng"/>
    <s v="Sáng - Mặn - Xưởng"/>
    <s v="Sáng - Mặn - Xưởng"/>
    <s v="Sáng - Mặn - Xưởng"/>
    <s v="Sáng - Mặn - Xưởng"/>
    <m/>
    <m/>
    <m/>
    <m/>
    <m/>
    <m/>
    <m/>
    <m/>
    <m/>
    <m/>
    <m/>
    <n v="6"/>
  </r>
  <r>
    <s v="Active"/>
    <s v="VCV0799"/>
    <s v="Trần Quang Thái"/>
    <x v="15"/>
    <s v="Pro - CNC"/>
    <s v="Factory"/>
    <m/>
    <m/>
    <m/>
    <m/>
    <m/>
    <m/>
    <m/>
    <m/>
    <m/>
    <m/>
    <m/>
    <m/>
    <m/>
    <m/>
    <m/>
    <m/>
    <s v="Sáng - Mặn - Xưởng"/>
    <s v="Sáng - Mặn - Xưởng"/>
    <s v="Sáng - Mặn - Xưởng"/>
    <s v="Sáng - Mặn - Xưởng"/>
    <s v="Sáng - Mặn - Xưởng"/>
    <m/>
    <m/>
    <s v="Sáng - Mặn - Xưởng"/>
    <m/>
    <m/>
    <s v="Sáng - Mặn - Xưởng"/>
    <m/>
    <m/>
    <s v="Sáng - Mặn - Xưởng"/>
    <s v="Sáng - Mặn - Xưởng"/>
    <s v="Sáng - Mặn - Xưởng"/>
    <n v="10"/>
  </r>
  <r>
    <s v="Active"/>
    <s v="VCV0800"/>
    <s v="Nguyễn Bá Tuân"/>
    <x v="1"/>
    <s v="Pro - Packaging"/>
    <s v="Factory"/>
    <m/>
    <m/>
    <m/>
    <m/>
    <m/>
    <m/>
    <m/>
    <m/>
    <m/>
    <m/>
    <m/>
    <m/>
    <m/>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15"/>
  </r>
  <r>
    <s v="Active"/>
    <s v="VCV0805"/>
    <s v="Trương Thị Phấn"/>
    <x v="1"/>
    <s v="Pro - Packaging"/>
    <s v="Factory"/>
    <m/>
    <m/>
    <m/>
    <m/>
    <m/>
    <m/>
    <m/>
    <m/>
    <m/>
    <m/>
    <m/>
    <m/>
    <m/>
    <m/>
    <m/>
    <m/>
    <s v="Sáng - Mặn - Xưởng"/>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m/>
    <s v="Sáng - Mặn - Xưởng"/>
    <n v="13"/>
  </r>
  <r>
    <s v="Active"/>
    <s v="VCV0801"/>
    <s v="Nguyễn Quốc Cường"/>
    <x v="1"/>
    <s v="Pro - Packaging"/>
    <s v="Factory"/>
    <m/>
    <m/>
    <m/>
    <m/>
    <m/>
    <m/>
    <m/>
    <m/>
    <m/>
    <m/>
    <m/>
    <m/>
    <m/>
    <m/>
    <m/>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16"/>
  </r>
  <r>
    <s v="Active"/>
    <s v="VCV0806"/>
    <s v="Trần Vũ Thanh Trọng"/>
    <x v="1"/>
    <s v="Pro - Packaging"/>
    <s v="Factory"/>
    <m/>
    <m/>
    <m/>
    <m/>
    <m/>
    <m/>
    <m/>
    <m/>
    <m/>
    <m/>
    <m/>
    <m/>
    <m/>
    <m/>
    <m/>
    <m/>
    <s v="Sáng - Mặn - Xưởng"/>
    <s v="Sáng - Mặn - Xưởng"/>
    <s v="Sáng - Mặn - Xưởng"/>
    <s v="Sáng - Mặn - Xưởng"/>
    <s v="Sáng - Mặn - Xưởng"/>
    <s v="Sáng - Mặn - Xưởng"/>
    <m/>
    <m/>
    <m/>
    <m/>
    <m/>
    <m/>
    <m/>
    <m/>
    <m/>
    <m/>
    <n v="6"/>
  </r>
  <r>
    <s v="Active"/>
    <s v="VCV0798"/>
    <s v="Trần Minh Lục "/>
    <x v="22"/>
    <s v="PMC - WH"/>
    <s v="Factory"/>
    <m/>
    <m/>
    <m/>
    <m/>
    <m/>
    <m/>
    <m/>
    <m/>
    <m/>
    <m/>
    <m/>
    <m/>
    <m/>
    <m/>
    <m/>
    <m/>
    <s v="CT"/>
    <s v="CT"/>
    <s v="CT"/>
    <s v="CT"/>
    <s v="CT"/>
    <m/>
    <s v="CT"/>
    <s v="CT"/>
    <s v="CT"/>
    <s v="Sáng - Mặn - Xưởng"/>
    <s v="CT"/>
    <s v="CT"/>
    <m/>
    <s v="CT"/>
    <s v="Sáng - Mặn - Xưởng"/>
    <s v="CT"/>
    <n v="2"/>
  </r>
  <r>
    <s v="Active"/>
    <s v="VCV0803"/>
    <s v="Thị Cẩm Tú"/>
    <x v="21"/>
    <s v="Pro - Gold Applying"/>
    <s v="Factory"/>
    <m/>
    <m/>
    <m/>
    <m/>
    <m/>
    <m/>
    <m/>
    <m/>
    <m/>
    <m/>
    <m/>
    <m/>
    <m/>
    <m/>
    <m/>
    <m/>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13"/>
  </r>
  <r>
    <s v="Active"/>
    <s v="VCV0808"/>
    <s v="Trần Thị Ánh Hồng"/>
    <x v="21"/>
    <s v="Pro - Gold Applying"/>
    <s v="Factory"/>
    <m/>
    <m/>
    <m/>
    <m/>
    <m/>
    <m/>
    <m/>
    <m/>
    <m/>
    <m/>
    <m/>
    <m/>
    <m/>
    <m/>
    <m/>
    <m/>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13"/>
  </r>
  <r>
    <s v="Active"/>
    <s v="VCV0809"/>
    <s v="Phan Trọng Nhân"/>
    <x v="1"/>
    <s v="Pro - Packaging"/>
    <s v="Factory"/>
    <m/>
    <m/>
    <m/>
    <m/>
    <m/>
    <m/>
    <m/>
    <m/>
    <m/>
    <m/>
    <m/>
    <m/>
    <m/>
    <m/>
    <m/>
    <m/>
    <m/>
    <s v="Sáng - Mặn - Xưởng"/>
    <s v="Sáng - Mặn - Xưởng"/>
    <s v="Sáng - Mặn - Xưởng"/>
    <s v="Sáng - Mặn - Xưởng"/>
    <m/>
    <s v="Sáng - Mặn - Xưởng"/>
    <s v="Sáng - Mặn - Xưởng"/>
    <s v="Sáng - Mặn - Xưởng"/>
    <s v="Sáng - Mặn - Xưởng"/>
    <s v="Sáng - Mặn - Xưởng"/>
    <s v="Sáng - Mặn - Xưởng"/>
    <s v="Sáng - Mặn - Xưởng"/>
    <s v="Sáng - Mặn - Xưởng"/>
    <s v="Sáng - Mặn - Xưởng"/>
    <s v="Sáng - Mặn - Xưởng"/>
    <n v="14"/>
  </r>
  <r>
    <s v="Active"/>
    <s v="VCV0810"/>
    <s v="Đặng Thành Ty Hô"/>
    <x v="1"/>
    <s v="Pro - Packaging"/>
    <s v="Factory"/>
    <m/>
    <m/>
    <m/>
    <m/>
    <m/>
    <m/>
    <m/>
    <m/>
    <m/>
    <m/>
    <m/>
    <m/>
    <m/>
    <m/>
    <m/>
    <m/>
    <m/>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s v="Sáng - Mặn - Xưởng"/>
    <n v="15"/>
  </r>
  <r>
    <s v="Active"/>
    <s v="VCV0811"/>
    <s v="Nguyễn Đức Long"/>
    <x v="17"/>
    <s v="Pro - Painting"/>
    <s v="Factory"/>
    <m/>
    <m/>
    <m/>
    <m/>
    <m/>
    <m/>
    <m/>
    <m/>
    <m/>
    <m/>
    <m/>
    <m/>
    <m/>
    <m/>
    <m/>
    <m/>
    <m/>
    <s v="Sáng - Mặn - Xưởng"/>
    <s v="Sáng - Mặn - Xưởng"/>
    <s v="Sáng - Mặn - Xưởng"/>
    <s v="Sáng - Mặn - Xưởng"/>
    <m/>
    <s v="Sáng - Mặn - Xưởng"/>
    <s v="Sáng - Mặn - Xưởng"/>
    <s v="Sáng - Mặn - Xưởng"/>
    <s v="Sáng - Mặn - Xưởng"/>
    <s v="Sáng - Mặn - Xưởng"/>
    <s v="Sáng - Mặn - Xưởng"/>
    <m/>
    <s v="Sáng - Mặn - Xưởng"/>
    <s v="Sáng - Mặn - Xưởng"/>
    <s v="Sáng - Mặn - Xưởng"/>
    <n v="13"/>
  </r>
  <r>
    <s v="Active"/>
    <s v="VCV0807"/>
    <s v="Mã Cắm Phùng"/>
    <x v="22"/>
    <s v="PMC - WH"/>
    <s v="Factory"/>
    <m/>
    <m/>
    <m/>
    <m/>
    <m/>
    <m/>
    <m/>
    <m/>
    <m/>
    <m/>
    <m/>
    <m/>
    <m/>
    <m/>
    <m/>
    <m/>
    <m/>
    <m/>
    <m/>
    <m/>
    <m/>
    <m/>
    <s v="Sáng - Mặn - Xưởng"/>
    <s v="Sáng - Mặn - Xưởng"/>
    <s v="Sáng - Mặn - Xưởng"/>
    <s v="Sáng - Mặn - Xưởng"/>
    <s v="CT"/>
    <s v="Sáng - Mặn - Xưởng"/>
    <m/>
    <s v="Sáng - Mặn - Xưởng"/>
    <s v="Sáng - Mặn - Xưởng"/>
    <s v="Sáng - Mặn - Xưởng"/>
    <n v="8"/>
  </r>
  <r>
    <s v="Active"/>
    <s v="VCV0812"/>
    <s v="Nguyễn Xuân Vũ"/>
    <x v="1"/>
    <s v="Pro - Packaging"/>
    <s v="Factory"/>
    <m/>
    <m/>
    <m/>
    <m/>
    <m/>
    <m/>
    <m/>
    <m/>
    <m/>
    <m/>
    <m/>
    <m/>
    <m/>
    <m/>
    <m/>
    <m/>
    <m/>
    <m/>
    <m/>
    <m/>
    <m/>
    <m/>
    <m/>
    <m/>
    <s v="Sáng - Mặn - Xưởng"/>
    <s v="Sáng - Mặn - Xưởng"/>
    <s v="Sáng - Mặn - Xưởng"/>
    <s v="Sáng - Mặn - Xưởng"/>
    <s v="Sáng - Mặn - Xưởng"/>
    <s v="Sáng - Mặn - Xưởng"/>
    <m/>
    <m/>
    <n v="6"/>
  </r>
  <r>
    <s v="Active"/>
    <s v="VCV0813"/>
    <s v="Bùi Nguyễn Minh Hoàng"/>
    <x v="1"/>
    <s v="Pro - Packaging"/>
    <s v="Factory"/>
    <m/>
    <m/>
    <m/>
    <m/>
    <m/>
    <m/>
    <m/>
    <m/>
    <m/>
    <m/>
    <m/>
    <m/>
    <m/>
    <m/>
    <m/>
    <m/>
    <m/>
    <m/>
    <m/>
    <m/>
    <m/>
    <m/>
    <m/>
    <m/>
    <s v="Sáng - Mặn - Xưởng"/>
    <s v="Sáng - Mặn - Xưởng"/>
    <s v="Sáng - Mặn - Xưởng"/>
    <s v="Sáng - Mặn - Xưởng"/>
    <m/>
    <s v="Sáng - Mặn - Xưởng"/>
    <s v="Sáng - Mặn - Xưởng"/>
    <s v="Sáng - Mặn - Xưởng"/>
    <n v="7"/>
  </r>
  <r>
    <s v="Active"/>
    <s v="VCV0814"/>
    <s v="Lương Thị Thuỳ Trang"/>
    <x v="12"/>
    <s v="Pro - Polishing"/>
    <s v="Factory"/>
    <m/>
    <m/>
    <m/>
    <m/>
    <m/>
    <m/>
    <m/>
    <m/>
    <m/>
    <m/>
    <m/>
    <m/>
    <m/>
    <m/>
    <m/>
    <m/>
    <m/>
    <m/>
    <m/>
    <m/>
    <m/>
    <m/>
    <m/>
    <m/>
    <s v="Sáng - Mặn - Xưởng"/>
    <s v="Sáng - Mặn - Xưởng"/>
    <m/>
    <s v="Sáng - Mặn - Xưởng"/>
    <m/>
    <m/>
    <m/>
    <m/>
    <n v="3"/>
  </r>
  <r>
    <m/>
    <m/>
    <m/>
    <x v="29"/>
    <m/>
    <m/>
    <m/>
    <m/>
    <m/>
    <m/>
    <m/>
    <m/>
    <m/>
    <m/>
    <m/>
    <m/>
    <m/>
    <m/>
    <m/>
    <m/>
    <m/>
    <m/>
    <m/>
    <m/>
    <m/>
    <m/>
    <m/>
    <m/>
    <m/>
    <m/>
    <m/>
    <m/>
    <m/>
    <m/>
    <m/>
    <m/>
    <m/>
    <m/>
    <m/>
  </r>
  <r>
    <m/>
    <m/>
    <m/>
    <x v="29"/>
    <m/>
    <m/>
    <m/>
    <m/>
    <m/>
    <m/>
    <m/>
    <m/>
    <m/>
    <m/>
    <m/>
    <m/>
    <m/>
    <m/>
    <m/>
    <m/>
    <m/>
    <m/>
    <m/>
    <m/>
    <m/>
    <m/>
    <m/>
    <m/>
    <m/>
    <m/>
    <m/>
    <m/>
    <m/>
    <m/>
    <m/>
    <m/>
    <m/>
    <m/>
    <m/>
  </r>
  <r>
    <m/>
    <m/>
    <m/>
    <x v="29"/>
    <m/>
    <m/>
    <m/>
    <m/>
    <m/>
    <m/>
    <m/>
    <m/>
    <m/>
    <m/>
    <m/>
    <m/>
    <m/>
    <m/>
    <m/>
    <m/>
    <m/>
    <m/>
    <m/>
    <m/>
    <m/>
    <m/>
    <m/>
    <m/>
    <m/>
    <m/>
    <m/>
    <m/>
    <m/>
    <m/>
    <m/>
    <m/>
    <m/>
    <m/>
    <m/>
  </r>
  <r>
    <m/>
    <m/>
    <m/>
    <x v="29"/>
    <m/>
    <m/>
    <m/>
    <m/>
    <m/>
    <m/>
    <m/>
    <m/>
    <m/>
    <m/>
    <m/>
    <m/>
    <m/>
    <m/>
    <m/>
    <m/>
    <m/>
    <m/>
    <m/>
    <m/>
    <m/>
    <m/>
    <m/>
    <m/>
    <m/>
    <m/>
    <m/>
    <m/>
    <m/>
    <m/>
    <m/>
    <m/>
    <m/>
    <m/>
    <m/>
  </r>
  <r>
    <m/>
    <m/>
    <m/>
    <x v="29"/>
    <m/>
    <m/>
    <m/>
    <m/>
    <m/>
    <m/>
    <m/>
    <m/>
    <m/>
    <m/>
    <m/>
    <m/>
    <m/>
    <m/>
    <m/>
    <m/>
    <m/>
    <m/>
    <m/>
    <m/>
    <m/>
    <m/>
    <m/>
    <m/>
    <m/>
    <m/>
    <m/>
    <m/>
    <m/>
    <m/>
    <m/>
    <m/>
    <m/>
    <m/>
    <m/>
  </r>
  <r>
    <m/>
    <m/>
    <m/>
    <x v="29"/>
    <m/>
    <m/>
    <m/>
    <m/>
    <m/>
    <m/>
    <m/>
    <m/>
    <m/>
    <m/>
    <m/>
    <m/>
    <m/>
    <m/>
    <m/>
    <m/>
    <m/>
    <m/>
    <m/>
    <m/>
    <m/>
    <m/>
    <m/>
    <m/>
    <m/>
    <m/>
    <m/>
    <m/>
    <m/>
    <m/>
    <m/>
    <m/>
    <m/>
    <m/>
    <m/>
  </r>
  <r>
    <m/>
    <s v="VCV0530"/>
    <m/>
    <x v="29"/>
    <m/>
    <m/>
    <m/>
    <m/>
    <m/>
    <m/>
    <m/>
    <m/>
    <m/>
    <m/>
    <m/>
    <m/>
    <m/>
    <m/>
    <m/>
    <m/>
    <m/>
    <m/>
    <m/>
    <m/>
    <m/>
    <m/>
    <m/>
    <m/>
    <m/>
    <m/>
    <m/>
    <m/>
    <m/>
    <m/>
    <m/>
    <m/>
    <m/>
    <m/>
    <n v="0"/>
  </r>
  <r>
    <m/>
    <s v="VCV0535"/>
    <m/>
    <x v="29"/>
    <m/>
    <m/>
    <m/>
    <m/>
    <m/>
    <m/>
    <m/>
    <m/>
    <m/>
    <m/>
    <m/>
    <m/>
    <m/>
    <m/>
    <m/>
    <m/>
    <m/>
    <m/>
    <m/>
    <m/>
    <m/>
    <m/>
    <m/>
    <m/>
    <m/>
    <m/>
    <m/>
    <m/>
    <m/>
    <m/>
    <m/>
    <m/>
    <m/>
    <m/>
    <n v="0"/>
  </r>
  <r>
    <m/>
    <s v="VCV0536"/>
    <m/>
    <x v="29"/>
    <m/>
    <m/>
    <m/>
    <m/>
    <m/>
    <m/>
    <m/>
    <m/>
    <m/>
    <m/>
    <m/>
    <m/>
    <m/>
    <m/>
    <m/>
    <m/>
    <m/>
    <m/>
    <m/>
    <m/>
    <m/>
    <m/>
    <m/>
    <m/>
    <m/>
    <m/>
    <m/>
    <m/>
    <m/>
    <m/>
    <m/>
    <m/>
    <m/>
    <m/>
    <n v="0"/>
  </r>
  <r>
    <m/>
    <s v="VCV0374"/>
    <m/>
    <x v="29"/>
    <m/>
    <m/>
    <m/>
    <m/>
    <m/>
    <m/>
    <m/>
    <m/>
    <m/>
    <m/>
    <m/>
    <m/>
    <m/>
    <m/>
    <m/>
    <m/>
    <m/>
    <m/>
    <m/>
    <m/>
    <m/>
    <m/>
    <m/>
    <m/>
    <m/>
    <m/>
    <m/>
    <m/>
    <m/>
    <m/>
    <m/>
    <m/>
    <m/>
    <m/>
    <n v="0"/>
  </r>
  <r>
    <m/>
    <s v="VCV0571"/>
    <m/>
    <x v="29"/>
    <m/>
    <m/>
    <m/>
    <m/>
    <m/>
    <m/>
    <m/>
    <m/>
    <m/>
    <m/>
    <m/>
    <m/>
    <m/>
    <m/>
    <m/>
    <m/>
    <m/>
    <m/>
    <m/>
    <m/>
    <m/>
    <m/>
    <m/>
    <m/>
    <m/>
    <m/>
    <m/>
    <m/>
    <m/>
    <m/>
    <m/>
    <m/>
    <m/>
    <m/>
    <n v="0"/>
  </r>
  <r>
    <m/>
    <s v="VCV0647"/>
    <m/>
    <x v="29"/>
    <m/>
    <m/>
    <m/>
    <m/>
    <m/>
    <m/>
    <m/>
    <m/>
    <m/>
    <m/>
    <m/>
    <m/>
    <m/>
    <m/>
    <m/>
    <m/>
    <m/>
    <m/>
    <m/>
    <m/>
    <m/>
    <m/>
    <m/>
    <m/>
    <m/>
    <m/>
    <m/>
    <m/>
    <m/>
    <m/>
    <m/>
    <m/>
    <m/>
    <m/>
    <n v="0"/>
  </r>
  <r>
    <m/>
    <s v="VCV0646"/>
    <m/>
    <x v="29"/>
    <m/>
    <m/>
    <m/>
    <m/>
    <m/>
    <m/>
    <m/>
    <m/>
    <m/>
    <m/>
    <m/>
    <m/>
    <m/>
    <m/>
    <m/>
    <m/>
    <m/>
    <m/>
    <m/>
    <m/>
    <m/>
    <m/>
    <m/>
    <m/>
    <m/>
    <m/>
    <m/>
    <m/>
    <m/>
    <m/>
    <m/>
    <m/>
    <m/>
    <m/>
    <n v="0"/>
  </r>
  <r>
    <m/>
    <s v="VCV0792"/>
    <m/>
    <x v="29"/>
    <m/>
    <m/>
    <m/>
    <m/>
    <m/>
    <m/>
    <m/>
    <m/>
    <m/>
    <m/>
    <m/>
    <m/>
    <m/>
    <m/>
    <m/>
    <m/>
    <m/>
    <m/>
    <m/>
    <m/>
    <m/>
    <m/>
    <m/>
    <m/>
    <m/>
    <m/>
    <m/>
    <m/>
    <m/>
    <m/>
    <m/>
    <m/>
    <m/>
    <m/>
    <n v="0"/>
  </r>
  <r>
    <m/>
    <s v="VCV0702"/>
    <m/>
    <x v="29"/>
    <m/>
    <m/>
    <m/>
    <m/>
    <m/>
    <m/>
    <m/>
    <m/>
    <m/>
    <m/>
    <m/>
    <m/>
    <m/>
    <m/>
    <m/>
    <m/>
    <m/>
    <m/>
    <m/>
    <m/>
    <m/>
    <m/>
    <m/>
    <m/>
    <m/>
    <m/>
    <m/>
    <m/>
    <m/>
    <m/>
    <m/>
    <m/>
    <m/>
    <m/>
    <n v="0"/>
  </r>
  <r>
    <m/>
    <s v="VCV0724"/>
    <m/>
    <x v="29"/>
    <m/>
    <m/>
    <m/>
    <m/>
    <m/>
    <m/>
    <m/>
    <m/>
    <m/>
    <m/>
    <m/>
    <m/>
    <m/>
    <m/>
    <m/>
    <m/>
    <m/>
    <m/>
    <m/>
    <m/>
    <m/>
    <m/>
    <m/>
    <m/>
    <m/>
    <m/>
    <m/>
    <m/>
    <m/>
    <m/>
    <m/>
    <m/>
    <m/>
    <m/>
    <n v="0"/>
  </r>
  <r>
    <m/>
    <s v="VCV0735"/>
    <m/>
    <x v="29"/>
    <m/>
    <m/>
    <m/>
    <m/>
    <m/>
    <m/>
    <m/>
    <m/>
    <m/>
    <m/>
    <m/>
    <m/>
    <m/>
    <m/>
    <m/>
    <m/>
    <m/>
    <m/>
    <m/>
    <m/>
    <m/>
    <m/>
    <m/>
    <m/>
    <m/>
    <m/>
    <m/>
    <m/>
    <m/>
    <m/>
    <m/>
    <m/>
    <m/>
    <m/>
    <n v="0"/>
  </r>
  <r>
    <m/>
    <s v="VCV0740"/>
    <m/>
    <x v="29"/>
    <m/>
    <m/>
    <m/>
    <m/>
    <m/>
    <m/>
    <m/>
    <m/>
    <m/>
    <m/>
    <m/>
    <m/>
    <m/>
    <m/>
    <m/>
    <m/>
    <m/>
    <m/>
    <m/>
    <m/>
    <m/>
    <m/>
    <m/>
    <m/>
    <m/>
    <m/>
    <m/>
    <m/>
    <m/>
    <m/>
    <m/>
    <m/>
    <m/>
    <m/>
    <n v="0"/>
  </r>
  <r>
    <m/>
    <s v="VCV0524"/>
    <m/>
    <x v="29"/>
    <m/>
    <m/>
    <m/>
    <m/>
    <m/>
    <m/>
    <m/>
    <m/>
    <m/>
    <m/>
    <m/>
    <m/>
    <m/>
    <m/>
    <m/>
    <m/>
    <m/>
    <m/>
    <m/>
    <m/>
    <m/>
    <m/>
    <m/>
    <m/>
    <m/>
    <m/>
    <m/>
    <m/>
    <m/>
    <m/>
    <m/>
    <m/>
    <m/>
    <m/>
    <n v="0"/>
  </r>
  <r>
    <m/>
    <s v="VCV0145"/>
    <m/>
    <x v="29"/>
    <m/>
    <m/>
    <m/>
    <m/>
    <m/>
    <m/>
    <m/>
    <m/>
    <m/>
    <m/>
    <m/>
    <m/>
    <m/>
    <m/>
    <m/>
    <m/>
    <m/>
    <m/>
    <m/>
    <m/>
    <m/>
    <m/>
    <m/>
    <m/>
    <m/>
    <m/>
    <m/>
    <m/>
    <m/>
    <m/>
    <m/>
    <m/>
    <m/>
    <m/>
    <n v="0"/>
  </r>
  <r>
    <m/>
    <s v="VCV0397"/>
    <m/>
    <x v="29"/>
    <m/>
    <m/>
    <m/>
    <m/>
    <m/>
    <m/>
    <m/>
    <m/>
    <m/>
    <m/>
    <m/>
    <m/>
    <m/>
    <m/>
    <m/>
    <m/>
    <m/>
    <m/>
    <m/>
    <m/>
    <m/>
    <m/>
    <m/>
    <m/>
    <m/>
    <m/>
    <m/>
    <m/>
    <m/>
    <m/>
    <m/>
    <m/>
    <m/>
    <m/>
    <n v="0"/>
  </r>
  <r>
    <m/>
    <s v="VCV0029"/>
    <m/>
    <x v="29"/>
    <m/>
    <m/>
    <m/>
    <m/>
    <m/>
    <m/>
    <m/>
    <m/>
    <m/>
    <m/>
    <m/>
    <m/>
    <m/>
    <m/>
    <m/>
    <m/>
    <m/>
    <m/>
    <m/>
    <m/>
    <m/>
    <m/>
    <m/>
    <m/>
    <m/>
    <m/>
    <m/>
    <m/>
    <m/>
    <m/>
    <m/>
    <m/>
    <m/>
    <m/>
    <n v="0"/>
  </r>
  <r>
    <m/>
    <s v="VCV0575"/>
    <m/>
    <x v="29"/>
    <m/>
    <m/>
    <m/>
    <m/>
    <m/>
    <m/>
    <m/>
    <m/>
    <m/>
    <m/>
    <m/>
    <m/>
    <m/>
    <m/>
    <m/>
    <m/>
    <m/>
    <m/>
    <m/>
    <m/>
    <m/>
    <m/>
    <m/>
    <m/>
    <m/>
    <m/>
    <m/>
    <m/>
    <m/>
    <m/>
    <m/>
    <m/>
    <m/>
    <m/>
    <n v="0"/>
  </r>
  <r>
    <m/>
    <s v="VCV0765"/>
    <m/>
    <x v="29"/>
    <m/>
    <m/>
    <m/>
    <m/>
    <m/>
    <m/>
    <m/>
    <m/>
    <m/>
    <m/>
    <m/>
    <m/>
    <m/>
    <m/>
    <m/>
    <m/>
    <m/>
    <m/>
    <m/>
    <m/>
    <m/>
    <m/>
    <m/>
    <m/>
    <m/>
    <m/>
    <m/>
    <m/>
    <m/>
    <m/>
    <m/>
    <m/>
    <m/>
    <m/>
    <n v="0"/>
  </r>
  <r>
    <m/>
    <s v="VCV0762"/>
    <m/>
    <x v="29"/>
    <m/>
    <m/>
    <m/>
    <m/>
    <m/>
    <m/>
    <m/>
    <m/>
    <m/>
    <m/>
    <m/>
    <m/>
    <m/>
    <m/>
    <m/>
    <m/>
    <m/>
    <m/>
    <m/>
    <m/>
    <m/>
    <m/>
    <m/>
    <m/>
    <m/>
    <m/>
    <m/>
    <m/>
    <m/>
    <m/>
    <m/>
    <m/>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
  <r>
    <s v="Active"/>
    <s v="PTT0451"/>
    <s v="Trần Huy Cường"/>
    <x v="0"/>
    <s v="Pro - Packaging"/>
    <s v="Factory"/>
    <m/>
    <m/>
    <m/>
    <m/>
    <m/>
    <s v="Cơm tăng ca"/>
    <m/>
    <m/>
    <m/>
    <m/>
    <m/>
    <m/>
    <m/>
    <m/>
    <m/>
    <m/>
    <m/>
    <m/>
    <m/>
    <m/>
    <m/>
    <m/>
    <m/>
    <m/>
    <m/>
    <m/>
    <m/>
    <m/>
    <m/>
    <m/>
    <m/>
    <m/>
    <n v="1"/>
  </r>
  <r>
    <s v="Active"/>
    <s v="PTT0537"/>
    <s v="Nguyễn Quang Khải"/>
    <x v="1"/>
    <s v="Pro - Aging"/>
    <s v="Factory"/>
    <m/>
    <m/>
    <m/>
    <m/>
    <m/>
    <m/>
    <m/>
    <m/>
    <m/>
    <m/>
    <m/>
    <m/>
    <m/>
    <m/>
    <m/>
    <m/>
    <m/>
    <m/>
    <m/>
    <m/>
    <m/>
    <m/>
    <m/>
    <m/>
    <m/>
    <m/>
    <m/>
    <s v="Cơm tăng ca"/>
    <m/>
    <m/>
    <m/>
    <m/>
    <n v="1"/>
  </r>
  <r>
    <s v="Active"/>
    <s v="PTT0546"/>
    <s v="Nguyễn Phạm Kim Ngân"/>
    <x v="1"/>
    <s v="Pro - Aging"/>
    <s v="Factory"/>
    <m/>
    <m/>
    <m/>
    <m/>
    <m/>
    <m/>
    <m/>
    <m/>
    <m/>
    <m/>
    <m/>
    <m/>
    <m/>
    <m/>
    <m/>
    <m/>
    <m/>
    <m/>
    <m/>
    <m/>
    <m/>
    <m/>
    <m/>
    <m/>
    <m/>
    <m/>
    <m/>
    <s v="Cơm tăng ca"/>
    <m/>
    <m/>
    <m/>
    <m/>
    <n v="1"/>
  </r>
  <r>
    <s v="Active"/>
    <s v="PTT0556"/>
    <s v="Phan Thị Ngọc Mai"/>
    <x v="2"/>
    <s v="Pro - Painting"/>
    <s v="Factory"/>
    <m/>
    <m/>
    <m/>
    <m/>
    <m/>
    <m/>
    <m/>
    <m/>
    <m/>
    <m/>
    <m/>
    <m/>
    <m/>
    <m/>
    <m/>
    <m/>
    <m/>
    <m/>
    <m/>
    <m/>
    <m/>
    <m/>
    <m/>
    <m/>
    <m/>
    <m/>
    <m/>
    <s v="Cơm tăng ca"/>
    <m/>
    <m/>
    <m/>
    <m/>
    <n v="1"/>
  </r>
  <r>
    <s v="Active"/>
    <s v="PTT0572"/>
    <s v="Phan Tấn Hữu"/>
    <x v="0"/>
    <s v="Pro - Packaging"/>
    <s v="Factory"/>
    <m/>
    <m/>
    <m/>
    <m/>
    <m/>
    <s v="Cơm tăng ca"/>
    <m/>
    <m/>
    <m/>
    <m/>
    <m/>
    <m/>
    <m/>
    <m/>
    <m/>
    <m/>
    <m/>
    <m/>
    <m/>
    <m/>
    <m/>
    <m/>
    <m/>
    <m/>
    <m/>
    <m/>
    <m/>
    <s v="Cơm tăng ca"/>
    <m/>
    <m/>
    <m/>
    <m/>
    <n v="2"/>
  </r>
  <r>
    <s v="Active"/>
    <s v="PTT0583"/>
    <s v="Võ Thị Ánh Nguyệt"/>
    <x v="1"/>
    <s v="Pro - Aging"/>
    <s v="Factory"/>
    <m/>
    <m/>
    <m/>
    <m/>
    <m/>
    <s v="Cơm tăng ca"/>
    <m/>
    <m/>
    <m/>
    <m/>
    <m/>
    <m/>
    <m/>
    <m/>
    <m/>
    <m/>
    <m/>
    <m/>
    <m/>
    <m/>
    <m/>
    <m/>
    <m/>
    <m/>
    <m/>
    <m/>
    <m/>
    <m/>
    <m/>
    <m/>
    <m/>
    <m/>
    <n v="1"/>
  </r>
  <r>
    <s v="Active"/>
    <s v="PTT0598"/>
    <s v="Nguyễn Hải Yến"/>
    <x v="0"/>
    <s v="Pro - Packaging"/>
    <s v="Factory"/>
    <m/>
    <m/>
    <m/>
    <m/>
    <m/>
    <s v="Cơm tăng ca"/>
    <m/>
    <m/>
    <m/>
    <m/>
    <m/>
    <m/>
    <m/>
    <m/>
    <m/>
    <m/>
    <m/>
    <m/>
    <m/>
    <m/>
    <m/>
    <m/>
    <m/>
    <m/>
    <m/>
    <m/>
    <m/>
    <m/>
    <m/>
    <m/>
    <m/>
    <m/>
    <n v="1"/>
  </r>
  <r>
    <s v="Active"/>
    <s v="PTT0615"/>
    <s v="Nguyễn Văn Phước"/>
    <x v="0"/>
    <s v="Pro - Packaging"/>
    <s v="Factory"/>
    <m/>
    <m/>
    <m/>
    <m/>
    <m/>
    <s v="Cơm tăng ca"/>
    <m/>
    <m/>
    <m/>
    <m/>
    <m/>
    <m/>
    <m/>
    <m/>
    <m/>
    <m/>
    <m/>
    <m/>
    <m/>
    <m/>
    <m/>
    <m/>
    <m/>
    <m/>
    <m/>
    <m/>
    <m/>
    <m/>
    <m/>
    <m/>
    <m/>
    <m/>
    <n v="1"/>
  </r>
  <r>
    <s v="Active"/>
    <s v="PTT0618"/>
    <s v="Từ Tuấn Tú"/>
    <x v="0"/>
    <s v="Pro - Packaging"/>
    <s v="Factory"/>
    <m/>
    <m/>
    <m/>
    <m/>
    <m/>
    <s v="Cơm tăng ca"/>
    <m/>
    <m/>
    <m/>
    <m/>
    <m/>
    <m/>
    <m/>
    <m/>
    <m/>
    <m/>
    <m/>
    <m/>
    <m/>
    <m/>
    <m/>
    <m/>
    <m/>
    <m/>
    <m/>
    <m/>
    <m/>
    <m/>
    <m/>
    <m/>
    <m/>
    <m/>
    <n v="1"/>
  </r>
  <r>
    <s v="Active"/>
    <s v="PTT0625"/>
    <s v="Nguyễn Thị Hồng Dung"/>
    <x v="0"/>
    <s v="Pro - Packaging"/>
    <s v="Factory"/>
    <m/>
    <m/>
    <m/>
    <m/>
    <m/>
    <s v="Cơm tăng ca"/>
    <m/>
    <m/>
    <m/>
    <m/>
    <m/>
    <m/>
    <m/>
    <m/>
    <m/>
    <m/>
    <m/>
    <m/>
    <m/>
    <m/>
    <m/>
    <m/>
    <m/>
    <m/>
    <m/>
    <m/>
    <m/>
    <m/>
    <m/>
    <m/>
    <m/>
    <m/>
    <n v="1"/>
  </r>
  <r>
    <s v="Active"/>
    <s v="PTT0633"/>
    <s v="Lý Văn Luôl"/>
    <x v="0"/>
    <s v="Pro - Packaging"/>
    <s v="Factory"/>
    <m/>
    <m/>
    <m/>
    <m/>
    <m/>
    <s v="Cơm tăng ca"/>
    <m/>
    <m/>
    <m/>
    <m/>
    <m/>
    <m/>
    <m/>
    <m/>
    <m/>
    <m/>
    <m/>
    <m/>
    <m/>
    <m/>
    <m/>
    <m/>
    <m/>
    <m/>
    <m/>
    <m/>
    <m/>
    <m/>
    <m/>
    <m/>
    <m/>
    <m/>
    <n v="1"/>
  </r>
  <r>
    <s v="Active"/>
    <s v="PTT0634"/>
    <s v="Khưu Thị Cẩm Lai"/>
    <x v="0"/>
    <s v="Pro - Packaging"/>
    <s v="Factory"/>
    <m/>
    <m/>
    <m/>
    <m/>
    <m/>
    <s v="Cơm tăng ca"/>
    <m/>
    <m/>
    <m/>
    <m/>
    <m/>
    <m/>
    <m/>
    <m/>
    <m/>
    <m/>
    <m/>
    <m/>
    <m/>
    <m/>
    <m/>
    <m/>
    <m/>
    <m/>
    <m/>
    <m/>
    <m/>
    <m/>
    <m/>
    <m/>
    <m/>
    <m/>
    <n v="1"/>
  </r>
  <r>
    <s v="Active"/>
    <s v="VCV0795"/>
    <s v="Trần Thị Quỳnh Như"/>
    <x v="0"/>
    <s v="Pro - Packaging"/>
    <s v="Factory"/>
    <m/>
    <m/>
    <m/>
    <m/>
    <m/>
    <s v="Cơm tăng ca"/>
    <m/>
    <m/>
    <m/>
    <m/>
    <s v="Cơm tăng ca"/>
    <m/>
    <m/>
    <m/>
    <m/>
    <s v="Cơm tăng ca"/>
    <s v="Cơm tăng ca"/>
    <m/>
    <s v="Cơm tăng ca"/>
    <s v="Cơm tăng ca"/>
    <m/>
    <m/>
    <s v="Cơm tăng ca"/>
    <m/>
    <m/>
    <m/>
    <m/>
    <m/>
    <m/>
    <m/>
    <s v="Cơm tăng ca"/>
    <s v="Cơm tăng ca"/>
    <n v="9"/>
  </r>
  <r>
    <s v="Active"/>
    <s v="PTT0639"/>
    <s v="Võ Thị Kim Chung"/>
    <x v="0"/>
    <s v="Pro - Packaging"/>
    <s v="Factory"/>
    <m/>
    <m/>
    <m/>
    <m/>
    <m/>
    <s v="Cơm tăng ca"/>
    <m/>
    <m/>
    <m/>
    <m/>
    <m/>
    <m/>
    <m/>
    <m/>
    <m/>
    <m/>
    <m/>
    <m/>
    <m/>
    <m/>
    <m/>
    <m/>
    <m/>
    <m/>
    <m/>
    <m/>
    <m/>
    <m/>
    <m/>
    <m/>
    <m/>
    <m/>
    <n v="1"/>
  </r>
  <r>
    <s v="Active"/>
    <s v="VCV0018"/>
    <s v="Vương Nhựt Lân"/>
    <x v="3"/>
    <s v="Pro - Weld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m/>
    <m/>
    <m/>
    <m/>
    <s v="Cơm tăng ca"/>
    <s v="Cơm tăng ca"/>
    <n v="17"/>
  </r>
  <r>
    <s v="Active"/>
    <s v="VCV0025"/>
    <s v="Phạm Thị Ngọc Diễm"/>
    <x v="4"/>
    <s v="Production"/>
    <s v="Factory"/>
    <m/>
    <m/>
    <m/>
    <m/>
    <m/>
    <m/>
    <m/>
    <m/>
    <m/>
    <s v="Cơm tăng ca"/>
    <m/>
    <m/>
    <m/>
    <m/>
    <m/>
    <m/>
    <m/>
    <s v="Cơm tăng ca"/>
    <s v="Cơm tăng ca"/>
    <s v="Cơm tăng ca"/>
    <m/>
    <m/>
    <m/>
    <m/>
    <m/>
    <s v="Cơm tăng ca"/>
    <s v="Cơm tăng ca"/>
    <m/>
    <m/>
    <m/>
    <m/>
    <m/>
    <n v="6"/>
  </r>
  <r>
    <s v="Active"/>
    <s v="VCV0028"/>
    <s v="Bùi Long Phi"/>
    <x v="5"/>
    <s v="Pro - Polishing"/>
    <s v="Factory"/>
    <m/>
    <m/>
    <m/>
    <m/>
    <m/>
    <m/>
    <m/>
    <m/>
    <m/>
    <s v="Cơm tăng ca"/>
    <m/>
    <s v="Cơm tăng ca"/>
    <s v="Cơm tăng ca"/>
    <m/>
    <m/>
    <s v="Cơm tăng ca"/>
    <m/>
    <m/>
    <m/>
    <m/>
    <m/>
    <m/>
    <s v="Cơm ca 2"/>
    <s v="Cơm ca 2"/>
    <s v="Cơm ca 2"/>
    <s v="Cơm tăng ca"/>
    <s v="Cơm tăng ca"/>
    <s v="Cơm ca 2"/>
    <m/>
    <s v="Cơm ca 2"/>
    <s v="Cơm ca 2"/>
    <s v="Cơm tăng ca"/>
    <n v="13"/>
  </r>
  <r>
    <s v="Active"/>
    <s v="VCV0029"/>
    <s v="Đoàn Thị Chút"/>
    <x v="0"/>
    <s v="Pro - Packaging"/>
    <s v="Factory"/>
    <m/>
    <m/>
    <m/>
    <m/>
    <m/>
    <s v="Cơm tăng ca"/>
    <m/>
    <m/>
    <s v="Cơm tăng ca"/>
    <s v="Cơm tăng ca"/>
    <s v="Cơm tăng ca"/>
    <m/>
    <s v="Cơm tăng ca"/>
    <m/>
    <m/>
    <s v="Cơm tăng ca"/>
    <s v="Cơm tăng ca"/>
    <s v="Cơm tăng ca"/>
    <s v="Cơm tăng ca"/>
    <s v="Cơm tăng ca"/>
    <m/>
    <m/>
    <s v="Cơm tăng ca"/>
    <s v="Cơm tăng ca"/>
    <s v="Cơm tăng ca"/>
    <s v="Cơm tăng ca"/>
    <s v="Cơm tăng ca"/>
    <m/>
    <m/>
    <s v="Cơm tăng ca"/>
    <s v="Cơm tăng ca"/>
    <s v="Cơm tăng ca"/>
    <n v="18"/>
  </r>
  <r>
    <s v="Active"/>
    <s v="VCV0030"/>
    <s v="Thị Thủy"/>
    <x v="1"/>
    <s v="Pro - Aging"/>
    <s v="Factory"/>
    <m/>
    <m/>
    <m/>
    <m/>
    <m/>
    <m/>
    <m/>
    <m/>
    <m/>
    <m/>
    <m/>
    <m/>
    <m/>
    <m/>
    <m/>
    <m/>
    <s v="Cơm tăng ca"/>
    <m/>
    <s v="Cơm tăng ca"/>
    <m/>
    <m/>
    <m/>
    <s v="Cơm tăng ca"/>
    <s v="Cơm tăng ca"/>
    <s v="Cơm tăng ca"/>
    <s v="Cơm tăng ca"/>
    <m/>
    <m/>
    <m/>
    <s v="Cơm tăng ca"/>
    <s v="Cơm tăng ca"/>
    <m/>
    <n v="8"/>
  </r>
  <r>
    <s v="Active"/>
    <s v="VCV0031"/>
    <s v="Thòng Cooc Làn"/>
    <x v="1"/>
    <s v="Pro - Aging"/>
    <s v="Factory"/>
    <m/>
    <m/>
    <m/>
    <m/>
    <m/>
    <m/>
    <m/>
    <m/>
    <m/>
    <m/>
    <m/>
    <m/>
    <m/>
    <m/>
    <m/>
    <m/>
    <s v="Cơm tăng ca"/>
    <m/>
    <s v="Cơm tăng ca"/>
    <m/>
    <m/>
    <m/>
    <m/>
    <s v="Cơm tăng ca"/>
    <s v="Cơm tăng ca"/>
    <s v="Cơm tăng ca"/>
    <m/>
    <m/>
    <m/>
    <s v="Cơm tăng ca"/>
    <s v="Cơm tăng ca"/>
    <m/>
    <n v="7"/>
  </r>
  <r>
    <s v="Active"/>
    <s v="VCV0032"/>
    <s v="Nguyễn Thị Ngọc Trâm"/>
    <x v="1"/>
    <s v="Pro - Aging"/>
    <s v="Factory"/>
    <m/>
    <m/>
    <m/>
    <m/>
    <m/>
    <m/>
    <m/>
    <m/>
    <m/>
    <s v="Cơm tăng ca"/>
    <m/>
    <m/>
    <m/>
    <m/>
    <m/>
    <m/>
    <s v="Cơm tăng ca"/>
    <s v="Cơm tăng ca"/>
    <s v="Cơm tăng ca"/>
    <m/>
    <m/>
    <m/>
    <s v="Cơm tăng ca"/>
    <s v="Cơm tăng ca"/>
    <s v="Cơm tăng ca"/>
    <s v="Cơm tăng ca"/>
    <m/>
    <m/>
    <m/>
    <s v="Cơm tăng ca"/>
    <s v="Cơm tăng ca"/>
    <m/>
    <n v="10"/>
  </r>
  <r>
    <s v="Active"/>
    <s v="VCV0035"/>
    <s v="Hoàng Thanh Hoa"/>
    <x v="6"/>
    <s v="Pro - Fabrication"/>
    <s v="Factory"/>
    <m/>
    <m/>
    <m/>
    <m/>
    <m/>
    <m/>
    <m/>
    <m/>
    <s v="Cơm tăng ca"/>
    <s v="Cơm tăng ca"/>
    <s v="Cơm tăng ca"/>
    <m/>
    <s v="Cơm tăng ca"/>
    <m/>
    <m/>
    <m/>
    <s v="Cơm tăng ca"/>
    <m/>
    <s v="Cơm tăng ca"/>
    <s v="Cơm tăng ca"/>
    <m/>
    <m/>
    <m/>
    <s v="Cơm tăng ca"/>
    <s v="Cơm tăng ca"/>
    <s v="Cơm tăng ca"/>
    <m/>
    <m/>
    <m/>
    <s v="Cơm tăng ca"/>
    <m/>
    <s v="Cơm tăng ca"/>
    <n v="12"/>
  </r>
  <r>
    <s v="Active"/>
    <s v="VCV0036"/>
    <s v="Bùi Hồng Giang"/>
    <x v="1"/>
    <s v="Pro - Aging"/>
    <s v="Factory"/>
    <m/>
    <m/>
    <m/>
    <m/>
    <m/>
    <m/>
    <m/>
    <m/>
    <m/>
    <m/>
    <m/>
    <m/>
    <m/>
    <m/>
    <m/>
    <m/>
    <s v="Cơm tăng ca"/>
    <s v="Cơm tăng ca"/>
    <s v="Cơm tăng ca"/>
    <m/>
    <m/>
    <m/>
    <s v="Cơm tăng ca"/>
    <s v="Cơm tăng ca"/>
    <s v="Cơm tăng ca"/>
    <s v="Cơm tăng ca"/>
    <m/>
    <m/>
    <m/>
    <s v="Cơm tăng ca"/>
    <s v="Cơm tăng ca"/>
    <m/>
    <n v="9"/>
  </r>
  <r>
    <s v="Active"/>
    <s v="VCV0037"/>
    <s v="Hồ Thị Quỳnh Thoa"/>
    <x v="1"/>
    <s v="Pro - Aging"/>
    <s v="Factory"/>
    <m/>
    <m/>
    <m/>
    <m/>
    <m/>
    <m/>
    <m/>
    <m/>
    <m/>
    <m/>
    <m/>
    <m/>
    <m/>
    <m/>
    <m/>
    <m/>
    <s v="Cơm tăng ca"/>
    <s v="Cơm tăng ca"/>
    <s v="Cơm tăng ca"/>
    <m/>
    <m/>
    <m/>
    <s v="Cơm tăng ca"/>
    <s v="Cơm tăng ca"/>
    <s v="Cơm tăng ca"/>
    <s v="Cơm tăng ca"/>
    <m/>
    <m/>
    <m/>
    <s v="Cơm tăng ca"/>
    <s v="Cơm tăng ca"/>
    <m/>
    <n v="9"/>
  </r>
  <r>
    <s v="Active"/>
    <s v="VCV0061"/>
    <s v="Trần Minh Công"/>
    <x v="7"/>
    <s v="Pro - CNC"/>
    <s v="Factory"/>
    <m/>
    <m/>
    <s v="Cơm tăng ca"/>
    <m/>
    <m/>
    <s v="Cơm tăng ca"/>
    <s v="Cơm tăng ca"/>
    <m/>
    <s v="Cơm tăng ca"/>
    <s v="Cơm tăng ca"/>
    <s v="Cơm tăng ca"/>
    <m/>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2"/>
  </r>
  <r>
    <s v="Active"/>
    <s v="VCV0063 "/>
    <s v="Trần Cường"/>
    <x v="8"/>
    <s v="PMC - Quality"/>
    <s v="Factory"/>
    <m/>
    <m/>
    <m/>
    <m/>
    <m/>
    <s v="Cơm tăng ca"/>
    <m/>
    <m/>
    <s v="Cơm tăng ca"/>
    <m/>
    <m/>
    <m/>
    <m/>
    <s v="Cơm tăng ca"/>
    <m/>
    <s v="Cơm tăng ca"/>
    <m/>
    <s v="Cơm tăng ca"/>
    <m/>
    <s v="Cơm tăng ca"/>
    <m/>
    <m/>
    <s v="Cơm tăng ca"/>
    <m/>
    <s v="Cơm tăng ca"/>
    <m/>
    <s v="Cơm tăng ca"/>
    <m/>
    <m/>
    <s v="Cơm tăng ca"/>
    <m/>
    <s v="Cơm tăng ca"/>
    <n v="11"/>
  </r>
  <r>
    <s v="Active"/>
    <s v="VCV0065"/>
    <s v="Nguyễn Hoàng Vũ"/>
    <x v="9"/>
    <s v="Pro - Manual Lathe"/>
    <s v="Factory"/>
    <m/>
    <m/>
    <m/>
    <m/>
    <m/>
    <s v="Cơm tăng ca"/>
    <m/>
    <m/>
    <s v="Cơm tăng ca"/>
    <s v="Cơm tăng ca"/>
    <s v="Cơm tăng ca"/>
    <s v="Cơm tăng ca"/>
    <m/>
    <m/>
    <m/>
    <s v="Cơm tăng ca"/>
    <s v="Cơm tăng ca"/>
    <s v="Cơm tăng ca"/>
    <s v="Cơm tăng ca"/>
    <s v="Cơm tăng ca"/>
    <m/>
    <m/>
    <m/>
    <s v="Cơm tăng ca"/>
    <s v="Cơm tăng ca"/>
    <s v="Cơm tăng ca"/>
    <m/>
    <m/>
    <m/>
    <s v="Cơm tăng ca"/>
    <s v="Cơm tăng ca"/>
    <s v="Cơm tăng ca"/>
    <n v="16"/>
  </r>
  <r>
    <s v="Active"/>
    <s v="VCV0069"/>
    <s v="Đinh Thị Ngọc Thùy"/>
    <x v="2"/>
    <s v="Pro - Painting"/>
    <s v="Factory"/>
    <m/>
    <m/>
    <m/>
    <m/>
    <m/>
    <s v="Cơm tăng ca"/>
    <m/>
    <m/>
    <s v="Cơm tăng ca"/>
    <m/>
    <m/>
    <m/>
    <m/>
    <m/>
    <m/>
    <m/>
    <m/>
    <m/>
    <s v="Cơm tăng ca"/>
    <s v="Cơm tăng ca"/>
    <m/>
    <m/>
    <s v="Cơm tăng ca"/>
    <s v="Cơm tăng ca"/>
    <s v="Cơm tăng ca"/>
    <s v="Cơm tăng ca"/>
    <m/>
    <m/>
    <m/>
    <s v="Cơm tăng ca"/>
    <s v="Cơm tăng ca"/>
    <m/>
    <n v="10"/>
  </r>
  <r>
    <s v="Active"/>
    <s v="VCV0072"/>
    <s v="Trương Thị Hóa"/>
    <x v="1"/>
    <s v="Pro - Aging"/>
    <s v="Factory"/>
    <m/>
    <m/>
    <m/>
    <m/>
    <m/>
    <m/>
    <m/>
    <m/>
    <m/>
    <m/>
    <m/>
    <m/>
    <m/>
    <m/>
    <m/>
    <m/>
    <s v="Cơm tăng ca"/>
    <s v="Cơm tăng ca"/>
    <s v="Cơm tăng ca"/>
    <m/>
    <m/>
    <m/>
    <s v="Cơm tăng ca"/>
    <s v="Cơm tăng ca"/>
    <s v="Cơm tăng ca"/>
    <s v="Cơm tăng ca"/>
    <m/>
    <m/>
    <m/>
    <s v="Cơm tăng ca"/>
    <s v="Cơm tăng ca"/>
    <m/>
    <n v="9"/>
  </r>
  <r>
    <s v="Active"/>
    <s v="VCV0073"/>
    <s v="Nguyễn Thành Dư"/>
    <x v="2"/>
    <s v="Pro - Painting"/>
    <s v="Factory"/>
    <m/>
    <m/>
    <m/>
    <m/>
    <m/>
    <s v="Cơm tăng ca"/>
    <m/>
    <m/>
    <m/>
    <m/>
    <m/>
    <m/>
    <m/>
    <m/>
    <m/>
    <m/>
    <m/>
    <m/>
    <m/>
    <m/>
    <m/>
    <m/>
    <s v="Cơm tăng ca"/>
    <s v="Cơm tăng ca"/>
    <m/>
    <s v="Cơm tăng ca"/>
    <m/>
    <m/>
    <m/>
    <s v="Cơm tăng ca"/>
    <s v="Cơm tăng ca"/>
    <m/>
    <n v="6"/>
  </r>
  <r>
    <s v="Active"/>
    <s v="VCV0091"/>
    <s v="Vòng Quyền Chi"/>
    <x v="5"/>
    <s v="Pro - Polishing"/>
    <s v="Factory"/>
    <m/>
    <m/>
    <m/>
    <m/>
    <m/>
    <m/>
    <m/>
    <m/>
    <m/>
    <s v="Cơm tăng ca"/>
    <m/>
    <m/>
    <s v="Cơm tăng ca"/>
    <m/>
    <m/>
    <s v="Cơm tăng ca"/>
    <m/>
    <s v="Cơm tăng ca"/>
    <s v="Cơm ca 2"/>
    <m/>
    <m/>
    <m/>
    <s v="Cơm ca 2"/>
    <s v="Cơm ca 2"/>
    <s v="Cơm ca 2"/>
    <s v="Cơm tăng ca"/>
    <s v="Cơm tăng ca"/>
    <s v="Cơm ca 2"/>
    <m/>
    <s v="Cơm ca 2"/>
    <s v="Cơm ca 2"/>
    <s v="Cơm tăng ca"/>
    <n v="14"/>
  </r>
  <r>
    <s v="Active"/>
    <s v="VCV0095"/>
    <s v="Siu Dôi"/>
    <x v="6"/>
    <s v="Pro - Fabrication"/>
    <s v="Factory"/>
    <m/>
    <m/>
    <m/>
    <m/>
    <m/>
    <s v="Cơm tăng ca"/>
    <m/>
    <m/>
    <m/>
    <s v="Cơm tăng ca"/>
    <s v="Cơm tăng ca"/>
    <s v="Cơm tăng ca"/>
    <s v="Cơm tăng ca"/>
    <m/>
    <m/>
    <s v="Cơm tăng ca"/>
    <s v="Cơm tăng ca"/>
    <s v="Cơm tăng ca"/>
    <m/>
    <s v="Cơm tăng ca"/>
    <m/>
    <m/>
    <s v="Cơm tăng ca"/>
    <s v="Cơm tăng ca"/>
    <s v="Cơm tăng ca"/>
    <s v="Cơm tăng ca"/>
    <m/>
    <m/>
    <m/>
    <s v="Cơm tăng ca"/>
    <s v="Cơm tăng ca"/>
    <s v="Cơm tăng ca"/>
    <n v="16"/>
  </r>
  <r>
    <s v="Active"/>
    <s v="VCV0099"/>
    <s v="Lê Thị Kim Hoàng"/>
    <x v="1"/>
    <s v="Pro - Aging"/>
    <s v="Factory"/>
    <m/>
    <m/>
    <m/>
    <m/>
    <m/>
    <m/>
    <m/>
    <m/>
    <m/>
    <m/>
    <m/>
    <m/>
    <m/>
    <m/>
    <m/>
    <m/>
    <s v="Cơm tăng ca"/>
    <s v="Cơm tăng ca"/>
    <s v="Cơm tăng ca"/>
    <m/>
    <m/>
    <m/>
    <s v="Cơm tăng ca"/>
    <s v="Cơm tăng ca"/>
    <s v="Cơm tăng ca"/>
    <s v="Cơm tăng ca"/>
    <m/>
    <m/>
    <m/>
    <s v="Cơm tăng ca"/>
    <s v="Cơm tăng ca"/>
    <m/>
    <n v="9"/>
  </r>
  <r>
    <s v="Active"/>
    <s v="VCV0103"/>
    <s v="Lê Thị Hải"/>
    <x v="2"/>
    <s v="Pro - Painting"/>
    <s v="Factory"/>
    <m/>
    <m/>
    <m/>
    <m/>
    <m/>
    <s v="Cơm tăng ca"/>
    <m/>
    <m/>
    <s v="Cơm tăng ca"/>
    <m/>
    <m/>
    <m/>
    <m/>
    <m/>
    <m/>
    <m/>
    <m/>
    <m/>
    <s v="Cơm tăng ca"/>
    <s v="Cơm tăng ca"/>
    <m/>
    <m/>
    <s v="Cơm tăng ca"/>
    <s v="Cơm tăng ca"/>
    <s v="Cơm tăng ca"/>
    <s v="Cơm tăng ca"/>
    <m/>
    <m/>
    <m/>
    <s v="Cơm tăng ca"/>
    <s v="Cơm tăng ca"/>
    <m/>
    <n v="10"/>
  </r>
  <r>
    <s v="Active"/>
    <s v="VCV0109"/>
    <s v="Nguyễn Thị Vân"/>
    <x v="1"/>
    <s v="Pro - Aging"/>
    <s v="Factory"/>
    <m/>
    <m/>
    <m/>
    <m/>
    <m/>
    <m/>
    <m/>
    <m/>
    <m/>
    <m/>
    <m/>
    <m/>
    <m/>
    <m/>
    <m/>
    <m/>
    <s v="Cơm tăng ca"/>
    <s v="Cơm tăng ca"/>
    <s v="Cơm tăng ca"/>
    <m/>
    <m/>
    <m/>
    <s v="Cơm tăng ca"/>
    <s v="Cơm tăng ca"/>
    <s v="Cơm tăng ca"/>
    <s v="Cơm tăng ca"/>
    <m/>
    <m/>
    <m/>
    <s v="Cơm tăng ca"/>
    <s v="Cơm tăng ca"/>
    <m/>
    <n v="9"/>
  </r>
  <r>
    <s v="Active"/>
    <s v="VCV0111"/>
    <s v="Phạm Thị Xuân Liễu"/>
    <x v="2"/>
    <s v="Pro - Painting"/>
    <s v="Factory"/>
    <m/>
    <m/>
    <m/>
    <m/>
    <m/>
    <m/>
    <m/>
    <m/>
    <s v="Cơm tăng ca"/>
    <m/>
    <m/>
    <m/>
    <m/>
    <m/>
    <m/>
    <m/>
    <m/>
    <m/>
    <s v="Cơm tăng ca"/>
    <s v="Cơm tăng ca"/>
    <m/>
    <m/>
    <s v="Cơm tăng ca"/>
    <s v="Cơm tăng ca"/>
    <s v="Cơm tăng ca"/>
    <s v="Cơm tăng ca"/>
    <m/>
    <m/>
    <m/>
    <s v="Cơm tăng ca"/>
    <s v="Cơm tăng ca"/>
    <m/>
    <n v="9"/>
  </r>
  <r>
    <s v="Active"/>
    <s v="VCV0113"/>
    <s v="Trần Văn Luyện"/>
    <x v="10"/>
    <s v="Pro - Auto Polishing"/>
    <s v="Factory"/>
    <m/>
    <m/>
    <m/>
    <m/>
    <m/>
    <s v="Cơm tăng ca"/>
    <m/>
    <m/>
    <m/>
    <s v="Cơm tăng ca"/>
    <s v="Cơm tăng ca"/>
    <s v="Cơm tăng ca"/>
    <s v="Cơm tăng ca"/>
    <m/>
    <m/>
    <m/>
    <s v="Cơm tăng ca"/>
    <s v="Cơm tăng ca"/>
    <m/>
    <m/>
    <s v="Cơm tăng ca"/>
    <m/>
    <m/>
    <s v="Cơm tăng ca"/>
    <s v="Cơm tăng ca"/>
    <s v="Cơm tăng ca"/>
    <m/>
    <m/>
    <m/>
    <m/>
    <s v="Cơm tăng ca"/>
    <s v="Cơm tăng ca"/>
    <n v="13"/>
  </r>
  <r>
    <s v="Active"/>
    <s v="VCV0116"/>
    <s v="Nguyễn Văn Giang"/>
    <x v="8"/>
    <s v="PMC - Quality"/>
    <s v="Factory"/>
    <m/>
    <m/>
    <m/>
    <m/>
    <m/>
    <m/>
    <m/>
    <m/>
    <m/>
    <s v="Cơm tăng ca"/>
    <s v="Cơm tăng ca"/>
    <s v="Cơm tăng ca"/>
    <m/>
    <m/>
    <m/>
    <s v="Cơm tăng ca"/>
    <s v="Cơm tăng ca"/>
    <s v="Cơm tăng ca"/>
    <s v="Cơm tăng ca"/>
    <s v="Cơm tăng ca"/>
    <m/>
    <m/>
    <s v="Cơm tăng ca"/>
    <s v="Cơm tăng ca"/>
    <s v="Cơm tăng ca"/>
    <s v="Cơm tăng ca"/>
    <s v="Cơm tăng ca"/>
    <s v="Cơm tăng ca"/>
    <m/>
    <s v="Cơm tăng ca"/>
    <s v="Cơm tăng ca"/>
    <s v="Cơm tăng ca"/>
    <n v="17"/>
  </r>
  <r>
    <s v="Active"/>
    <s v="VCV0119"/>
    <s v="Rah Lan H in"/>
    <x v="1"/>
    <s v="Pro - Aging"/>
    <s v="Factory"/>
    <m/>
    <m/>
    <m/>
    <m/>
    <m/>
    <m/>
    <m/>
    <m/>
    <m/>
    <m/>
    <m/>
    <m/>
    <m/>
    <m/>
    <m/>
    <m/>
    <s v="Cơm tăng ca"/>
    <s v="Cơm tăng ca"/>
    <s v="Cơm tăng ca"/>
    <m/>
    <m/>
    <m/>
    <s v="Cơm tăng ca"/>
    <s v="Cơm tăng ca"/>
    <s v="Cơm tăng ca"/>
    <s v="Cơm tăng ca"/>
    <m/>
    <m/>
    <m/>
    <s v="Cơm tăng ca"/>
    <s v="Cơm tăng ca"/>
    <m/>
    <n v="9"/>
  </r>
  <r>
    <s v="Active"/>
    <s v="VCV0121"/>
    <s v="Trần Thị Thủy"/>
    <x v="1"/>
    <s v="Pro - Aging"/>
    <s v="Factory"/>
    <m/>
    <m/>
    <m/>
    <m/>
    <m/>
    <m/>
    <m/>
    <m/>
    <m/>
    <m/>
    <m/>
    <m/>
    <m/>
    <m/>
    <m/>
    <m/>
    <s v="Cơm tăng ca"/>
    <s v="Cơm tăng ca"/>
    <s v="Cơm tăng ca"/>
    <m/>
    <m/>
    <m/>
    <s v="Cơm tăng ca"/>
    <s v="Cơm tăng ca"/>
    <m/>
    <s v="Cơm tăng ca"/>
    <m/>
    <m/>
    <m/>
    <s v="Cơm tăng ca"/>
    <s v="Cơm tăng ca"/>
    <m/>
    <n v="8"/>
  </r>
  <r>
    <s v="Active"/>
    <s v="VCV0123"/>
    <s v="Bùi Văn Tâm"/>
    <x v="1"/>
    <s v="Pro - Aging"/>
    <s v="Factory"/>
    <m/>
    <m/>
    <m/>
    <m/>
    <m/>
    <m/>
    <m/>
    <m/>
    <m/>
    <m/>
    <m/>
    <m/>
    <m/>
    <m/>
    <m/>
    <m/>
    <s v="Cơm tăng ca"/>
    <s v="Cơm tăng ca"/>
    <s v="Cơm tăng ca"/>
    <m/>
    <m/>
    <m/>
    <s v="Cơm tăng ca"/>
    <s v="Cơm tăng ca"/>
    <s v="Cơm tăng ca"/>
    <s v="Cơm tăng ca"/>
    <m/>
    <m/>
    <m/>
    <s v="Cơm tăng ca"/>
    <s v="Cơm tăng ca"/>
    <m/>
    <n v="9"/>
  </r>
  <r>
    <s v="Active"/>
    <s v="VCV0124"/>
    <s v="Nguyễn Thị Kim Thanh"/>
    <x v="1"/>
    <s v="Pro - Aging"/>
    <s v="Factory"/>
    <m/>
    <m/>
    <m/>
    <m/>
    <m/>
    <m/>
    <m/>
    <m/>
    <m/>
    <m/>
    <m/>
    <m/>
    <m/>
    <m/>
    <m/>
    <m/>
    <s v="Cơm tăng ca"/>
    <s v="Cơm tăng ca"/>
    <s v="Cơm tăng ca"/>
    <m/>
    <m/>
    <m/>
    <s v="Cơm tăng ca"/>
    <s v="Cơm tăng ca"/>
    <s v="Cơm tăng ca"/>
    <s v="Cơm tăng ca"/>
    <m/>
    <m/>
    <m/>
    <s v="Cơm tăng ca"/>
    <s v="Cơm tăng ca"/>
    <m/>
    <n v="9"/>
  </r>
  <r>
    <s v="Active"/>
    <s v="VCV0128"/>
    <s v="Đoàn Gia Hào"/>
    <x v="11"/>
    <s v="Pro - Data"/>
    <s v="Factory"/>
    <m/>
    <m/>
    <m/>
    <m/>
    <m/>
    <m/>
    <m/>
    <m/>
    <m/>
    <m/>
    <m/>
    <m/>
    <m/>
    <m/>
    <m/>
    <m/>
    <s v="Cơm tăng ca"/>
    <s v="Cơm tăng ca"/>
    <s v="Cơm tăng ca"/>
    <m/>
    <m/>
    <m/>
    <s v="Cơm tăng ca"/>
    <s v="Cơm tăng ca"/>
    <s v="Cơm tăng ca"/>
    <s v="Cơm tăng ca"/>
    <m/>
    <m/>
    <m/>
    <s v="Cơm tăng ca"/>
    <s v="Cơm tăng ca"/>
    <m/>
    <n v="9"/>
  </r>
  <r>
    <s v="Active"/>
    <s v="VCV0132"/>
    <s v="Võ Thị Kim Thủy"/>
    <x v="1"/>
    <s v="Pro - Aging"/>
    <s v="Factory"/>
    <m/>
    <m/>
    <m/>
    <m/>
    <m/>
    <m/>
    <m/>
    <m/>
    <m/>
    <m/>
    <m/>
    <m/>
    <m/>
    <m/>
    <m/>
    <m/>
    <s v="Cơm tăng ca"/>
    <s v="Cơm tăng ca"/>
    <s v="Cơm tăng ca"/>
    <m/>
    <m/>
    <m/>
    <s v="Cơm tăng ca"/>
    <s v="Cơm tăng ca"/>
    <s v="Cơm tăng ca"/>
    <s v="Cơm tăng ca"/>
    <m/>
    <m/>
    <m/>
    <s v="Cơm tăng ca"/>
    <s v="Cơm tăng ca"/>
    <m/>
    <n v="9"/>
  </r>
  <r>
    <s v="Active"/>
    <s v="VCV0133"/>
    <s v="Ngô Thị Kim Thao"/>
    <x v="1"/>
    <s v="Pro - Aging"/>
    <s v="Factory"/>
    <m/>
    <m/>
    <m/>
    <m/>
    <m/>
    <m/>
    <m/>
    <m/>
    <m/>
    <m/>
    <m/>
    <m/>
    <m/>
    <m/>
    <m/>
    <m/>
    <m/>
    <m/>
    <s v="Cơm tăng ca"/>
    <m/>
    <m/>
    <m/>
    <s v="Cơm tăng ca"/>
    <s v="Cơm tăng ca"/>
    <s v="Cơm tăng ca"/>
    <s v="Cơm tăng ca"/>
    <m/>
    <m/>
    <m/>
    <s v="Cơm tăng ca"/>
    <s v="Cơm tăng ca"/>
    <m/>
    <n v="7"/>
  </r>
  <r>
    <s v="Active"/>
    <s v="VCV0134"/>
    <s v="Đặng Thị Nhân"/>
    <x v="1"/>
    <s v="Pro - Aging"/>
    <s v="Factory"/>
    <m/>
    <m/>
    <m/>
    <m/>
    <m/>
    <m/>
    <m/>
    <m/>
    <m/>
    <m/>
    <m/>
    <m/>
    <m/>
    <m/>
    <m/>
    <m/>
    <s v="Cơm tăng ca"/>
    <s v="Cơm tăng ca"/>
    <s v="Cơm tăng ca"/>
    <m/>
    <m/>
    <m/>
    <s v="Cơm tăng ca"/>
    <s v="Cơm tăng ca"/>
    <s v="Cơm tăng ca"/>
    <s v="Cơm tăng ca"/>
    <m/>
    <m/>
    <m/>
    <s v="Cơm tăng ca"/>
    <s v="Cơm tăng ca"/>
    <m/>
    <n v="9"/>
  </r>
  <r>
    <s v="Active"/>
    <s v="VCV0138"/>
    <s v="Lê Thị Lệ Quyên"/>
    <x v="1"/>
    <s v="Pro - Aging"/>
    <s v="Factory"/>
    <m/>
    <m/>
    <m/>
    <m/>
    <m/>
    <m/>
    <m/>
    <m/>
    <m/>
    <m/>
    <m/>
    <m/>
    <m/>
    <m/>
    <m/>
    <m/>
    <s v="Cơm tăng ca"/>
    <s v="Cơm tăng ca"/>
    <s v="Cơm tăng ca"/>
    <m/>
    <m/>
    <m/>
    <s v="Cơm tăng ca"/>
    <m/>
    <m/>
    <s v="Cơm tăng ca"/>
    <m/>
    <m/>
    <m/>
    <s v="Cơm tăng ca"/>
    <s v="Cơm tăng ca"/>
    <m/>
    <n v="7"/>
  </r>
  <r>
    <s v="Active"/>
    <s v="VCV0141"/>
    <s v="Nguyễn Thị Hiền"/>
    <x v="1"/>
    <s v="Pro - Aging"/>
    <s v="Factory"/>
    <m/>
    <m/>
    <m/>
    <m/>
    <m/>
    <m/>
    <m/>
    <m/>
    <m/>
    <m/>
    <m/>
    <m/>
    <m/>
    <m/>
    <m/>
    <m/>
    <m/>
    <s v="Cơm tăng ca"/>
    <s v="Cơm tăng ca"/>
    <m/>
    <m/>
    <m/>
    <s v="Cơm tăng ca"/>
    <s v="Cơm tăng ca"/>
    <s v="Cơm tăng ca"/>
    <s v="Cơm tăng ca"/>
    <m/>
    <m/>
    <m/>
    <s v="Cơm tăng ca"/>
    <s v="Cơm tăng ca"/>
    <m/>
    <n v="8"/>
  </r>
  <r>
    <s v="Active"/>
    <s v="VCV0143"/>
    <s v="Phan Thị Lục"/>
    <x v="2"/>
    <s v="Pro - Painting"/>
    <s v="Factory"/>
    <m/>
    <m/>
    <m/>
    <m/>
    <m/>
    <s v="Cơm tăng ca"/>
    <m/>
    <m/>
    <s v="Cơm tăng ca"/>
    <m/>
    <m/>
    <m/>
    <m/>
    <m/>
    <m/>
    <m/>
    <m/>
    <m/>
    <s v="Cơm tăng ca"/>
    <s v="Cơm tăng ca"/>
    <m/>
    <m/>
    <s v="Cơm tăng ca"/>
    <s v="Cơm tăng ca"/>
    <s v="Cơm tăng ca"/>
    <s v="Cơm tăng ca"/>
    <m/>
    <m/>
    <m/>
    <s v="Cơm tăng ca"/>
    <s v="Cơm tăng ca"/>
    <m/>
    <n v="10"/>
  </r>
  <r>
    <s v="Active"/>
    <s v="VCV0145"/>
    <s v="Lâm Thị Ra"/>
    <x v="0"/>
    <s v="Pro - Packaging"/>
    <s v="Factory"/>
    <m/>
    <m/>
    <m/>
    <m/>
    <m/>
    <s v="Cơm tăng ca"/>
    <m/>
    <m/>
    <s v="Cơm tăng ca"/>
    <s v="Cơm tăng ca"/>
    <s v="Cơm tăng ca"/>
    <m/>
    <m/>
    <m/>
    <m/>
    <s v="Cơm tăng ca"/>
    <s v="Cơm tăng ca"/>
    <s v="Cơm tăng ca"/>
    <s v="Cơm tăng ca"/>
    <s v="Cơm tăng ca"/>
    <m/>
    <m/>
    <s v="Cơm tăng ca"/>
    <s v="Cơm tăng ca"/>
    <m/>
    <s v="Cơm tăng ca"/>
    <s v="Cơm tăng ca"/>
    <m/>
    <m/>
    <s v="Cơm tăng ca"/>
    <s v="Cơm tăng ca"/>
    <m/>
    <n v="15"/>
  </r>
  <r>
    <s v="Active"/>
    <s v="VCV0148"/>
    <s v="Thái Thị Mến"/>
    <x v="1"/>
    <s v="Pro - Aging"/>
    <s v="Factory"/>
    <m/>
    <m/>
    <m/>
    <m/>
    <m/>
    <m/>
    <m/>
    <m/>
    <m/>
    <m/>
    <m/>
    <m/>
    <m/>
    <m/>
    <m/>
    <m/>
    <s v="Cơm tăng ca"/>
    <s v="Cơm tăng ca"/>
    <s v="Cơm tăng ca"/>
    <m/>
    <m/>
    <m/>
    <s v="Cơm tăng ca"/>
    <s v="Cơm tăng ca"/>
    <s v="Cơm tăng ca"/>
    <s v="Cơm tăng ca"/>
    <m/>
    <m/>
    <m/>
    <s v="Cơm tăng ca"/>
    <s v="Cơm tăng ca"/>
    <m/>
    <n v="9"/>
  </r>
  <r>
    <s v="Active"/>
    <s v="VCV0149"/>
    <s v="Phạm Văn Khoai"/>
    <x v="5"/>
    <s v="Pro - Polishing"/>
    <s v="Factory"/>
    <m/>
    <m/>
    <m/>
    <m/>
    <m/>
    <m/>
    <m/>
    <m/>
    <m/>
    <m/>
    <m/>
    <m/>
    <m/>
    <m/>
    <m/>
    <m/>
    <m/>
    <s v="Cơm tăng ca"/>
    <s v="Cơm tăng ca"/>
    <s v="Cơm tăng ca"/>
    <m/>
    <m/>
    <s v="Cơm ca 2"/>
    <s v="Cơm ca 2"/>
    <s v="Cơm ca 2"/>
    <s v="Cơm tăng ca"/>
    <s v="Cơm tăng ca"/>
    <s v="Cơm ca 2"/>
    <m/>
    <s v="Cơm ca 2"/>
    <s v="Cơm ca 2"/>
    <s v="Cơm tăng ca"/>
    <n v="12"/>
  </r>
  <r>
    <s v="Active"/>
    <s v="VCV0156"/>
    <s v="Nguyễn Thị Ngọc Giàu"/>
    <x v="1"/>
    <s v="Pro - Aging"/>
    <s v="Factory"/>
    <m/>
    <m/>
    <m/>
    <m/>
    <m/>
    <m/>
    <m/>
    <m/>
    <m/>
    <m/>
    <m/>
    <m/>
    <m/>
    <m/>
    <m/>
    <m/>
    <s v="Cơm tăng ca"/>
    <s v="Cơm tăng ca"/>
    <s v="Cơm tăng ca"/>
    <m/>
    <m/>
    <m/>
    <s v="Cơm tăng ca"/>
    <s v="Cơm tăng ca"/>
    <s v="Cơm tăng ca"/>
    <s v="Cơm tăng ca"/>
    <m/>
    <m/>
    <m/>
    <s v="Cơm tăng ca"/>
    <s v="Cơm tăng ca"/>
    <m/>
    <n v="9"/>
  </r>
  <r>
    <s v="Active"/>
    <s v="VCV0157"/>
    <s v="Lê Thị Thu Hà"/>
    <x v="1"/>
    <s v="Pro - Aging"/>
    <s v="Factory"/>
    <m/>
    <m/>
    <m/>
    <m/>
    <m/>
    <m/>
    <m/>
    <m/>
    <m/>
    <m/>
    <m/>
    <m/>
    <m/>
    <m/>
    <m/>
    <m/>
    <s v="Cơm tăng ca"/>
    <s v="Cơm tăng ca"/>
    <s v="Cơm tăng ca"/>
    <m/>
    <m/>
    <m/>
    <s v="Cơm tăng ca"/>
    <s v="Cơm tăng ca"/>
    <s v="Cơm tăng ca"/>
    <s v="Cơm tăng ca"/>
    <m/>
    <m/>
    <m/>
    <s v="Cơm tăng ca"/>
    <s v="Cơm tăng ca"/>
    <m/>
    <n v="9"/>
  </r>
  <r>
    <s v="Active"/>
    <s v="VCV0159"/>
    <s v="Đinh Thị Giáng Xuân"/>
    <x v="1"/>
    <s v="Pro - Aging"/>
    <s v="Factory"/>
    <m/>
    <m/>
    <m/>
    <m/>
    <m/>
    <m/>
    <m/>
    <m/>
    <m/>
    <m/>
    <m/>
    <m/>
    <m/>
    <m/>
    <m/>
    <m/>
    <s v="Cơm tăng ca"/>
    <s v="Cơm tăng ca"/>
    <s v="Cơm tăng ca"/>
    <m/>
    <m/>
    <m/>
    <m/>
    <s v="Cơm tăng ca"/>
    <s v="Cơm tăng ca"/>
    <s v="Cơm tăng ca"/>
    <m/>
    <m/>
    <m/>
    <s v="Cơm tăng ca"/>
    <s v="Cơm tăng ca"/>
    <m/>
    <n v="8"/>
  </r>
  <r>
    <s v="Active"/>
    <s v="VCV0160"/>
    <s v="Trần Cỏng Dếnh"/>
    <x v="1"/>
    <s v="Pro - Aging"/>
    <s v="Factory"/>
    <m/>
    <m/>
    <m/>
    <m/>
    <m/>
    <m/>
    <m/>
    <m/>
    <m/>
    <m/>
    <m/>
    <m/>
    <m/>
    <m/>
    <m/>
    <m/>
    <s v="Cơm tăng ca"/>
    <s v="Cơm tăng ca"/>
    <s v="Cơm tăng ca"/>
    <m/>
    <m/>
    <m/>
    <m/>
    <s v="Cơm tăng ca"/>
    <s v="Cơm tăng ca"/>
    <s v="Cơm tăng ca"/>
    <m/>
    <m/>
    <m/>
    <s v="Cơm tăng ca"/>
    <s v="Cơm tăng ca"/>
    <m/>
    <n v="8"/>
  </r>
  <r>
    <s v="Active"/>
    <s v="VCV0163"/>
    <s v="Đinh Văn Thiết"/>
    <x v="3"/>
    <s v="Pro - Welding"/>
    <s v="Factory"/>
    <m/>
    <m/>
    <m/>
    <m/>
    <m/>
    <m/>
    <m/>
    <m/>
    <m/>
    <s v="Cơm ca 2"/>
    <s v="Cơm ca 2"/>
    <s v="Cơm ca 2"/>
    <s v="Cơm ca 2"/>
    <s v="Cơm Ca 2"/>
    <m/>
    <m/>
    <s v="Cơm ca 2"/>
    <s v="Cơm ca 2"/>
    <s v="Cơm ca 2"/>
    <m/>
    <m/>
    <m/>
    <m/>
    <s v="Cơm tăng ca"/>
    <m/>
    <m/>
    <m/>
    <m/>
    <m/>
    <m/>
    <m/>
    <m/>
    <n v="9"/>
  </r>
  <r>
    <s v="Active"/>
    <s v="VCV0165"/>
    <s v="Nguyễn Trường Chính"/>
    <x v="6"/>
    <s v="Pro - Fabrication"/>
    <s v="Factory"/>
    <m/>
    <m/>
    <m/>
    <m/>
    <m/>
    <s v="Cơm tăng ca"/>
    <m/>
    <m/>
    <s v="Cơm tăng ca"/>
    <s v="Cơm tăng ca"/>
    <s v="Cơm tăng ca"/>
    <s v="Cơm tăng ca"/>
    <s v="Cơm tăng ca"/>
    <m/>
    <m/>
    <s v="Cơm tăng ca"/>
    <s v="Cơm tăng ca"/>
    <s v="Cơm tăng ca"/>
    <s v="Cơm tăng ca"/>
    <s v="Cơm tăng ca"/>
    <m/>
    <m/>
    <m/>
    <s v="Cơm tăng ca"/>
    <s v="Cơm tăng ca"/>
    <s v="Cơm tăng ca"/>
    <m/>
    <m/>
    <m/>
    <m/>
    <s v="Cơm tăng ca"/>
    <s v="Cơm tăng ca"/>
    <n v="16"/>
  </r>
  <r>
    <s v="Active"/>
    <s v="VCV0166"/>
    <s v="Trương Thị Đào"/>
    <x v="6"/>
    <s v="Pro - Fabrication"/>
    <s v="Factory"/>
    <m/>
    <m/>
    <m/>
    <m/>
    <m/>
    <s v="Cơm tăng ca"/>
    <m/>
    <m/>
    <s v="Cơm tăng ca"/>
    <s v="Cơm tăng ca"/>
    <s v="Cơm tăng ca"/>
    <s v="Cơm tăng ca"/>
    <m/>
    <m/>
    <m/>
    <s v="Cơm tăng ca"/>
    <s v="Cơm tăng ca"/>
    <s v="Cơm tăng ca"/>
    <m/>
    <m/>
    <m/>
    <m/>
    <s v="Cơm tăng ca"/>
    <s v="Cơm tăng ca"/>
    <s v="Cơm tăng ca"/>
    <m/>
    <m/>
    <m/>
    <m/>
    <m/>
    <s v="Cơm tăng ca"/>
    <s v="Cơm tăng ca"/>
    <n v="13"/>
  </r>
  <r>
    <s v="Active"/>
    <s v="VCV0169"/>
    <s v="Hà Thị Hồng"/>
    <x v="2"/>
    <s v="Pro - Painting"/>
    <s v="Factory"/>
    <m/>
    <m/>
    <m/>
    <m/>
    <m/>
    <s v="Cơm tăng ca"/>
    <m/>
    <m/>
    <s v="Cơm tăng ca"/>
    <m/>
    <m/>
    <m/>
    <m/>
    <m/>
    <m/>
    <m/>
    <m/>
    <m/>
    <m/>
    <s v="Cơm tăng ca"/>
    <m/>
    <m/>
    <s v="Cơm tăng ca"/>
    <s v="Cơm tăng ca"/>
    <s v="Cơm tăng ca"/>
    <s v="Cơm tăng ca"/>
    <m/>
    <m/>
    <m/>
    <s v="Cơm tăng ca"/>
    <s v="Cơm tăng ca"/>
    <m/>
    <n v="9"/>
  </r>
  <r>
    <s v="Active"/>
    <s v="VCV0171"/>
    <s v="Bùi Thị Thanh Liễu"/>
    <x v="1"/>
    <s v="Pro - Aging"/>
    <s v="Factory"/>
    <m/>
    <m/>
    <m/>
    <m/>
    <m/>
    <m/>
    <m/>
    <m/>
    <m/>
    <m/>
    <m/>
    <m/>
    <m/>
    <m/>
    <m/>
    <m/>
    <m/>
    <s v="Cơm tăng ca"/>
    <s v="Cơm tăng ca"/>
    <m/>
    <m/>
    <m/>
    <s v="Cơm tăng ca"/>
    <s v="Cơm tăng ca"/>
    <m/>
    <s v="Cơm tăng ca"/>
    <m/>
    <m/>
    <m/>
    <s v="Cơm tăng ca"/>
    <m/>
    <m/>
    <n v="6"/>
  </r>
  <r>
    <s v="Active"/>
    <s v="VCV0172"/>
    <s v="Phạm Thị Ngọc Hà"/>
    <x v="1"/>
    <s v="Pro - Aging"/>
    <s v="Factory"/>
    <m/>
    <m/>
    <m/>
    <m/>
    <m/>
    <m/>
    <m/>
    <m/>
    <m/>
    <m/>
    <m/>
    <m/>
    <m/>
    <m/>
    <m/>
    <m/>
    <s v="Cơm tăng ca"/>
    <s v="Cơm tăng ca"/>
    <s v="Cơm tăng ca"/>
    <m/>
    <m/>
    <m/>
    <m/>
    <s v="Cơm tăng ca"/>
    <s v="Cơm tăng ca"/>
    <s v="Cơm tăng ca"/>
    <m/>
    <m/>
    <m/>
    <s v="Cơm tăng ca"/>
    <s v="Cơm tăng ca"/>
    <m/>
    <n v="8"/>
  </r>
  <r>
    <s v="Active"/>
    <s v="VCV0178"/>
    <s v="Nguyễn Hoàng Văn"/>
    <x v="5"/>
    <s v="Pro - Polishing"/>
    <s v="Factory"/>
    <m/>
    <m/>
    <m/>
    <m/>
    <m/>
    <m/>
    <m/>
    <m/>
    <m/>
    <s v="Cơm ca 2"/>
    <s v="Cơm ca 2"/>
    <s v="Cơm ca 2"/>
    <s v="Cơm ca 2"/>
    <s v="Cơm Ca 2"/>
    <m/>
    <m/>
    <s v="Cơm ca 2"/>
    <m/>
    <s v="Cơm ca 2"/>
    <m/>
    <m/>
    <m/>
    <s v="Cơm tăng ca"/>
    <s v="Cơm tăng ca"/>
    <s v="Cơm tăng ca"/>
    <m/>
    <s v="Cơm tăng ca"/>
    <m/>
    <m/>
    <m/>
    <s v="Cơm tăng ca"/>
    <s v="Cơm tăng ca"/>
    <n v="13"/>
  </r>
  <r>
    <s v="Active"/>
    <s v="VCV0181"/>
    <s v="Dương Thành Sang"/>
    <x v="6"/>
    <s v="Pro - Fabrication"/>
    <s v="Factory"/>
    <m/>
    <m/>
    <m/>
    <m/>
    <m/>
    <s v="Cơm tăng ca"/>
    <m/>
    <m/>
    <m/>
    <s v="Cơm tăng ca"/>
    <m/>
    <s v="Cơm tăng ca"/>
    <m/>
    <m/>
    <m/>
    <s v="Cơm tăng ca"/>
    <m/>
    <s v="Cơm tăng ca"/>
    <m/>
    <m/>
    <m/>
    <m/>
    <s v="Cơm tăng ca"/>
    <m/>
    <m/>
    <m/>
    <m/>
    <m/>
    <m/>
    <m/>
    <s v="Cơm tăng ca"/>
    <m/>
    <n v="7"/>
  </r>
  <r>
    <s v="Active"/>
    <s v="VCV0183"/>
    <s v="Phạm Văn Giang"/>
    <x v="6"/>
    <s v="Pro - Fabrication"/>
    <s v="Factory"/>
    <m/>
    <m/>
    <m/>
    <m/>
    <m/>
    <s v="Cơm tăng ca"/>
    <m/>
    <m/>
    <m/>
    <m/>
    <m/>
    <m/>
    <m/>
    <m/>
    <m/>
    <m/>
    <m/>
    <s v="Cơm tăng ca"/>
    <m/>
    <m/>
    <m/>
    <m/>
    <s v="Cơm tăng ca"/>
    <m/>
    <m/>
    <s v="Cơm tăng ca"/>
    <m/>
    <m/>
    <m/>
    <s v="Cơm tăng ca"/>
    <s v="Cơm tăng ca"/>
    <s v="Cơm tăng ca"/>
    <n v="7"/>
  </r>
  <r>
    <s v="Active"/>
    <s v="VCV0193"/>
    <s v="Triệu Minh Tiền"/>
    <x v="1"/>
    <s v="Pro - Aging"/>
    <s v="Factory"/>
    <m/>
    <m/>
    <m/>
    <m/>
    <m/>
    <m/>
    <m/>
    <m/>
    <m/>
    <m/>
    <m/>
    <m/>
    <m/>
    <m/>
    <m/>
    <m/>
    <s v="Cơm tăng ca"/>
    <s v="Cơm tăng ca"/>
    <s v="Cơm tăng ca"/>
    <m/>
    <m/>
    <m/>
    <m/>
    <s v="Cơm tăng ca"/>
    <s v="Cơm tăng ca"/>
    <s v="Cơm tăng ca"/>
    <m/>
    <m/>
    <m/>
    <s v="Cơm tăng ca"/>
    <s v="Cơm tăng ca"/>
    <m/>
    <n v="8"/>
  </r>
  <r>
    <s v="Active"/>
    <s v="VCV0194"/>
    <s v="Triệu Minh Tài"/>
    <x v="0"/>
    <s v="Pro - Packaging"/>
    <s v="Factory"/>
    <m/>
    <m/>
    <m/>
    <m/>
    <m/>
    <s v="Cơm tăng ca"/>
    <m/>
    <m/>
    <s v="Cơm tăng ca"/>
    <s v="Cơm tăng ca"/>
    <s v="Cơm tăng ca"/>
    <s v="Cơm tăng ca"/>
    <s v="Cơm tăng ca"/>
    <m/>
    <m/>
    <s v="Cơm tăng ca"/>
    <s v="Cơm tăng ca"/>
    <m/>
    <s v="Cơm tăng ca"/>
    <s v="Cơm tăng ca"/>
    <m/>
    <m/>
    <m/>
    <s v="Cơm tăng ca"/>
    <s v="Cơm tăng ca"/>
    <s v="Cơm tăng ca"/>
    <s v="Cơm tăng ca"/>
    <m/>
    <m/>
    <s v="Cơm tăng ca"/>
    <s v="Cơm tăng ca"/>
    <s v="Cơm tăng ca"/>
    <n v="17"/>
  </r>
  <r>
    <s v="Active"/>
    <s v="VCV0195"/>
    <s v="Trần Thiện Duy"/>
    <x v="0"/>
    <s v="Pro - Packaging"/>
    <s v="Factory"/>
    <m/>
    <m/>
    <m/>
    <m/>
    <m/>
    <s v="Cơm tăng ca"/>
    <m/>
    <m/>
    <s v="Cơm tăng ca"/>
    <s v="Cơm tăng ca"/>
    <s v="Cơm tăng ca"/>
    <s v="Cơm tăng ca"/>
    <s v="Cơm tăng ca"/>
    <m/>
    <m/>
    <m/>
    <s v="Cơm tăng ca"/>
    <s v="Cơm tăng ca"/>
    <s v="Cơm tăng ca"/>
    <s v="Cơm tăng ca"/>
    <m/>
    <m/>
    <s v="Cơm tăng ca"/>
    <s v="Cơm tăng ca"/>
    <s v="Cơm tăng ca"/>
    <s v="Cơm tăng ca"/>
    <s v="Cơm tăng ca"/>
    <m/>
    <m/>
    <s v="Cơm tăng ca"/>
    <s v="Cơm tăng ca"/>
    <s v="Cơm tăng ca"/>
    <n v="18"/>
  </r>
  <r>
    <s v="Active"/>
    <s v="VCV0196"/>
    <s v="Hồ Anh Khương"/>
    <x v="1"/>
    <s v="Pro - Aging"/>
    <s v="Factory"/>
    <m/>
    <m/>
    <m/>
    <m/>
    <m/>
    <m/>
    <m/>
    <m/>
    <m/>
    <m/>
    <m/>
    <m/>
    <m/>
    <m/>
    <m/>
    <m/>
    <s v="Cơm tăng ca"/>
    <s v="Cơm tăng ca"/>
    <s v="Cơm tăng ca"/>
    <m/>
    <m/>
    <m/>
    <s v="Cơm tăng ca"/>
    <s v="Cơm tăng ca"/>
    <s v="Cơm tăng ca"/>
    <s v="Cơm tăng ca"/>
    <m/>
    <m/>
    <m/>
    <s v="Cơm tăng ca"/>
    <s v="Cơm tăng ca"/>
    <m/>
    <n v="9"/>
  </r>
  <r>
    <s v="Active"/>
    <s v="VCV0198"/>
    <s v="Lã Công Trung"/>
    <x v="8"/>
    <s v="PMC - Quality"/>
    <s v="Factory"/>
    <m/>
    <m/>
    <m/>
    <m/>
    <m/>
    <m/>
    <m/>
    <m/>
    <s v="Cơm tăng ca"/>
    <m/>
    <m/>
    <m/>
    <m/>
    <m/>
    <m/>
    <m/>
    <m/>
    <m/>
    <m/>
    <m/>
    <m/>
    <m/>
    <s v="Cơm tăng ca"/>
    <m/>
    <s v="Cơm tăng ca"/>
    <m/>
    <m/>
    <m/>
    <m/>
    <s v="Cơm tăng ca"/>
    <s v="Cơm tăng ca"/>
    <s v="Cơm tăng ca"/>
    <n v="6"/>
  </r>
  <r>
    <s v="Active"/>
    <s v="VCV0201"/>
    <s v="Đào Văn Tuyển"/>
    <x v="7"/>
    <s v="Pro - CNC"/>
    <s v="Factory"/>
    <m/>
    <m/>
    <s v="Cơm tăng ca"/>
    <m/>
    <m/>
    <s v="Cơm tăng ca"/>
    <s v="Cơm tăng ca"/>
    <m/>
    <s v="Cơm tăng ca"/>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3"/>
  </r>
  <r>
    <s v="Active"/>
    <s v="VCV0206"/>
    <s v="Đặng Văn Long"/>
    <x v="12"/>
    <s v="COO Office"/>
    <s v="Factory"/>
    <m/>
    <m/>
    <s v="Cơm tăng ca"/>
    <m/>
    <m/>
    <m/>
    <s v="Cơm tăng ca"/>
    <m/>
    <s v="Cơm tăng ca"/>
    <s v="Cơm tăng ca"/>
    <s v="Cơm tăng ca"/>
    <s v="Cơm tăng ca"/>
    <s v="Cơm tăng ca"/>
    <s v="Cơm tăng ca"/>
    <m/>
    <s v="Cơm ca 2"/>
    <s v="Cơm ca 2"/>
    <s v="Cơm ca 2"/>
    <s v="Cơm ca 2"/>
    <s v="Cơm ca 2"/>
    <s v="Cơm ca 2"/>
    <m/>
    <m/>
    <m/>
    <m/>
    <m/>
    <m/>
    <m/>
    <m/>
    <m/>
    <m/>
    <m/>
    <n v="14"/>
  </r>
  <r>
    <s v="Active"/>
    <s v="VCV0208"/>
    <s v="Phạm Văn Tuân"/>
    <x v="8"/>
    <s v="PMC - Quality"/>
    <s v="Factory"/>
    <m/>
    <m/>
    <m/>
    <m/>
    <m/>
    <m/>
    <m/>
    <m/>
    <m/>
    <s v="Cơm tăng ca"/>
    <m/>
    <m/>
    <m/>
    <m/>
    <m/>
    <m/>
    <s v="Cơm tăng ca"/>
    <m/>
    <s v="Cơm tăng ca"/>
    <m/>
    <m/>
    <m/>
    <m/>
    <m/>
    <m/>
    <m/>
    <m/>
    <m/>
    <m/>
    <m/>
    <m/>
    <m/>
    <n v="3"/>
  </r>
  <r>
    <s v="Active"/>
    <s v="VCV0228"/>
    <s v="Nguyễn Duy Luân"/>
    <x v="7"/>
    <s v="Pro - CNC"/>
    <s v="Factory"/>
    <m/>
    <m/>
    <s v="Cơm tăng ca"/>
    <m/>
    <m/>
    <m/>
    <s v="Cơm tăng ca"/>
    <m/>
    <s v="Cơm tăng ca"/>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2"/>
  </r>
  <r>
    <s v="Active"/>
    <s v="VCV0229"/>
    <s v="Nguyễn Thị Chúc"/>
    <x v="7"/>
    <s v="Pro - CNC"/>
    <s v="Factory"/>
    <m/>
    <m/>
    <s v="Cơm tăng ca"/>
    <m/>
    <m/>
    <s v="Cơm tăng ca"/>
    <s v="Cơm tăng ca"/>
    <m/>
    <s v="Cơm tăng ca"/>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3"/>
  </r>
  <r>
    <s v="Active"/>
    <s v="VCV0230"/>
    <s v="Phạm Quang Khải"/>
    <x v="12"/>
    <s v="COO Office"/>
    <s v="Factory"/>
    <m/>
    <m/>
    <m/>
    <m/>
    <m/>
    <s v="Cơm tăng ca"/>
    <m/>
    <m/>
    <s v="Cơm ca 2"/>
    <s v="Cơm ca 2"/>
    <s v="Cơm ca 2"/>
    <s v="Cơm ca 2"/>
    <s v="Cơm ca 2"/>
    <s v="Cơm Ca 2"/>
    <m/>
    <s v="Cơm tăng ca"/>
    <s v="Cơm tăng ca"/>
    <s v="Cơm tăng ca"/>
    <s v="Cơm tăng ca"/>
    <s v="Cơm tăng ca"/>
    <s v="Cơm tăng ca"/>
    <m/>
    <s v="Cơm tăng ca"/>
    <s v="Cơm tăng ca"/>
    <s v="Cơm tăng ca"/>
    <m/>
    <m/>
    <m/>
    <m/>
    <s v="Cơm ca 2"/>
    <s v="Cơm ca 2"/>
    <s v="Cơm ca 2"/>
    <n v="19"/>
  </r>
  <r>
    <s v="Active"/>
    <s v="VCV0239"/>
    <s v="Trần Văn Nguyên"/>
    <x v="7"/>
    <s v="Pro - CNC"/>
    <s v="Factory"/>
    <m/>
    <m/>
    <s v="Cơm tăng ca"/>
    <m/>
    <m/>
    <s v="Cơm tăng ca"/>
    <s v="Cơm tăng ca"/>
    <m/>
    <s v="Cơm tăng ca"/>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3"/>
  </r>
  <r>
    <s v="Active"/>
    <s v="VCV0244"/>
    <s v="Lý Văn Chống"/>
    <x v="5"/>
    <s v="Pro - Polishing"/>
    <s v="Factory"/>
    <m/>
    <m/>
    <m/>
    <m/>
    <m/>
    <m/>
    <m/>
    <m/>
    <m/>
    <m/>
    <m/>
    <m/>
    <m/>
    <m/>
    <m/>
    <m/>
    <m/>
    <m/>
    <m/>
    <m/>
    <m/>
    <m/>
    <s v="Cơm ca 2"/>
    <s v="Cơm ca 2"/>
    <s v="Cơm ca 2"/>
    <m/>
    <s v="Cơm tăng ca"/>
    <s v="Cơm ca 2"/>
    <m/>
    <s v="Cơm ca 2"/>
    <s v="Cơm ca 2"/>
    <s v="Cơm tăng ca"/>
    <n v="8"/>
  </r>
  <r>
    <s v="Active"/>
    <s v="VCV0258"/>
    <s v="Nguyễn Hoàng Hải"/>
    <x v="5"/>
    <s v="Pro - Polishing"/>
    <s v="Factory"/>
    <m/>
    <m/>
    <m/>
    <m/>
    <m/>
    <m/>
    <m/>
    <m/>
    <m/>
    <s v="Cơm ca 2"/>
    <s v="Cơm ca 2"/>
    <s v="Cơm ca 2"/>
    <s v="Cơm ca 2"/>
    <s v="Cơm Ca 2"/>
    <m/>
    <m/>
    <s v="Cơm ca 2"/>
    <s v="Cơm ca 2"/>
    <s v="Cơm tăng ca"/>
    <s v="Cơm tăng ca"/>
    <m/>
    <m/>
    <m/>
    <s v="Cơm tăng ca"/>
    <m/>
    <m/>
    <s v="Cơm tăng ca"/>
    <m/>
    <m/>
    <m/>
    <m/>
    <s v="Cơm tăng ca"/>
    <n v="12"/>
  </r>
  <r>
    <s v="Active"/>
    <s v="VCV0260"/>
    <s v="Nguyễn Văn Thuần"/>
    <x v="8"/>
    <s v="PMC - Quality"/>
    <s v="Factory"/>
    <m/>
    <m/>
    <m/>
    <m/>
    <m/>
    <s v="Cơm tăng ca"/>
    <m/>
    <m/>
    <m/>
    <s v="Cơm tăng ca"/>
    <m/>
    <m/>
    <m/>
    <m/>
    <m/>
    <s v="Cơm tăng ca"/>
    <m/>
    <s v="Cơm tăng ca"/>
    <s v="Cơm tăng ca"/>
    <s v="Cơm tăng ca"/>
    <m/>
    <m/>
    <m/>
    <s v="Cơm tăng ca"/>
    <s v="Cơm tăng ca"/>
    <s v="Cơm tăng ca"/>
    <m/>
    <m/>
    <m/>
    <m/>
    <m/>
    <s v="Cơm tăng ca"/>
    <n v="10"/>
  </r>
  <r>
    <s v="Active"/>
    <s v="VCV0266"/>
    <s v="Mai Huỳnh Phi Long"/>
    <x v="8"/>
    <s v="PMC - Quality"/>
    <s v="Factory"/>
    <m/>
    <m/>
    <m/>
    <m/>
    <m/>
    <s v="Cơm tăng ca"/>
    <m/>
    <m/>
    <m/>
    <s v="Cơm tăng ca"/>
    <s v="Cơm tăng ca"/>
    <s v="Cơm tăng ca"/>
    <m/>
    <s v="Cơm tăng ca"/>
    <m/>
    <s v="Cơm tăng ca"/>
    <s v="Cơm tăng ca"/>
    <s v="Cơm tăng ca"/>
    <m/>
    <m/>
    <s v="Cơm tăng ca"/>
    <m/>
    <s v="Cơm tăng ca"/>
    <s v="Cơm tăng ca"/>
    <s v="Cơm tăng ca"/>
    <s v="Cơm tăng ca"/>
    <s v="Cơm tăng ca"/>
    <s v="Cơm tăng ca"/>
    <m/>
    <s v="Cơm tăng ca"/>
    <s v="Cơm tăng ca"/>
    <s v="Cơm tăng ca"/>
    <n v="18"/>
  </r>
  <r>
    <s v="Active"/>
    <s v="VCV0268"/>
    <s v="Phạm Quỳnh Minh Quang"/>
    <x v="1"/>
    <s v="Pro - Aging"/>
    <s v="Factory"/>
    <m/>
    <m/>
    <m/>
    <m/>
    <m/>
    <m/>
    <m/>
    <m/>
    <m/>
    <m/>
    <m/>
    <m/>
    <m/>
    <m/>
    <m/>
    <m/>
    <s v="Cơm tăng ca"/>
    <s v="Cơm tăng ca"/>
    <s v="Cơm tăng ca"/>
    <m/>
    <m/>
    <m/>
    <s v="Cơm tăng ca"/>
    <s v="Cơm tăng ca"/>
    <s v="Cơm tăng ca"/>
    <s v="Cơm tăng ca"/>
    <m/>
    <m/>
    <m/>
    <s v="Cơm tăng ca"/>
    <s v="Cơm tăng ca"/>
    <m/>
    <n v="9"/>
  </r>
  <r>
    <s v="Active"/>
    <s v="VCV0279"/>
    <s v="Trần Nhớ"/>
    <x v="5"/>
    <s v="Pro - Polishing"/>
    <s v="Factory"/>
    <m/>
    <m/>
    <m/>
    <m/>
    <m/>
    <m/>
    <m/>
    <m/>
    <m/>
    <s v="Cơm tăng ca"/>
    <m/>
    <s v="Cơm tăng ca"/>
    <s v="Cơm tăng ca"/>
    <m/>
    <m/>
    <s v="Cơm tăng ca"/>
    <m/>
    <m/>
    <m/>
    <m/>
    <m/>
    <m/>
    <s v="Cơm ca 2"/>
    <s v="Cơm ca 2"/>
    <s v="Cơm ca 2"/>
    <s v="Cơm ca 2"/>
    <s v="Cơm tăng ca"/>
    <s v="Cơm ca 2"/>
    <m/>
    <s v="Cơm ca 2"/>
    <s v="Cơm ca 2"/>
    <s v="Cơm tăng ca"/>
    <n v="13"/>
  </r>
  <r>
    <s v="Active"/>
    <s v="VCV0292"/>
    <s v="Đàm Thị Hương"/>
    <x v="1"/>
    <s v="Pro - Aging"/>
    <s v="Factory"/>
    <m/>
    <m/>
    <m/>
    <m/>
    <m/>
    <m/>
    <m/>
    <m/>
    <m/>
    <m/>
    <m/>
    <m/>
    <m/>
    <m/>
    <m/>
    <m/>
    <s v="Cơm tăng ca"/>
    <s v="Cơm tăng ca"/>
    <s v="Cơm tăng ca"/>
    <m/>
    <m/>
    <m/>
    <s v="Cơm tăng ca"/>
    <s v="Cơm tăng ca"/>
    <s v="Cơm tăng ca"/>
    <s v="Cơm tăng ca"/>
    <m/>
    <m/>
    <m/>
    <s v="Cơm tăng ca"/>
    <s v="Cơm tăng ca"/>
    <m/>
    <n v="9"/>
  </r>
  <r>
    <s v="Active"/>
    <s v="VCV0294"/>
    <s v="Nguyễn Duy Phương"/>
    <x v="1"/>
    <s v="Pro - Aging"/>
    <s v="Factory"/>
    <m/>
    <m/>
    <m/>
    <m/>
    <m/>
    <m/>
    <m/>
    <m/>
    <m/>
    <m/>
    <m/>
    <m/>
    <m/>
    <m/>
    <m/>
    <m/>
    <s v="Cơm tăng ca"/>
    <s v="Cơm tăng ca"/>
    <s v="Cơm tăng ca"/>
    <m/>
    <m/>
    <m/>
    <s v="Cơm tăng ca"/>
    <s v="Cơm tăng ca"/>
    <s v="Cơm tăng ca"/>
    <s v="Cơm tăng ca"/>
    <m/>
    <m/>
    <m/>
    <s v="Cơm tăng ca"/>
    <s v="Cơm tăng ca"/>
    <m/>
    <n v="9"/>
  </r>
  <r>
    <s v="Active"/>
    <s v="VCV0297"/>
    <s v="Nguyễn Thị Kim Nga"/>
    <x v="1"/>
    <s v="Pro - Aging"/>
    <s v="Factory"/>
    <m/>
    <m/>
    <m/>
    <m/>
    <m/>
    <m/>
    <m/>
    <m/>
    <m/>
    <m/>
    <m/>
    <m/>
    <m/>
    <m/>
    <m/>
    <m/>
    <s v="Cơm tăng ca"/>
    <s v="Cơm tăng ca"/>
    <s v="Cơm tăng ca"/>
    <m/>
    <m/>
    <m/>
    <s v="Cơm tăng ca"/>
    <s v="Cơm tăng ca"/>
    <s v="Cơm tăng ca"/>
    <s v="Cơm tăng ca"/>
    <m/>
    <m/>
    <m/>
    <s v="Cơm tăng ca"/>
    <s v="Cơm tăng ca"/>
    <m/>
    <n v="9"/>
  </r>
  <r>
    <s v="Active"/>
    <s v="VCV0298"/>
    <s v="Nguyễn Thị Ngọc Trinh"/>
    <x v="1"/>
    <s v="Pro - Aging"/>
    <s v="Factory"/>
    <m/>
    <m/>
    <m/>
    <m/>
    <m/>
    <m/>
    <m/>
    <m/>
    <m/>
    <m/>
    <m/>
    <m/>
    <m/>
    <m/>
    <m/>
    <m/>
    <s v="Cơm tăng ca"/>
    <s v="Cơm tăng ca"/>
    <s v="Cơm tăng ca"/>
    <m/>
    <m/>
    <m/>
    <m/>
    <s v="Cơm tăng ca"/>
    <s v="Cơm tăng ca"/>
    <s v="Cơm tăng ca"/>
    <m/>
    <m/>
    <m/>
    <s v="Cơm tăng ca"/>
    <s v="Cơm tăng ca"/>
    <m/>
    <n v="8"/>
  </r>
  <r>
    <s v="Active"/>
    <s v="VCV0299"/>
    <s v="Ninh Xuân Trường"/>
    <x v="1"/>
    <s v="Pro - Aging"/>
    <s v="Factory"/>
    <m/>
    <m/>
    <m/>
    <m/>
    <m/>
    <m/>
    <m/>
    <m/>
    <m/>
    <m/>
    <m/>
    <m/>
    <m/>
    <m/>
    <m/>
    <m/>
    <s v="Cơm tăng ca"/>
    <s v="Cơm tăng ca"/>
    <s v="Cơm tăng ca"/>
    <m/>
    <m/>
    <m/>
    <s v="Cơm tăng ca"/>
    <s v="Cơm tăng ca"/>
    <s v="Cơm tăng ca"/>
    <s v="Cơm tăng ca"/>
    <m/>
    <m/>
    <m/>
    <s v="Cơm tăng ca"/>
    <s v="Cơm tăng ca"/>
    <m/>
    <n v="9"/>
  </r>
  <r>
    <s v="Active"/>
    <s v="VCV0300"/>
    <s v="Huỳnh Chinh Nhật Minh"/>
    <x v="11"/>
    <s v="Pro - Data"/>
    <s v="Factory"/>
    <m/>
    <m/>
    <m/>
    <m/>
    <m/>
    <s v="Cơm tăng ca"/>
    <m/>
    <m/>
    <m/>
    <s v="Cơm tăng ca"/>
    <s v="Cơm tăng ca"/>
    <s v="Cơm tăng ca"/>
    <m/>
    <m/>
    <m/>
    <m/>
    <m/>
    <m/>
    <m/>
    <m/>
    <m/>
    <m/>
    <m/>
    <s v="Cơm tăng ca"/>
    <s v="Cơm tăng ca"/>
    <s v="Cơm tăng ca"/>
    <m/>
    <m/>
    <m/>
    <s v="Cơm tăng ca"/>
    <m/>
    <s v="Cơm tăng ca"/>
    <n v="9"/>
  </r>
  <r>
    <s v="Active"/>
    <s v="VCV0303"/>
    <s v="Lê Văn Bảo"/>
    <x v="13"/>
    <s v="PMC - WH"/>
    <s v="Factory"/>
    <m/>
    <m/>
    <m/>
    <m/>
    <m/>
    <s v="Cơm tăng ca"/>
    <m/>
    <m/>
    <s v="Cơm tăng ca"/>
    <m/>
    <m/>
    <m/>
    <m/>
    <m/>
    <m/>
    <m/>
    <s v="Cơm tăng ca"/>
    <m/>
    <m/>
    <m/>
    <m/>
    <m/>
    <s v="Cơm tăng ca"/>
    <m/>
    <m/>
    <m/>
    <m/>
    <m/>
    <m/>
    <m/>
    <m/>
    <s v="Cơm tăng ca"/>
    <n v="5"/>
  </r>
  <r>
    <s v="Active"/>
    <s v="VCV0309"/>
    <s v="Lê Hữu Tấn"/>
    <x v="3"/>
    <s v="Pro - Welding"/>
    <s v="Factory"/>
    <m/>
    <m/>
    <m/>
    <m/>
    <m/>
    <s v="Cơm tăng ca"/>
    <m/>
    <m/>
    <s v="Cơm tăng ca"/>
    <s v="Cơm tăng ca"/>
    <s v="Cơm tăng ca"/>
    <s v="Cơm tăng ca"/>
    <s v="Cơm tăng ca"/>
    <m/>
    <m/>
    <s v="Cơm tăng ca"/>
    <s v="Cơm tăng ca"/>
    <s v="Cơm tăng ca"/>
    <s v="Cơm tăng ca"/>
    <s v="Cơm tăng ca"/>
    <m/>
    <m/>
    <m/>
    <m/>
    <s v="Cơm tăng ca"/>
    <s v="Cơm tăng ca"/>
    <m/>
    <m/>
    <m/>
    <m/>
    <s v="Cơm tăng ca"/>
    <s v="Cơm tăng ca"/>
    <n v="15"/>
  </r>
  <r>
    <s v="Active"/>
    <s v="VCV0318"/>
    <s v="Đỗ Thị Hạnh"/>
    <x v="8"/>
    <s v="PMC - Quality"/>
    <s v="Factory"/>
    <m/>
    <m/>
    <m/>
    <m/>
    <m/>
    <s v="Cơm tăng ca"/>
    <m/>
    <m/>
    <s v="Cơm tăng ca"/>
    <m/>
    <s v="Cơm tăng ca"/>
    <m/>
    <m/>
    <m/>
    <m/>
    <s v="Cơm tăng ca"/>
    <s v="Cơm tăng ca"/>
    <s v="Cơm tăng ca"/>
    <m/>
    <s v="Cơm tăng ca"/>
    <m/>
    <m/>
    <m/>
    <s v="Cơm tăng ca"/>
    <s v="Cơm tăng ca"/>
    <m/>
    <s v="Cơm tăng ca"/>
    <m/>
    <m/>
    <s v="Cơm tăng ca"/>
    <s v="Cơm tăng ca"/>
    <s v="Cơm tăng ca"/>
    <n v="13"/>
  </r>
  <r>
    <s v="Active"/>
    <s v="VCV0319"/>
    <s v="Dương Ngọc Sơn"/>
    <x v="13"/>
    <s v="PMC - WH"/>
    <s v="Factory"/>
    <m/>
    <m/>
    <m/>
    <m/>
    <m/>
    <s v="Cơm tăng ca"/>
    <m/>
    <m/>
    <m/>
    <s v="Cơm tăng ca"/>
    <s v="Cơm tăng ca"/>
    <m/>
    <s v="Cơm tăng ca"/>
    <m/>
    <m/>
    <m/>
    <m/>
    <s v="Cơm tăng ca"/>
    <m/>
    <m/>
    <m/>
    <m/>
    <m/>
    <m/>
    <m/>
    <m/>
    <m/>
    <m/>
    <m/>
    <m/>
    <m/>
    <m/>
    <n v="5"/>
  </r>
  <r>
    <s v="Active"/>
    <s v="VCV0320"/>
    <s v="Đỗ Lệ Ngọc"/>
    <x v="13"/>
    <s v="PMC - WH"/>
    <s v="Factory"/>
    <m/>
    <m/>
    <m/>
    <m/>
    <m/>
    <m/>
    <m/>
    <m/>
    <m/>
    <m/>
    <m/>
    <m/>
    <m/>
    <m/>
    <m/>
    <m/>
    <s v="Cơm tăng ca"/>
    <m/>
    <m/>
    <m/>
    <m/>
    <m/>
    <m/>
    <m/>
    <m/>
    <m/>
    <m/>
    <m/>
    <m/>
    <m/>
    <m/>
    <m/>
    <n v="1"/>
  </r>
  <r>
    <s v="Active"/>
    <s v="VCV0321"/>
    <s v="Nguyễn Văn Thi"/>
    <x v="12"/>
    <s v="COO Office"/>
    <s v="Factory"/>
    <m/>
    <m/>
    <s v="Cơm ca 2"/>
    <m/>
    <m/>
    <s v="Cơm ca 2"/>
    <s v="Cơm ca 2"/>
    <m/>
    <s v="Cơm tăng ca"/>
    <s v="Cơm tăng ca"/>
    <s v="Cơm tăng ca"/>
    <m/>
    <m/>
    <m/>
    <m/>
    <s v="Cơm tăng ca"/>
    <m/>
    <s v="Cơm tăng ca"/>
    <s v="Cơm tăng ca"/>
    <m/>
    <m/>
    <m/>
    <s v="Cơm ca 2"/>
    <s v="Cơm ca 2"/>
    <s v="Cơm ca 2"/>
    <s v="Cơm ca 2"/>
    <s v="Cơm ca 2"/>
    <m/>
    <m/>
    <s v="Cơm tăng ca"/>
    <s v="Cơm tăng ca"/>
    <s v="Cơm tăng ca"/>
    <n v="17"/>
  </r>
  <r>
    <s v="Active"/>
    <s v="VCV0322"/>
    <s v="Phạm Thị Thanh Xuân"/>
    <x v="8"/>
    <s v="PMC - Quality"/>
    <s v="Factory"/>
    <m/>
    <m/>
    <m/>
    <m/>
    <m/>
    <m/>
    <m/>
    <m/>
    <m/>
    <m/>
    <m/>
    <m/>
    <m/>
    <m/>
    <m/>
    <m/>
    <m/>
    <s v="Cơm tăng ca"/>
    <s v="Cơm tăng ca"/>
    <m/>
    <m/>
    <m/>
    <s v="Cơm tăng ca"/>
    <m/>
    <s v="Cơm tăng ca"/>
    <s v="Cơm tăng ca"/>
    <m/>
    <m/>
    <m/>
    <s v="Cơm tăng ca"/>
    <m/>
    <m/>
    <n v="6"/>
  </r>
  <r>
    <s v="Active"/>
    <s v="VCV0325"/>
    <s v="Phan Văn Dần"/>
    <x v="3"/>
    <s v="Pro - Welding"/>
    <s v="Factory"/>
    <m/>
    <m/>
    <m/>
    <m/>
    <m/>
    <s v="Cơm tăng ca"/>
    <m/>
    <m/>
    <s v="Cơm tăng ca"/>
    <s v="Cơm tăng ca"/>
    <s v="Cơm tăng ca"/>
    <s v="Cơm tăng ca"/>
    <s v="Cơm tăng ca"/>
    <m/>
    <m/>
    <s v="Cơm tăng ca"/>
    <s v="Cơm tăng ca"/>
    <s v="Cơm tăng ca"/>
    <m/>
    <s v="Cơm tăng ca"/>
    <m/>
    <m/>
    <s v="Cơm tăng ca"/>
    <s v="Cơm tăng ca"/>
    <s v="Cơm tăng ca"/>
    <s v="Cơm tăng ca"/>
    <m/>
    <m/>
    <m/>
    <m/>
    <s v="Cơm tăng ca"/>
    <s v="Cơm tăng ca"/>
    <n v="16"/>
  </r>
  <r>
    <s v="Active"/>
    <s v="VCV0330"/>
    <s v="Nguyễn Phạm Đức Thịnh"/>
    <x v="3"/>
    <s v="Pro - Welding"/>
    <s v="Factory"/>
    <m/>
    <m/>
    <m/>
    <m/>
    <m/>
    <m/>
    <m/>
    <m/>
    <m/>
    <m/>
    <m/>
    <m/>
    <m/>
    <m/>
    <m/>
    <m/>
    <m/>
    <s v="Cơm tăng ca"/>
    <s v="Cơm tăng ca"/>
    <s v="Cơm tăng ca"/>
    <m/>
    <m/>
    <s v="Cơm tăng ca"/>
    <s v="Cơm tăng ca"/>
    <s v="Cơm tăng ca"/>
    <s v="Cơm tăng ca"/>
    <m/>
    <m/>
    <m/>
    <m/>
    <s v="Cơm tăng ca"/>
    <s v="Cơm tăng ca"/>
    <n v="9"/>
  </r>
  <r>
    <s v="Active"/>
    <s v="VCV0343"/>
    <s v="Sú Phóng Cóng"/>
    <x v="2"/>
    <s v="Pro - Painting"/>
    <s v="Factory"/>
    <m/>
    <m/>
    <m/>
    <m/>
    <m/>
    <m/>
    <m/>
    <m/>
    <m/>
    <m/>
    <m/>
    <m/>
    <m/>
    <m/>
    <m/>
    <m/>
    <m/>
    <m/>
    <m/>
    <m/>
    <m/>
    <m/>
    <s v="Cơm tăng ca"/>
    <s v="Cơm tăng ca"/>
    <s v="Cơm tăng ca"/>
    <s v="Cơm tăng ca"/>
    <m/>
    <m/>
    <m/>
    <m/>
    <s v="Cơm tăng ca"/>
    <m/>
    <n v="5"/>
  </r>
  <r>
    <s v="Active"/>
    <s v="VCV0351"/>
    <s v="Nguyễn Văn Duy Mạnh"/>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353"/>
    <s v="Trang Duy Tùng"/>
    <x v="0"/>
    <s v="Pro - Packaging"/>
    <s v="Factory"/>
    <m/>
    <m/>
    <m/>
    <m/>
    <m/>
    <s v="Cơm tăng ca"/>
    <m/>
    <m/>
    <s v="Cơm tăng ca"/>
    <s v="Cơm tăng ca"/>
    <s v="Cơm tăng ca"/>
    <m/>
    <m/>
    <m/>
    <m/>
    <m/>
    <m/>
    <s v="Cơm tăng ca"/>
    <s v="Cơm tăng ca"/>
    <m/>
    <m/>
    <m/>
    <m/>
    <m/>
    <m/>
    <m/>
    <m/>
    <m/>
    <m/>
    <m/>
    <m/>
    <m/>
    <n v="6"/>
  </r>
  <r>
    <s v="Active"/>
    <s v="VCV0354"/>
    <s v="Vòng A Sình"/>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362"/>
    <s v="Lê Văn Tâm"/>
    <x v="5"/>
    <s v="Pro - Polishing"/>
    <s v="Factory"/>
    <m/>
    <m/>
    <m/>
    <m/>
    <m/>
    <m/>
    <m/>
    <m/>
    <m/>
    <m/>
    <m/>
    <m/>
    <m/>
    <m/>
    <m/>
    <m/>
    <m/>
    <s v="Cơm tăng ca"/>
    <s v="Cơm tăng ca"/>
    <s v="Cơm tăng ca"/>
    <m/>
    <m/>
    <s v="Cơm ca 2"/>
    <s v="Cơm ca 2"/>
    <s v="Cơm ca 2"/>
    <s v="Cơm ca 2"/>
    <s v="Cơm tăng ca"/>
    <s v="Cơm ca 2"/>
    <m/>
    <s v="Cơm ca 2"/>
    <s v="Cơm ca 2"/>
    <s v="Cơm tăng ca"/>
    <n v="12"/>
  </r>
  <r>
    <s v="Active"/>
    <s v="VCV0366"/>
    <s v="Phạm Thị Trang"/>
    <x v="14"/>
    <s v="Pro - Gold Applying"/>
    <s v="Factory"/>
    <m/>
    <m/>
    <m/>
    <m/>
    <m/>
    <s v="Cơm tăng ca"/>
    <m/>
    <m/>
    <s v="Cơm tăng ca"/>
    <m/>
    <m/>
    <m/>
    <m/>
    <m/>
    <m/>
    <m/>
    <m/>
    <s v="Cơm tăng ca"/>
    <s v="Cơm tăng ca"/>
    <s v="Cơm tăng ca"/>
    <s v="Cơm tăng ca"/>
    <m/>
    <s v="Cơm tăng ca"/>
    <s v="Cơm tăng ca"/>
    <s v="Cơm tăng ca"/>
    <s v="Cơm tăng ca"/>
    <m/>
    <m/>
    <m/>
    <s v="Cơm tăng ca"/>
    <s v="Cơm tăng ca"/>
    <m/>
    <n v="12"/>
  </r>
  <r>
    <s v="Active"/>
    <s v="VCV0374"/>
    <s v="Lê Thị Hồng"/>
    <x v="0"/>
    <s v="Pro - Packaging"/>
    <s v="Factory"/>
    <m/>
    <m/>
    <m/>
    <m/>
    <m/>
    <s v="Cơm tăng ca"/>
    <m/>
    <m/>
    <m/>
    <s v="Cơm tăng ca"/>
    <s v="Cơm tăng ca"/>
    <m/>
    <s v="Cơm tăng ca"/>
    <m/>
    <m/>
    <s v="Cơm tăng ca"/>
    <m/>
    <m/>
    <s v="Cơm tăng ca"/>
    <s v="Cơm tăng ca"/>
    <m/>
    <m/>
    <s v="Cơm tăng ca"/>
    <s v="Cơm tăng ca"/>
    <s v="Cơm tăng ca"/>
    <s v="Cơm tăng ca"/>
    <s v="Cơm tăng ca"/>
    <m/>
    <m/>
    <s v="Cơm tăng ca"/>
    <m/>
    <m/>
    <n v="13"/>
  </r>
  <r>
    <s v="Active"/>
    <s v="VCV0376"/>
    <s v="Lý Thanh Đông Thức"/>
    <x v="13"/>
    <s v="PMC - WH"/>
    <s v="Factory"/>
    <m/>
    <m/>
    <m/>
    <m/>
    <m/>
    <m/>
    <m/>
    <m/>
    <s v="Cơm tăng ca"/>
    <s v="Cơm tăng ca"/>
    <s v="Cơm tăng ca"/>
    <s v="Cơm tăng ca"/>
    <s v="Cơm tăng ca"/>
    <m/>
    <m/>
    <m/>
    <s v="Cơm tăng ca"/>
    <m/>
    <m/>
    <m/>
    <m/>
    <m/>
    <m/>
    <m/>
    <m/>
    <s v="Cơm tăng ca"/>
    <m/>
    <m/>
    <m/>
    <m/>
    <m/>
    <m/>
    <n v="7"/>
  </r>
  <r>
    <s v="Active"/>
    <s v="VCV0378"/>
    <s v="Lê Thị Phương Linh"/>
    <x v="8"/>
    <s v="PMC - Quality"/>
    <s v="Factory"/>
    <m/>
    <m/>
    <m/>
    <m/>
    <m/>
    <m/>
    <m/>
    <m/>
    <m/>
    <m/>
    <m/>
    <m/>
    <m/>
    <m/>
    <m/>
    <m/>
    <s v="Cơm tăng ca"/>
    <m/>
    <m/>
    <m/>
    <m/>
    <m/>
    <m/>
    <s v="Cơm tăng ca"/>
    <m/>
    <s v="Cơm tăng ca"/>
    <m/>
    <m/>
    <m/>
    <m/>
    <s v="Cơm tăng ca"/>
    <m/>
    <n v="4"/>
  </r>
  <r>
    <s v="Active"/>
    <s v="VCV0395"/>
    <s v="Nguyễn Văn Còn"/>
    <x v="5"/>
    <s v="Pro - Polishing"/>
    <s v="Factory"/>
    <m/>
    <m/>
    <m/>
    <m/>
    <m/>
    <m/>
    <m/>
    <m/>
    <m/>
    <s v="Cơm ca 2"/>
    <s v="Cơm ca 2"/>
    <s v="Cơm ca 2"/>
    <s v="Cơm ca 2"/>
    <s v="Cơm Ca 2"/>
    <m/>
    <m/>
    <s v="Cơm ca 2"/>
    <s v="Cơm ca 2"/>
    <s v="Cơm tăng ca"/>
    <s v="Cơm tăng ca"/>
    <m/>
    <m/>
    <s v="Cơm tăng ca"/>
    <s v="Cơm tăng ca"/>
    <s v="Cơm tăng ca"/>
    <s v="Cơm ca 2"/>
    <s v="Cơm tăng ca"/>
    <m/>
    <m/>
    <s v="Cơm tăng ca"/>
    <s v="Cơm tăng ca"/>
    <s v="Cơm tăng ca"/>
    <n v="17"/>
  </r>
  <r>
    <s v="Active"/>
    <s v="VCV0396"/>
    <s v="Phạm Gia Bảo"/>
    <x v="5"/>
    <s v="Pro - Polishing"/>
    <s v="Factory"/>
    <m/>
    <m/>
    <m/>
    <m/>
    <m/>
    <m/>
    <m/>
    <m/>
    <m/>
    <s v="Cơm ca 2"/>
    <s v="Cơm ca 2"/>
    <s v="Cơm ca 2"/>
    <m/>
    <s v="Cơm Ca 2"/>
    <m/>
    <m/>
    <s v="Cơm ca 2"/>
    <s v="Cơm ca 2"/>
    <s v="Cơm ca 2"/>
    <m/>
    <m/>
    <m/>
    <m/>
    <m/>
    <m/>
    <s v="Cơm ca 2"/>
    <m/>
    <m/>
    <m/>
    <m/>
    <s v="Cơm tăng ca"/>
    <m/>
    <n v="9"/>
  </r>
  <r>
    <s v="Active"/>
    <s v="VCV0397"/>
    <s v="Nguyễn Thị Tuyết"/>
    <x v="0"/>
    <s v="Pro - Packaging"/>
    <s v="Factory"/>
    <m/>
    <m/>
    <m/>
    <m/>
    <m/>
    <s v="Cơm tăng ca"/>
    <m/>
    <m/>
    <s v="Cơm tăng ca"/>
    <m/>
    <s v="Cơm tăng ca"/>
    <m/>
    <s v="Cơm tăng ca"/>
    <m/>
    <m/>
    <s v="Cơm tăng ca"/>
    <s v="Cơm tăng ca"/>
    <s v="Cơm tăng ca"/>
    <s v="Cơm tăng ca"/>
    <s v="Cơm tăng ca"/>
    <m/>
    <m/>
    <m/>
    <s v="Cơm tăng ca"/>
    <s v="Cơm tăng ca"/>
    <s v="Cơm tăng ca"/>
    <s v="Cơm tăng ca"/>
    <m/>
    <m/>
    <s v="Cơm tăng ca"/>
    <s v="Cơm tăng ca"/>
    <s v="Cơm tăng ca"/>
    <n v="16"/>
  </r>
  <r>
    <s v="Active"/>
    <s v="VCV0398"/>
    <s v="Phạm Đức Tuy"/>
    <x v="0"/>
    <s v="Pro - Packaging"/>
    <s v="Factory"/>
    <m/>
    <m/>
    <m/>
    <m/>
    <m/>
    <s v="Cơm tăng ca"/>
    <m/>
    <m/>
    <s v="Cơm tăng ca"/>
    <m/>
    <s v="Cơm tăng ca"/>
    <s v="Cơm tăng ca"/>
    <s v="Cơm tăng ca"/>
    <m/>
    <m/>
    <s v="Cơm tăng ca"/>
    <s v="Cơm tăng ca"/>
    <s v="Cơm tăng ca"/>
    <s v="Cơm tăng ca"/>
    <m/>
    <m/>
    <m/>
    <s v="Cơm tăng ca"/>
    <s v="Cơm tăng ca"/>
    <s v="Cơm tăng ca"/>
    <s v="Cơm tăng ca"/>
    <m/>
    <m/>
    <m/>
    <s v="Cơm tăng ca"/>
    <s v="Cơm tăng ca"/>
    <s v="Cơm tăng ca"/>
    <n v="16"/>
  </r>
  <r>
    <s v="Active"/>
    <s v="VCV0399"/>
    <s v="Đỗ Thị Lộc"/>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400"/>
    <s v="Trần Đình Sơn"/>
    <x v="0"/>
    <s v="Pro - Packaging"/>
    <s v="Factory"/>
    <m/>
    <m/>
    <m/>
    <m/>
    <m/>
    <m/>
    <m/>
    <m/>
    <s v="Cơm tăng ca"/>
    <s v="Cơm tăng ca"/>
    <s v="Cơm tăng ca"/>
    <s v="Cơm tăng ca"/>
    <s v="Cơm tăng ca"/>
    <m/>
    <m/>
    <s v="Cơm tăng ca"/>
    <s v="Cơm tăng ca"/>
    <s v="Cơm tăng ca"/>
    <s v="Cơm tăng ca"/>
    <s v="Cơm tăng ca"/>
    <m/>
    <m/>
    <s v="Cơm tăng ca"/>
    <s v="Cơm tăng ca"/>
    <s v="Cơm tăng ca"/>
    <s v="Cơm tăng ca"/>
    <m/>
    <m/>
    <m/>
    <m/>
    <m/>
    <s v="Cơm tăng ca"/>
    <n v="15"/>
  </r>
  <r>
    <s v="Active"/>
    <s v="VCV0401"/>
    <s v="Lê Gia Bảo"/>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m/>
    <s v="Cơm tăng ca"/>
    <m/>
    <m/>
    <s v="Cơm tăng ca"/>
    <s v="Cơm tăng ca"/>
    <s v="Cơm tăng ca"/>
    <n v="18"/>
  </r>
  <r>
    <s v="Active"/>
    <s v="VCV0402"/>
    <s v="Nguyễn Văn Tuấn"/>
    <x v="5"/>
    <s v="Pro - Polishing"/>
    <s v="Factory"/>
    <m/>
    <m/>
    <m/>
    <m/>
    <m/>
    <m/>
    <m/>
    <m/>
    <m/>
    <m/>
    <m/>
    <m/>
    <m/>
    <m/>
    <m/>
    <m/>
    <m/>
    <m/>
    <m/>
    <m/>
    <m/>
    <m/>
    <s v="Cơm ca 2"/>
    <s v="Cơm ca 2"/>
    <s v="Cơm ca 2"/>
    <s v="Cơm ca 2"/>
    <m/>
    <s v="Cơm ca 2"/>
    <m/>
    <s v="Cơm ca 2"/>
    <s v="Cơm ca 2"/>
    <s v="Cơm tăng ca"/>
    <n v="8"/>
  </r>
  <r>
    <s v="Active"/>
    <s v="VCV0405"/>
    <s v="Hoàng Thị Kim Loan"/>
    <x v="0"/>
    <s v="Pro - Packaging"/>
    <s v="Factory"/>
    <m/>
    <m/>
    <m/>
    <m/>
    <m/>
    <s v="Cơm tăng ca"/>
    <m/>
    <m/>
    <s v="Cơm tăng ca"/>
    <m/>
    <m/>
    <m/>
    <m/>
    <m/>
    <m/>
    <m/>
    <m/>
    <m/>
    <s v="Cơm tăng ca"/>
    <m/>
    <m/>
    <m/>
    <m/>
    <m/>
    <m/>
    <s v="Cơm tăng ca"/>
    <m/>
    <m/>
    <m/>
    <m/>
    <m/>
    <m/>
    <n v="4"/>
  </r>
  <r>
    <s v="Active"/>
    <s v="VCV0406"/>
    <s v="Nguyễn Lê Phương Dung"/>
    <x v="0"/>
    <s v="Pro - Packaging"/>
    <s v="Factory"/>
    <m/>
    <m/>
    <m/>
    <m/>
    <m/>
    <s v="Cơm tăng ca"/>
    <m/>
    <m/>
    <s v="Cơm tăng ca"/>
    <s v="Cơm tăng ca"/>
    <s v="Cơm tăng ca"/>
    <s v="Cơm tăng ca"/>
    <m/>
    <m/>
    <m/>
    <s v="Cơm tăng ca"/>
    <s v="Cơm tăng ca"/>
    <s v="Cơm tăng ca"/>
    <s v="Cơm tăng ca"/>
    <s v="Cơm tăng ca"/>
    <m/>
    <m/>
    <s v="Cơm tăng ca"/>
    <s v="Cơm tăng ca"/>
    <s v="Cơm tăng ca"/>
    <s v="Cơm tăng ca"/>
    <s v="Cơm tăng ca"/>
    <m/>
    <m/>
    <s v="Cơm tăng ca"/>
    <s v="Cơm tăng ca"/>
    <s v="Cơm tăng ca"/>
    <n v="18"/>
  </r>
  <r>
    <s v="Active"/>
    <s v="VCV0408"/>
    <s v="Trịnh Hải Nam"/>
    <x v="8"/>
    <s v="PMC - Quality"/>
    <s v="Factory"/>
    <m/>
    <m/>
    <m/>
    <m/>
    <m/>
    <m/>
    <s v="Cơm tăng ca"/>
    <m/>
    <m/>
    <s v="Cơm tăng ca"/>
    <s v="Cơm tăng ca"/>
    <s v="Cơm tăng ca"/>
    <m/>
    <m/>
    <m/>
    <m/>
    <s v="Cơm tăng ca"/>
    <m/>
    <m/>
    <m/>
    <s v="Cơm tăng ca"/>
    <m/>
    <m/>
    <s v="Cơm tăng ca"/>
    <m/>
    <s v="Cơm tăng ca"/>
    <m/>
    <s v="Cơm tăng ca"/>
    <m/>
    <m/>
    <s v="Cơm tăng ca"/>
    <m/>
    <n v="10"/>
  </r>
  <r>
    <s v="Active"/>
    <s v="VCV0409"/>
    <s v="Nguyễn Minh Đức"/>
    <x v="7"/>
    <s v="Pro - CNC"/>
    <s v="Factory"/>
    <m/>
    <m/>
    <s v="Cơm tăng ca"/>
    <m/>
    <m/>
    <s v="Cơm tăng ca"/>
    <s v="Cơm tăng ca"/>
    <m/>
    <s v="Cơm tăng ca"/>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3"/>
  </r>
  <r>
    <s v="Active"/>
    <s v="VCV0414"/>
    <s v="Nông Thị Thu Trang"/>
    <x v="8"/>
    <s v="PMC - Quality"/>
    <s v="Factory"/>
    <m/>
    <m/>
    <m/>
    <m/>
    <m/>
    <m/>
    <m/>
    <m/>
    <m/>
    <m/>
    <m/>
    <m/>
    <m/>
    <m/>
    <m/>
    <m/>
    <m/>
    <s v="Cơm tăng ca"/>
    <m/>
    <m/>
    <m/>
    <m/>
    <m/>
    <m/>
    <m/>
    <m/>
    <m/>
    <m/>
    <m/>
    <m/>
    <m/>
    <m/>
    <n v="1"/>
  </r>
  <r>
    <s v="Active"/>
    <s v="VCV0423"/>
    <s v="Đinh Nguyễn Thảo Trinh"/>
    <x v="13"/>
    <s v="PMC - WH"/>
    <s v="Factory"/>
    <m/>
    <m/>
    <m/>
    <m/>
    <m/>
    <s v="Cơm tăng ca"/>
    <m/>
    <m/>
    <m/>
    <m/>
    <m/>
    <m/>
    <m/>
    <m/>
    <m/>
    <m/>
    <m/>
    <m/>
    <m/>
    <m/>
    <m/>
    <m/>
    <m/>
    <s v="Cơm tăng ca"/>
    <m/>
    <m/>
    <m/>
    <m/>
    <m/>
    <m/>
    <m/>
    <m/>
    <n v="2"/>
  </r>
  <r>
    <s v="Active"/>
    <s v="VCV0427"/>
    <s v="Nguyễn Anh Tuấn"/>
    <x v="13"/>
    <s v="PMC - WH"/>
    <s v="Factory"/>
    <m/>
    <m/>
    <m/>
    <m/>
    <m/>
    <m/>
    <m/>
    <m/>
    <m/>
    <m/>
    <s v="Cơm tăng ca"/>
    <s v="Cơm tăng ca"/>
    <s v="Cơm tăng ca"/>
    <m/>
    <m/>
    <m/>
    <s v="Cơm tăng ca"/>
    <s v="Cơm tăng ca"/>
    <m/>
    <m/>
    <m/>
    <m/>
    <m/>
    <s v="Cơm tăng ca"/>
    <m/>
    <m/>
    <m/>
    <m/>
    <m/>
    <s v="Cơm tăng ca"/>
    <m/>
    <s v="Cơm tăng ca"/>
    <n v="8"/>
  </r>
  <r>
    <s v="Active"/>
    <s v="VCV0428"/>
    <s v="Nguyễn Đình Bảo"/>
    <x v="13"/>
    <s v="PMC - WH"/>
    <s v="Factory"/>
    <m/>
    <m/>
    <m/>
    <m/>
    <m/>
    <s v="Cơm tăng ca"/>
    <m/>
    <m/>
    <s v="Cơm tăng ca"/>
    <m/>
    <s v="Cơm tăng ca"/>
    <s v="Cơm tăng ca"/>
    <s v="Cơm tăng ca"/>
    <m/>
    <m/>
    <m/>
    <s v="Cơm tăng ca"/>
    <s v="Cơm tăng ca"/>
    <m/>
    <m/>
    <m/>
    <m/>
    <m/>
    <m/>
    <m/>
    <m/>
    <m/>
    <m/>
    <m/>
    <s v="Cơm tăng ca"/>
    <m/>
    <m/>
    <n v="8"/>
  </r>
  <r>
    <s v="Active"/>
    <s v="VCV0431"/>
    <s v="Nguyễn Văn Tuấn "/>
    <x v="13"/>
    <s v="PMC - WH"/>
    <s v="Factory"/>
    <m/>
    <m/>
    <m/>
    <m/>
    <m/>
    <s v="Cơm tăng ca"/>
    <m/>
    <m/>
    <s v="Cơm tăng ca"/>
    <s v="Cơm tăng ca"/>
    <s v="Cơm tăng ca"/>
    <s v="Cơm tăng ca"/>
    <m/>
    <m/>
    <m/>
    <m/>
    <m/>
    <s v="Cơm tăng ca"/>
    <m/>
    <m/>
    <m/>
    <m/>
    <m/>
    <m/>
    <m/>
    <s v="Cơm tăng ca"/>
    <m/>
    <m/>
    <m/>
    <m/>
    <m/>
    <m/>
    <n v="7"/>
  </r>
  <r>
    <s v="Active"/>
    <s v="VCV0432"/>
    <s v="Lê Bá Hoàng"/>
    <x v="13"/>
    <s v="PMC - WH"/>
    <s v="Factory"/>
    <m/>
    <m/>
    <m/>
    <m/>
    <m/>
    <m/>
    <m/>
    <m/>
    <s v="Cơm tăng ca"/>
    <m/>
    <m/>
    <m/>
    <m/>
    <m/>
    <m/>
    <m/>
    <m/>
    <m/>
    <m/>
    <m/>
    <m/>
    <m/>
    <m/>
    <m/>
    <m/>
    <m/>
    <m/>
    <m/>
    <m/>
    <m/>
    <m/>
    <m/>
    <n v="1"/>
  </r>
  <r>
    <s v="Active"/>
    <s v="VCV0433"/>
    <s v="Nguyễn Hoàng Nam"/>
    <x v="13"/>
    <s v="PMC - WH"/>
    <s v="Factory"/>
    <m/>
    <m/>
    <m/>
    <m/>
    <m/>
    <s v="Cơm tăng ca"/>
    <m/>
    <m/>
    <s v="Cơm tăng ca"/>
    <s v="Cơm tăng ca"/>
    <s v="Cơm tăng ca"/>
    <s v="Cơm tăng ca"/>
    <s v="Cơm tăng ca"/>
    <m/>
    <m/>
    <m/>
    <s v="Cơm tăng ca"/>
    <s v="Cơm tăng ca"/>
    <m/>
    <m/>
    <m/>
    <m/>
    <m/>
    <m/>
    <s v="Cơm tăng ca"/>
    <m/>
    <m/>
    <m/>
    <m/>
    <m/>
    <s v="Cơm tăng ca"/>
    <s v="Cơm tăng ca"/>
    <n v="11"/>
  </r>
  <r>
    <s v="Active"/>
    <s v="VCV0435"/>
    <s v="Vũ Ngọc Đức"/>
    <x v="7"/>
    <s v="Pro - CNC"/>
    <s v="Factory"/>
    <m/>
    <m/>
    <s v="Cơm tăng ca"/>
    <m/>
    <m/>
    <s v="Cơm tăng ca"/>
    <s v="Cơm tăng ca"/>
    <m/>
    <s v="Cơm tăng ca"/>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3"/>
  </r>
  <r>
    <s v="Active"/>
    <s v="VCV0442"/>
    <s v="Trương Thành Cường"/>
    <x v="0"/>
    <s v="Pro - Packaging"/>
    <s v="Factory"/>
    <m/>
    <m/>
    <m/>
    <m/>
    <m/>
    <s v="Cơm tăng ca"/>
    <m/>
    <m/>
    <s v="Cơm tăng ca"/>
    <s v="Cơm tăng ca"/>
    <s v="Cơm tăng ca"/>
    <s v="Cơm tăng ca"/>
    <s v="Cơm tăng ca"/>
    <m/>
    <m/>
    <s v="Cơm tăng ca"/>
    <s v="Cơm tăng ca"/>
    <s v="Cơm tăng ca"/>
    <s v="Cơm tăng ca"/>
    <s v="Cơm tăng ca"/>
    <m/>
    <m/>
    <m/>
    <m/>
    <s v="Cơm tăng ca"/>
    <s v="Cơm tăng ca"/>
    <s v="Cơm tăng ca"/>
    <m/>
    <m/>
    <s v="Cơm tăng ca"/>
    <s v="Cơm tăng ca"/>
    <s v="Cơm tăng ca"/>
    <n v="17"/>
  </r>
  <r>
    <s v="Active"/>
    <s v="VCV0452"/>
    <s v="Lỷ Sẹc Chắn"/>
    <x v="1"/>
    <s v="Pro - Aging"/>
    <s v="Factory"/>
    <m/>
    <m/>
    <m/>
    <m/>
    <m/>
    <m/>
    <m/>
    <m/>
    <m/>
    <m/>
    <m/>
    <m/>
    <m/>
    <m/>
    <m/>
    <m/>
    <s v="Cơm tăng ca"/>
    <s v="Cơm tăng ca"/>
    <s v="Cơm tăng ca"/>
    <m/>
    <m/>
    <m/>
    <s v="Cơm tăng ca"/>
    <s v="Cơm tăng ca"/>
    <s v="Cơm tăng ca"/>
    <s v="Cơm tăng ca"/>
    <m/>
    <m/>
    <m/>
    <s v="Cơm tăng ca"/>
    <s v="Cơm tăng ca"/>
    <m/>
    <n v="9"/>
  </r>
  <r>
    <s v="Active"/>
    <s v="VCV0467"/>
    <s v="Nguyễn Thị Chung"/>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468"/>
    <s v="Nguyễn Lê Trường Bảo"/>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469"/>
    <s v="Trần Thị Bến"/>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471"/>
    <s v="Vũ Thị Huyền"/>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m/>
    <s v="Cơm tăng ca"/>
    <m/>
    <m/>
    <s v="Cơm tăng ca"/>
    <s v="Cơm tăng ca"/>
    <s v="Cơm tăng ca"/>
    <n v="18"/>
  </r>
  <r>
    <s v="Active"/>
    <s v="VCV0505"/>
    <s v="Đặng Nghĩa Bảo"/>
    <x v="8"/>
    <s v="PMC - Quality"/>
    <s v="Factory"/>
    <m/>
    <m/>
    <m/>
    <m/>
    <m/>
    <m/>
    <m/>
    <m/>
    <m/>
    <m/>
    <s v="Cơm tăng ca"/>
    <m/>
    <m/>
    <m/>
    <m/>
    <s v="Cơm tăng ca"/>
    <m/>
    <s v="Cơm tăng ca"/>
    <m/>
    <m/>
    <m/>
    <m/>
    <m/>
    <m/>
    <s v="Cơm tăng ca"/>
    <s v="Cơm tăng ca"/>
    <m/>
    <m/>
    <m/>
    <m/>
    <m/>
    <s v="Cơm tăng ca"/>
    <n v="6"/>
  </r>
  <r>
    <s v="Active"/>
    <s v="VCV0509"/>
    <s v="Nguyễn Thị Thúy Na"/>
    <x v="1"/>
    <s v="Pro - Aging"/>
    <s v="Factory"/>
    <m/>
    <m/>
    <m/>
    <m/>
    <m/>
    <m/>
    <m/>
    <m/>
    <m/>
    <m/>
    <m/>
    <m/>
    <m/>
    <m/>
    <m/>
    <m/>
    <m/>
    <s v="Cơm tăng ca"/>
    <s v="Cơm tăng ca"/>
    <m/>
    <m/>
    <m/>
    <s v="Cơm tăng ca"/>
    <m/>
    <s v="Cơm tăng ca"/>
    <s v="Cơm tăng ca"/>
    <m/>
    <m/>
    <m/>
    <s v="Cơm tăng ca"/>
    <s v="Cơm tăng ca"/>
    <m/>
    <n v="7"/>
  </r>
  <r>
    <s v="Active"/>
    <s v="VCV0511"/>
    <s v="Hoàng Thị Luận"/>
    <x v="1"/>
    <s v="Pro - Aging"/>
    <s v="Factory"/>
    <m/>
    <m/>
    <m/>
    <m/>
    <m/>
    <m/>
    <m/>
    <m/>
    <m/>
    <m/>
    <m/>
    <m/>
    <m/>
    <m/>
    <m/>
    <m/>
    <s v="Cơm tăng ca"/>
    <s v="Cơm tăng ca"/>
    <s v="Cơm tăng ca"/>
    <m/>
    <m/>
    <m/>
    <s v="Cơm tăng ca"/>
    <s v="Cơm tăng ca"/>
    <s v="Cơm tăng ca"/>
    <s v="Cơm tăng ca"/>
    <m/>
    <m/>
    <m/>
    <s v="Cơm tăng ca"/>
    <s v="Cơm tăng ca"/>
    <m/>
    <n v="9"/>
  </r>
  <r>
    <s v="Active"/>
    <s v="VCV0512"/>
    <s v="Trần Thị Bích Thủy"/>
    <x v="1"/>
    <s v="Pro - Aging"/>
    <s v="Factory"/>
    <m/>
    <m/>
    <m/>
    <m/>
    <m/>
    <m/>
    <m/>
    <m/>
    <m/>
    <m/>
    <m/>
    <m/>
    <m/>
    <m/>
    <m/>
    <m/>
    <s v="Cơm tăng ca"/>
    <s v="Cơm tăng ca"/>
    <s v="Cơm tăng ca"/>
    <m/>
    <m/>
    <m/>
    <s v="Cơm tăng ca"/>
    <s v="Cơm tăng ca"/>
    <s v="Cơm tăng ca"/>
    <s v="Cơm tăng ca"/>
    <m/>
    <m/>
    <m/>
    <s v="Cơm tăng ca"/>
    <s v="Cơm tăng ca"/>
    <m/>
    <n v="9"/>
  </r>
  <r>
    <s v="Active"/>
    <s v="VCV0513"/>
    <s v="Trần Minh Ngọc"/>
    <x v="1"/>
    <s v="Pro - Aging"/>
    <s v="Factory"/>
    <m/>
    <m/>
    <m/>
    <m/>
    <m/>
    <m/>
    <m/>
    <m/>
    <m/>
    <m/>
    <m/>
    <m/>
    <m/>
    <m/>
    <m/>
    <m/>
    <s v="Cơm tăng ca"/>
    <s v="Cơm tăng ca"/>
    <s v="Cơm tăng ca"/>
    <m/>
    <m/>
    <m/>
    <s v="Cơm tăng ca"/>
    <s v="Cơm tăng ca"/>
    <s v="Cơm tăng ca"/>
    <s v="Cơm tăng ca"/>
    <m/>
    <m/>
    <m/>
    <s v="Cơm tăng ca"/>
    <s v="Cơm tăng ca"/>
    <m/>
    <n v="9"/>
  </r>
  <r>
    <s v="Active"/>
    <s v="VCV0514"/>
    <s v="Phạm Thị Thanh Thủy"/>
    <x v="1"/>
    <s v="Pro - Aging"/>
    <s v="Factory"/>
    <m/>
    <m/>
    <m/>
    <m/>
    <m/>
    <m/>
    <m/>
    <m/>
    <m/>
    <m/>
    <m/>
    <m/>
    <m/>
    <m/>
    <m/>
    <m/>
    <s v="Cơm tăng ca"/>
    <s v="Cơm tăng ca"/>
    <s v="Cơm tăng ca"/>
    <m/>
    <m/>
    <m/>
    <s v="Cơm tăng ca"/>
    <s v="Cơm tăng ca"/>
    <s v="Cơm tăng ca"/>
    <s v="Cơm tăng ca"/>
    <m/>
    <m/>
    <m/>
    <s v="Cơm tăng ca"/>
    <s v="Cơm tăng ca"/>
    <m/>
    <n v="9"/>
  </r>
  <r>
    <s v="Active"/>
    <s v="VCV0518"/>
    <s v="Trương Khánh Huy"/>
    <x v="0"/>
    <s v="Pro - Packaging"/>
    <s v="Factory"/>
    <m/>
    <m/>
    <m/>
    <m/>
    <m/>
    <m/>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m/>
    <s v="Cơm tăng ca"/>
    <n v="17"/>
  </r>
  <r>
    <s v="Active"/>
    <s v="VCV0520"/>
    <s v="Nguyễn Hoàng Dũng"/>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521"/>
    <s v="Nguyễn Thị Kim Oanh"/>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522"/>
    <s v="Bùi Thị Kim Thoa"/>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523"/>
    <s v="Nguyễn Thị Hồng Hiền"/>
    <x v="0"/>
    <s v="Pro - Packaging"/>
    <s v="Factory"/>
    <m/>
    <m/>
    <m/>
    <m/>
    <m/>
    <s v="Cơm tăng ca"/>
    <m/>
    <m/>
    <s v="Cơm tăng ca"/>
    <s v="Cơm tăng ca"/>
    <s v="Cơm tăng ca"/>
    <s v="Cơm tăng ca"/>
    <s v="Cơm tăng ca"/>
    <m/>
    <m/>
    <s v="Cơm tăng ca"/>
    <s v="Cơm tăng ca"/>
    <s v="Cơm tăng ca"/>
    <s v="Cơm tăng ca"/>
    <s v="Cơm tăng ca"/>
    <m/>
    <m/>
    <s v="Cơm tăng ca"/>
    <s v="Cơm tăng ca"/>
    <m/>
    <s v="Cơm tăng ca"/>
    <s v="Cơm tăng ca"/>
    <m/>
    <m/>
    <s v="Cơm tăng ca"/>
    <s v="Cơm tăng ca"/>
    <s v="Cơm tăng ca"/>
    <n v="18"/>
  </r>
  <r>
    <s v="Active"/>
    <s v="VCV0524"/>
    <s v="Nguyễn Thị Minh Hồng"/>
    <x v="0"/>
    <s v="Pro - Packaging"/>
    <s v="Factory"/>
    <m/>
    <m/>
    <m/>
    <m/>
    <m/>
    <s v="Cơm tăng ca"/>
    <m/>
    <m/>
    <m/>
    <s v="Cơm tăng ca"/>
    <s v="Cơm tăng ca"/>
    <m/>
    <s v="Cơm tăng ca"/>
    <m/>
    <m/>
    <s v="Cơm tăng ca"/>
    <s v="Cơm tăng ca"/>
    <s v="Cơm tăng ca"/>
    <s v="Cơm tăng ca"/>
    <s v="Cơm tăng ca"/>
    <m/>
    <m/>
    <s v="Cơm tăng ca"/>
    <s v="Cơm tăng ca"/>
    <s v="Cơm tăng ca"/>
    <s v="Cơm tăng ca"/>
    <s v="Cơm tăng ca"/>
    <m/>
    <m/>
    <s v="Cơm tăng ca"/>
    <s v="Cơm tăng ca"/>
    <s v="Cơm tăng ca"/>
    <n v="17"/>
  </r>
  <r>
    <s v="Active"/>
    <s v="VCV0525"/>
    <s v="Đào Thị Thanh Tuyền"/>
    <x v="0"/>
    <s v="Pro - Packaging"/>
    <s v="Factory"/>
    <m/>
    <m/>
    <m/>
    <m/>
    <m/>
    <s v="Cơm tăng ca"/>
    <m/>
    <m/>
    <s v="Cơm tăng ca"/>
    <s v="Cơm tăng ca"/>
    <s v="Cơm tăng ca"/>
    <s v="Cơm tăng ca"/>
    <s v="Cơm tăng ca"/>
    <m/>
    <m/>
    <s v="Cơm tăng ca"/>
    <s v="Cơm tăng ca"/>
    <s v="Cơm tăng ca"/>
    <s v="Cơm tăng ca"/>
    <s v="Cơm tăng ca"/>
    <m/>
    <m/>
    <m/>
    <m/>
    <m/>
    <m/>
    <m/>
    <m/>
    <m/>
    <m/>
    <m/>
    <m/>
    <n v="11"/>
  </r>
  <r>
    <s v="Active"/>
    <s v="VCV0526"/>
    <s v="Bùi Thị Ngọc Tuyết"/>
    <x v="0"/>
    <s v="Pro - Packaging"/>
    <s v="Factory"/>
    <m/>
    <m/>
    <m/>
    <m/>
    <m/>
    <s v="Cơm tăng ca"/>
    <m/>
    <m/>
    <s v="Cơm tăng ca"/>
    <s v="Cơm tăng ca"/>
    <s v="Cơm tăng ca"/>
    <s v="Cơm tăng ca"/>
    <m/>
    <m/>
    <m/>
    <s v="Cơm tăng ca"/>
    <s v="Cơm tăng ca"/>
    <s v="Cơm tăng ca"/>
    <s v="Cơm tăng ca"/>
    <s v="Cơm tăng ca"/>
    <m/>
    <m/>
    <s v="Cơm tăng ca"/>
    <s v="Cơm tăng ca"/>
    <s v="Cơm tăng ca"/>
    <s v="Cơm tăng ca"/>
    <s v="Cơm tăng ca"/>
    <m/>
    <m/>
    <s v="Cơm tăng ca"/>
    <s v="Cơm tăng ca"/>
    <s v="Cơm tăng ca"/>
    <n v="18"/>
  </r>
  <r>
    <s v="Active"/>
    <s v="VCV0527"/>
    <s v="Trần Thị Ánh"/>
    <x v="0"/>
    <s v="Pro - Packaging"/>
    <s v="Factory"/>
    <m/>
    <m/>
    <m/>
    <m/>
    <m/>
    <s v="Cơm tăng ca"/>
    <m/>
    <m/>
    <s v="Cơm tăng ca"/>
    <s v="Cơm tăng ca"/>
    <s v="Cơm tăng ca"/>
    <s v="Cơm tăng ca"/>
    <s v="Cơm tăng ca"/>
    <m/>
    <m/>
    <s v="Cơm tăng ca"/>
    <s v="Cơm tăng ca"/>
    <s v="Cơm tăng ca"/>
    <s v="Cơm tăng ca"/>
    <s v="Cơm tăng ca"/>
    <m/>
    <m/>
    <m/>
    <s v="Cơm tăng ca"/>
    <s v="Cơm tăng ca"/>
    <m/>
    <s v="Cơm tăng ca"/>
    <m/>
    <m/>
    <s v="Cơm tăng ca"/>
    <s v="Cơm tăng ca"/>
    <s v="Cơm tăng ca"/>
    <n v="17"/>
  </r>
  <r>
    <s v="Active"/>
    <s v="VCV0528"/>
    <s v="Ngô Thị Ngọc Thanh"/>
    <x v="0"/>
    <s v="Pro - Packaging"/>
    <s v="Factory"/>
    <m/>
    <m/>
    <m/>
    <m/>
    <m/>
    <s v="Cơm tăng ca"/>
    <m/>
    <m/>
    <s v="Cơm tăng ca"/>
    <m/>
    <m/>
    <m/>
    <m/>
    <m/>
    <m/>
    <m/>
    <m/>
    <m/>
    <s v="Cơm tăng ca"/>
    <s v="Cơm tăng ca"/>
    <m/>
    <m/>
    <s v="Cơm tăng ca"/>
    <m/>
    <m/>
    <s v="Cơm tăng ca"/>
    <m/>
    <m/>
    <m/>
    <m/>
    <m/>
    <m/>
    <n v="6"/>
  </r>
  <r>
    <s v="Active"/>
    <s v="VCV0529"/>
    <s v="Nguyễn Viết Hưng"/>
    <x v="0"/>
    <s v="Pro - Packaging"/>
    <s v="Factory"/>
    <m/>
    <m/>
    <m/>
    <m/>
    <m/>
    <m/>
    <m/>
    <m/>
    <m/>
    <m/>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6"/>
  </r>
  <r>
    <s v="Active"/>
    <s v="VCV0530"/>
    <s v="Lầm Siu Hà"/>
    <x v="0"/>
    <s v="Pro - Packaging"/>
    <s v="Factory"/>
    <m/>
    <m/>
    <m/>
    <m/>
    <m/>
    <s v="Cơm tăng ca"/>
    <m/>
    <m/>
    <s v="Cơm tăng ca"/>
    <s v="Cơm tăng ca"/>
    <s v="Cơm tăng ca"/>
    <m/>
    <s v="Cơm tăng ca"/>
    <m/>
    <m/>
    <s v="Cơm tăng ca"/>
    <s v="Cơm tăng ca"/>
    <s v="Cơm tăng ca"/>
    <s v="Cơm tăng ca"/>
    <m/>
    <m/>
    <m/>
    <m/>
    <s v="Cơm tăng ca"/>
    <s v="Cơm tăng ca"/>
    <s v="Cơm tăng ca"/>
    <m/>
    <m/>
    <m/>
    <s v="Cơm tăng ca"/>
    <s v="Cơm tăng ca"/>
    <s v="Cơm tăng ca"/>
    <n v="15"/>
  </r>
  <r>
    <s v="Active"/>
    <s v="VCV0531"/>
    <s v="Hoàng Thị Dung"/>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532"/>
    <s v="Chắng A Dưỡng"/>
    <x v="0"/>
    <s v="Pro - Packaging"/>
    <s v="Factory"/>
    <m/>
    <m/>
    <m/>
    <m/>
    <m/>
    <s v="Cơm tăng ca"/>
    <m/>
    <m/>
    <s v="Cơm tăng ca"/>
    <s v="Cơm tăng ca"/>
    <m/>
    <m/>
    <s v="Cơm tăng ca"/>
    <m/>
    <m/>
    <s v="Cơm tăng ca"/>
    <s v="Cơm tăng ca"/>
    <s v="Cơm tăng ca"/>
    <s v="Cơm tăng ca"/>
    <s v="Cơm tăng ca"/>
    <m/>
    <m/>
    <s v="Cơm tăng ca"/>
    <s v="Cơm tăng ca"/>
    <s v="Cơm tăng ca"/>
    <s v="Cơm tăng ca"/>
    <s v="Cơm tăng ca"/>
    <m/>
    <m/>
    <s v="Cơm tăng ca"/>
    <s v="Cơm tăng ca"/>
    <s v="Cơm tăng ca"/>
    <n v="17"/>
  </r>
  <r>
    <s v="Active"/>
    <s v="VCV0533"/>
    <s v="Nguyễn Văn Hoài"/>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535"/>
    <s v="Hoàng Nữ Duyên Mai"/>
    <x v="0"/>
    <s v="Pro - Packaging"/>
    <s v="Factory"/>
    <m/>
    <m/>
    <m/>
    <m/>
    <m/>
    <s v="Cơm tăng ca"/>
    <m/>
    <m/>
    <s v="Cơm tăng ca"/>
    <s v="Cơm tăng ca"/>
    <s v="Cơm tăng ca"/>
    <m/>
    <s v="Cơm tăng ca"/>
    <m/>
    <m/>
    <s v="Cơm tăng ca"/>
    <s v="Cơm tăng ca"/>
    <s v="Cơm tăng ca"/>
    <s v="Cơm tăng ca"/>
    <m/>
    <m/>
    <m/>
    <m/>
    <s v="Cơm tăng ca"/>
    <s v="Cơm tăng ca"/>
    <s v="Cơm tăng ca"/>
    <s v="Cơm tăng ca"/>
    <m/>
    <m/>
    <s v="Cơm tăng ca"/>
    <s v="Cơm tăng ca"/>
    <s v="Cơm tăng ca"/>
    <n v="16"/>
  </r>
  <r>
    <s v="Active"/>
    <s v="VCV0536"/>
    <s v="Nguyễn Thị Kim Phương"/>
    <x v="0"/>
    <s v="Pro - Packaging"/>
    <s v="Factory"/>
    <m/>
    <m/>
    <m/>
    <m/>
    <m/>
    <s v="Cơm tăng ca"/>
    <m/>
    <m/>
    <m/>
    <s v="Cơm tăng ca"/>
    <s v="Cơm tăng ca"/>
    <m/>
    <s v="Cơm tăng ca"/>
    <m/>
    <m/>
    <s v="Cơm tăng ca"/>
    <s v="Cơm tăng ca"/>
    <s v="Cơm tăng ca"/>
    <s v="Cơm tăng ca"/>
    <m/>
    <m/>
    <m/>
    <m/>
    <s v="Cơm tăng ca"/>
    <s v="Cơm tăng ca"/>
    <s v="Cơm tăng ca"/>
    <s v="Cơm tăng ca"/>
    <m/>
    <m/>
    <s v="Cơm tăng ca"/>
    <m/>
    <s v="Cơm tăng ca"/>
    <n v="14"/>
  </r>
  <r>
    <s v="Active"/>
    <s v="VCV0537"/>
    <s v="Phạm Công Tuấn"/>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m/>
    <m/>
    <m/>
    <s v="Cơm tăng ca"/>
    <s v="Cơm tăng ca"/>
    <s v="Cơm tăng ca"/>
    <n v="18"/>
  </r>
  <r>
    <s v="Active"/>
    <s v="VCV0540"/>
    <s v="Trương Thị Hồng Mỹ"/>
    <x v="13"/>
    <s v="PMC - WH"/>
    <s v="Factory"/>
    <m/>
    <m/>
    <m/>
    <m/>
    <m/>
    <m/>
    <m/>
    <m/>
    <m/>
    <m/>
    <m/>
    <m/>
    <m/>
    <m/>
    <m/>
    <m/>
    <m/>
    <m/>
    <m/>
    <m/>
    <m/>
    <m/>
    <m/>
    <s v="Cơm tăng ca"/>
    <m/>
    <m/>
    <m/>
    <m/>
    <m/>
    <m/>
    <m/>
    <m/>
    <n v="1"/>
  </r>
  <r>
    <s v="Active"/>
    <s v="VCV0542"/>
    <s v="Vũ Đình Duy"/>
    <x v="7"/>
    <s v="Pro - CNC"/>
    <s v="Factory"/>
    <m/>
    <m/>
    <s v="Cơm tăng ca"/>
    <m/>
    <m/>
    <s v="Cơm tăng ca"/>
    <s v="Cơm tăng ca"/>
    <m/>
    <s v="Cơm tăng ca"/>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3"/>
  </r>
  <r>
    <s v="Active"/>
    <s v="VCV0545"/>
    <s v="Nguyễn Trần Giang Châu"/>
    <x v="10"/>
    <s v="Pro - Auto Polishing"/>
    <s v="Factory"/>
    <m/>
    <m/>
    <m/>
    <m/>
    <m/>
    <s v="Cơm tăng ca"/>
    <m/>
    <m/>
    <m/>
    <s v="Cơm tăng ca"/>
    <s v="Cơm tăng ca"/>
    <s v="Cơm tăng ca"/>
    <s v="Cơm tăng ca"/>
    <m/>
    <m/>
    <m/>
    <s v="Cơm tăng ca"/>
    <s v="Cơm tăng ca"/>
    <m/>
    <m/>
    <s v="Cơm tăng ca"/>
    <m/>
    <m/>
    <s v="Cơm tăng ca"/>
    <s v="Cơm tăng ca"/>
    <s v="Cơm tăng ca"/>
    <m/>
    <m/>
    <m/>
    <m/>
    <s v="Cơm tăng ca"/>
    <m/>
    <n v="12"/>
  </r>
  <r>
    <s v="Active"/>
    <s v="VCV0547"/>
    <s v="Đinh Văn Quý"/>
    <x v="2"/>
    <s v="Pro - Painting"/>
    <s v="Factory"/>
    <m/>
    <m/>
    <m/>
    <m/>
    <m/>
    <s v="Cơm tăng ca"/>
    <m/>
    <m/>
    <s v="Cơm tăng ca"/>
    <m/>
    <m/>
    <m/>
    <m/>
    <m/>
    <m/>
    <m/>
    <m/>
    <m/>
    <s v="Cơm tăng ca"/>
    <s v="Cơm tăng ca"/>
    <m/>
    <m/>
    <s v="Cơm tăng ca"/>
    <s v="Cơm tăng ca"/>
    <s v="Cơm tăng ca"/>
    <s v="Cơm tăng ca"/>
    <m/>
    <m/>
    <m/>
    <s v="Cơm tăng ca"/>
    <s v="Cơm tăng ca"/>
    <m/>
    <n v="10"/>
  </r>
  <r>
    <s v="Active"/>
    <s v="VCV0559"/>
    <s v="Nguyễn Văn Thưởng"/>
    <x v="6"/>
    <s v="Pro - Fabrication"/>
    <s v="Factory"/>
    <m/>
    <m/>
    <m/>
    <m/>
    <m/>
    <s v="Cơm tăng ca"/>
    <m/>
    <m/>
    <s v="Cơm tăng ca"/>
    <s v="Cơm tăng ca"/>
    <s v="Cơm tăng ca"/>
    <s v="Cơm tăng ca"/>
    <s v="Cơm tăng ca"/>
    <m/>
    <m/>
    <s v="Cơm tăng ca"/>
    <m/>
    <s v="Cơm tăng ca"/>
    <s v="Cơm tăng ca"/>
    <m/>
    <m/>
    <m/>
    <m/>
    <s v="Cơm tăng ca"/>
    <m/>
    <m/>
    <m/>
    <m/>
    <m/>
    <s v="Cơm tăng ca"/>
    <s v="Cơm tăng ca"/>
    <s v="Cơm tăng ca"/>
    <n v="13"/>
  </r>
  <r>
    <s v="Active"/>
    <s v="VCV0562"/>
    <s v="Đinh Thị Kim Phấn"/>
    <x v="1"/>
    <s v="Pro - Aging"/>
    <s v="Factory"/>
    <m/>
    <m/>
    <m/>
    <m/>
    <m/>
    <m/>
    <m/>
    <m/>
    <m/>
    <m/>
    <m/>
    <m/>
    <m/>
    <m/>
    <m/>
    <m/>
    <s v="Cơm tăng ca"/>
    <s v="Cơm tăng ca"/>
    <s v="Cơm tăng ca"/>
    <m/>
    <m/>
    <m/>
    <s v="Cơm tăng ca"/>
    <s v="Cơm tăng ca"/>
    <s v="Cơm tăng ca"/>
    <s v="Cơm tăng ca"/>
    <m/>
    <m/>
    <m/>
    <s v="Cơm tăng ca"/>
    <s v="Cơm tăng ca"/>
    <m/>
    <n v="9"/>
  </r>
  <r>
    <s v="Active"/>
    <s v="VCV0564"/>
    <s v="Lý Thị Kiều"/>
    <x v="1"/>
    <s v="Pro - Aging"/>
    <s v="Factory"/>
    <m/>
    <m/>
    <m/>
    <m/>
    <m/>
    <m/>
    <m/>
    <m/>
    <m/>
    <m/>
    <m/>
    <m/>
    <m/>
    <m/>
    <m/>
    <m/>
    <s v="Cơm tăng ca"/>
    <s v="Cơm tăng ca"/>
    <s v="Cơm tăng ca"/>
    <m/>
    <m/>
    <m/>
    <m/>
    <m/>
    <m/>
    <m/>
    <m/>
    <m/>
    <m/>
    <m/>
    <m/>
    <m/>
    <n v="3"/>
  </r>
  <r>
    <s v="Active"/>
    <s v="VCV0565"/>
    <s v="Trần A Cúc"/>
    <x v="1"/>
    <s v="Pro - Aging"/>
    <s v="Factory"/>
    <m/>
    <m/>
    <m/>
    <m/>
    <m/>
    <m/>
    <m/>
    <m/>
    <m/>
    <m/>
    <m/>
    <m/>
    <m/>
    <m/>
    <m/>
    <m/>
    <s v="Cơm tăng ca"/>
    <s v="Cơm tăng ca"/>
    <s v="Cơm tăng ca"/>
    <m/>
    <m/>
    <m/>
    <s v="Cơm tăng ca"/>
    <s v="Cơm tăng ca"/>
    <s v="Cơm tăng ca"/>
    <s v="Cơm tăng ca"/>
    <m/>
    <m/>
    <m/>
    <s v="Cơm tăng ca"/>
    <s v="Cơm tăng ca"/>
    <m/>
    <n v="9"/>
  </r>
  <r>
    <s v="Active"/>
    <s v="VCV0566"/>
    <s v="Thạch Thị Hoa"/>
    <x v="1"/>
    <s v="Pro - Aging"/>
    <s v="Factory"/>
    <m/>
    <m/>
    <m/>
    <m/>
    <m/>
    <m/>
    <m/>
    <m/>
    <m/>
    <m/>
    <m/>
    <m/>
    <m/>
    <m/>
    <m/>
    <m/>
    <m/>
    <s v="Cơm tăng ca"/>
    <s v="Cơm tăng ca"/>
    <m/>
    <m/>
    <m/>
    <s v="Cơm tăng ca"/>
    <s v="Cơm tăng ca"/>
    <s v="Cơm tăng ca"/>
    <s v="Cơm tăng ca"/>
    <m/>
    <m/>
    <m/>
    <s v="Cơm tăng ca"/>
    <s v="Cơm tăng ca"/>
    <m/>
    <n v="8"/>
  </r>
  <r>
    <s v="Active"/>
    <s v="VCV0568"/>
    <s v="Nguyễn Minh Khánh"/>
    <x v="0"/>
    <s v="Pro - Packaging"/>
    <s v="Factory"/>
    <m/>
    <m/>
    <m/>
    <m/>
    <m/>
    <s v="Cơm tăng ca"/>
    <m/>
    <m/>
    <s v="Cơm tăng ca"/>
    <s v="Cơm tăng ca"/>
    <s v="Cơm tăng ca"/>
    <s v="Cơm tăng ca"/>
    <s v="Cơm tăng ca"/>
    <m/>
    <m/>
    <s v="Cơm tăng ca"/>
    <s v="Cơm tăng ca"/>
    <m/>
    <s v="Cơm tăng ca"/>
    <s v="Cơm tăng ca"/>
    <m/>
    <m/>
    <s v="Cơm tăng ca"/>
    <s v="Cơm tăng ca"/>
    <s v="Cơm tăng ca"/>
    <m/>
    <s v="Cơm tăng ca"/>
    <m/>
    <m/>
    <s v="Cơm tăng ca"/>
    <s v="Cơm tăng ca"/>
    <s v="Cơm tăng ca"/>
    <n v="17"/>
  </r>
  <r>
    <s v="Active"/>
    <s v="VCV0570"/>
    <s v="Nguyễn Hoàng Gia Bảo"/>
    <x v="0"/>
    <s v="Pro - Packaging"/>
    <s v="Factory"/>
    <m/>
    <m/>
    <m/>
    <m/>
    <m/>
    <m/>
    <m/>
    <m/>
    <s v="Cơm tăng ca"/>
    <m/>
    <m/>
    <m/>
    <m/>
    <m/>
    <m/>
    <m/>
    <m/>
    <m/>
    <s v="Cơm tăng ca"/>
    <m/>
    <m/>
    <m/>
    <s v="Cơm tăng ca"/>
    <m/>
    <s v="Cơm tăng ca"/>
    <m/>
    <m/>
    <m/>
    <m/>
    <m/>
    <m/>
    <m/>
    <n v="4"/>
  </r>
  <r>
    <s v="Active"/>
    <s v="VCV0571"/>
    <s v="Thạch Thị Mường"/>
    <x v="0"/>
    <s v="Pro - Packaging"/>
    <s v="Factory"/>
    <m/>
    <m/>
    <m/>
    <m/>
    <m/>
    <m/>
    <m/>
    <m/>
    <s v="Cơm tăng ca"/>
    <s v="Cơm tăng ca"/>
    <s v="Cơm tăng ca"/>
    <m/>
    <s v="Cơm tăng ca"/>
    <m/>
    <m/>
    <s v="Cơm tăng ca"/>
    <s v="Cơm tăng ca"/>
    <s v="Cơm tăng ca"/>
    <s v="Cơm tăng ca"/>
    <m/>
    <m/>
    <m/>
    <s v="Cơm tăng ca"/>
    <s v="Cơm tăng ca"/>
    <s v="Cơm tăng ca"/>
    <s v="Cơm tăng ca"/>
    <m/>
    <m/>
    <m/>
    <s v="Cơm tăng ca"/>
    <m/>
    <s v="Cơm tăng ca"/>
    <n v="14"/>
  </r>
  <r>
    <s v="Active"/>
    <s v="VCV0572"/>
    <s v="Nguyễn Gia Bảo"/>
    <x v="0"/>
    <s v="Pro - Packaging"/>
    <s v="Factory"/>
    <m/>
    <m/>
    <m/>
    <m/>
    <m/>
    <s v="Cơm tăng ca"/>
    <m/>
    <m/>
    <s v="Cơm tăng ca"/>
    <s v="Cơm tăng ca"/>
    <s v="Cơm tăng ca"/>
    <s v="Cơm tăng ca"/>
    <s v="Cơm tăng ca"/>
    <m/>
    <m/>
    <s v="Cơm tăng ca"/>
    <s v="Cơm tăng ca"/>
    <s v="Cơm tăng ca"/>
    <m/>
    <s v="Cơm tăng ca"/>
    <m/>
    <m/>
    <s v="Cơm tăng ca"/>
    <s v="Cơm tăng ca"/>
    <m/>
    <s v="Cơm tăng ca"/>
    <s v="Cơm tăng ca"/>
    <m/>
    <m/>
    <s v="Cơm tăng ca"/>
    <s v="Cơm tăng ca"/>
    <s v="Cơm tăng ca"/>
    <n v="17"/>
  </r>
  <r>
    <s v="Active"/>
    <s v="VCV0573"/>
    <s v="Lê Trọng Tiến"/>
    <x v="0"/>
    <s v="Pro - Packaging"/>
    <s v="Factory"/>
    <m/>
    <m/>
    <m/>
    <m/>
    <m/>
    <s v="Cơm tăng ca"/>
    <m/>
    <m/>
    <s v="Cơm tăng ca"/>
    <s v="Cơm tăng ca"/>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9"/>
  </r>
  <r>
    <s v="Active"/>
    <s v="VCV0575"/>
    <s v="Kha Thanh Tuyen"/>
    <x v="0"/>
    <s v="Pro - Packaging"/>
    <s v="Factory"/>
    <m/>
    <m/>
    <m/>
    <m/>
    <m/>
    <m/>
    <m/>
    <m/>
    <s v="Cơm tăng ca"/>
    <s v="Cơm tăng ca"/>
    <s v="Cơm tăng ca"/>
    <m/>
    <s v="Cơm tăng ca"/>
    <m/>
    <m/>
    <s v="Cơm tăng ca"/>
    <s v="Cơm tăng ca"/>
    <s v="Cơm tăng ca"/>
    <s v="Cơm tăng ca"/>
    <s v="Cơm tăng ca"/>
    <m/>
    <m/>
    <s v="Cơm tăng ca"/>
    <s v="Cơm tăng ca"/>
    <s v="Cơm tăng ca"/>
    <s v="Cơm tăng ca"/>
    <s v="Cơm tăng ca"/>
    <m/>
    <m/>
    <s v="Cơm tăng ca"/>
    <s v="Cơm tăng ca"/>
    <m/>
    <n v="16"/>
  </r>
  <r>
    <s v="Active"/>
    <s v="VCV0579"/>
    <s v="Voòng Cún Lìn "/>
    <x v="0"/>
    <s v="Pro - Packaging"/>
    <s v="Factory"/>
    <m/>
    <m/>
    <m/>
    <m/>
    <m/>
    <s v="Cơm tăng ca"/>
    <m/>
    <m/>
    <s v="Cơm tăng ca"/>
    <s v="Cơm tăng ca"/>
    <s v="Cơm tăng ca"/>
    <s v="Cơm tăng ca"/>
    <s v="Cơm tăng ca"/>
    <m/>
    <m/>
    <s v="Cơm tăng ca"/>
    <m/>
    <m/>
    <s v="Cơm tăng ca"/>
    <s v="Cơm tăng ca"/>
    <m/>
    <m/>
    <s v="Cơm tăng ca"/>
    <s v="Cơm tăng ca"/>
    <s v="Cơm tăng ca"/>
    <s v="Cơm tăng ca"/>
    <m/>
    <m/>
    <m/>
    <s v="Cơm tăng ca"/>
    <s v="Cơm tăng ca"/>
    <s v="Cơm tăng ca"/>
    <n v="16"/>
  </r>
  <r>
    <s v="Active"/>
    <s v="VCV0581"/>
    <s v="Ngàn Phát Sầu"/>
    <x v="5"/>
    <s v="Pro - Polishing"/>
    <s v="Factory"/>
    <m/>
    <m/>
    <m/>
    <m/>
    <m/>
    <m/>
    <m/>
    <m/>
    <m/>
    <s v="Cơm tăng ca"/>
    <s v="Cơm tăng ca"/>
    <s v="Cơm tăng ca"/>
    <s v="Cơm tăng ca"/>
    <m/>
    <m/>
    <s v="Cơm tăng ca"/>
    <s v="Cơm tăng ca"/>
    <m/>
    <s v="Cơm tăng ca"/>
    <s v="Cơm tăng ca"/>
    <m/>
    <m/>
    <s v="Cơm tăng ca"/>
    <s v="Cơm tăng ca"/>
    <s v="Cơm tăng ca"/>
    <s v="Cơm ca 2"/>
    <m/>
    <m/>
    <m/>
    <s v="Cơm tăng ca"/>
    <s v="Cơm tăng ca"/>
    <s v="Cơm tăng ca"/>
    <n v="15"/>
  </r>
  <r>
    <s v="Active"/>
    <s v="VCV0604"/>
    <s v="Trần Sang"/>
    <x v="6"/>
    <s v="Pro - Fabrication"/>
    <s v="Factory"/>
    <m/>
    <m/>
    <m/>
    <m/>
    <m/>
    <m/>
    <m/>
    <m/>
    <s v="Cơm tăng ca"/>
    <m/>
    <m/>
    <m/>
    <s v="Cơm tăng ca"/>
    <m/>
    <m/>
    <m/>
    <m/>
    <m/>
    <m/>
    <s v="Cơm tăng ca"/>
    <m/>
    <m/>
    <m/>
    <m/>
    <s v="Cơm tăng ca"/>
    <s v="Cơm tăng ca"/>
    <m/>
    <m/>
    <m/>
    <m/>
    <s v="Cơm tăng ca"/>
    <s v="Cơm tăng ca"/>
    <n v="7"/>
  </r>
  <r>
    <s v="Active"/>
    <s v="VCV0606"/>
    <s v="Nguyễn Nhựt Du"/>
    <x v="6"/>
    <s v="Pro - Fabrication"/>
    <s v="Factory"/>
    <m/>
    <m/>
    <m/>
    <m/>
    <m/>
    <m/>
    <m/>
    <m/>
    <m/>
    <m/>
    <s v="Cơm tăng ca"/>
    <s v="Cơm tăng ca"/>
    <m/>
    <m/>
    <m/>
    <s v="Cơm tăng ca"/>
    <s v="Cơm tăng ca"/>
    <s v="Cơm tăng ca"/>
    <m/>
    <m/>
    <m/>
    <m/>
    <m/>
    <s v="Cơm tăng ca"/>
    <s v="Cơm tăng ca"/>
    <s v="Cơm tăng ca"/>
    <m/>
    <m/>
    <m/>
    <s v="Cơm tăng ca"/>
    <s v="Cơm tăng ca"/>
    <s v="Cơm tăng ca"/>
    <n v="11"/>
  </r>
  <r>
    <s v="Active"/>
    <s v="VCV0607"/>
    <s v="Tằng Nhịt Phùng"/>
    <x v="13"/>
    <s v="PMC - WH"/>
    <s v="Factory"/>
    <m/>
    <m/>
    <m/>
    <m/>
    <m/>
    <s v="Cơm tăng ca"/>
    <m/>
    <m/>
    <s v="Cơm tăng ca"/>
    <m/>
    <m/>
    <s v="Cơm tăng ca"/>
    <s v="Cơm tăng ca"/>
    <m/>
    <m/>
    <m/>
    <m/>
    <m/>
    <m/>
    <m/>
    <m/>
    <m/>
    <m/>
    <s v="Cơm tăng ca"/>
    <m/>
    <m/>
    <m/>
    <m/>
    <m/>
    <s v="Cơm tăng ca"/>
    <m/>
    <s v="Cơm tăng ca"/>
    <n v="7"/>
  </r>
  <r>
    <s v="Active"/>
    <s v="VCV0610"/>
    <s v="Nguyễn Thị Sinh"/>
    <x v="0"/>
    <s v="Pro - Packaging"/>
    <s v="Factory"/>
    <m/>
    <m/>
    <m/>
    <m/>
    <m/>
    <s v="Cơm tăng ca"/>
    <m/>
    <m/>
    <s v="Cơm tăng ca"/>
    <m/>
    <s v="Cơm tăng ca"/>
    <s v="Cơm tăng ca"/>
    <s v="Cơm tăng ca"/>
    <m/>
    <m/>
    <s v="Cơm tăng ca"/>
    <m/>
    <m/>
    <s v="Cơm tăng ca"/>
    <m/>
    <m/>
    <m/>
    <s v="Cơm tăng ca"/>
    <s v="Cơm tăng ca"/>
    <s v="Cơm tăng ca"/>
    <s v="Cơm tăng ca"/>
    <m/>
    <m/>
    <m/>
    <m/>
    <s v="Cơm tăng ca"/>
    <s v="Cơm tăng ca"/>
    <n v="13"/>
  </r>
  <r>
    <s v="Active"/>
    <s v="VCV0615"/>
    <s v="Vũ Đại Thắng"/>
    <x v="13"/>
    <s v="PMC - WH"/>
    <s v="Factory"/>
    <m/>
    <m/>
    <m/>
    <m/>
    <m/>
    <s v="Cơm tăng ca"/>
    <m/>
    <m/>
    <s v="Cơm tăng ca"/>
    <s v="Cơm tăng ca"/>
    <s v="Cơm tăng ca"/>
    <s v="Cơm tăng ca"/>
    <s v="Cơm tăng ca"/>
    <m/>
    <m/>
    <m/>
    <s v="Cơm tăng ca"/>
    <s v="Cơm tăng ca"/>
    <m/>
    <m/>
    <m/>
    <m/>
    <m/>
    <s v="Cơm tăng ca"/>
    <s v="Cơm tăng ca"/>
    <m/>
    <m/>
    <m/>
    <m/>
    <m/>
    <s v="Cơm tăng ca"/>
    <s v="Cơm tăng ca"/>
    <n v="12"/>
  </r>
  <r>
    <s v="Active"/>
    <s v="VCV0619"/>
    <s v="Trần Thị Phúc"/>
    <x v="1"/>
    <s v="Pro - Aging"/>
    <s v="Factory"/>
    <m/>
    <m/>
    <m/>
    <m/>
    <m/>
    <m/>
    <m/>
    <m/>
    <m/>
    <m/>
    <m/>
    <m/>
    <m/>
    <m/>
    <m/>
    <m/>
    <s v="Cơm tăng ca"/>
    <s v="Cơm tăng ca"/>
    <s v="Cơm tăng ca"/>
    <m/>
    <m/>
    <m/>
    <s v="Cơm tăng ca"/>
    <s v="Cơm tăng ca"/>
    <m/>
    <s v="Cơm tăng ca"/>
    <m/>
    <m/>
    <m/>
    <s v="Cơm tăng ca"/>
    <s v="Cơm tăng ca"/>
    <m/>
    <n v="8"/>
  </r>
  <r>
    <s v="Active"/>
    <s v="VCV0620"/>
    <s v="Đinh Thị Nở"/>
    <x v="5"/>
    <s v="Pro - Polishing"/>
    <s v="Factory"/>
    <m/>
    <m/>
    <m/>
    <m/>
    <m/>
    <m/>
    <m/>
    <m/>
    <m/>
    <s v="Cơm tăng ca"/>
    <s v="Cơm tăng ca"/>
    <s v="Cơm tăng ca"/>
    <s v="Cơm tăng ca"/>
    <m/>
    <m/>
    <s v="Cơm tăng ca"/>
    <s v="Cơm tăng ca"/>
    <s v="Cơm tăng ca"/>
    <s v="Cơm tăng ca"/>
    <s v="Cơm tăng ca"/>
    <m/>
    <m/>
    <s v="Cơm tăng ca"/>
    <s v="Cơm tăng ca"/>
    <s v="Cơm tăng ca"/>
    <s v="Cơm tăng ca"/>
    <m/>
    <m/>
    <m/>
    <s v="Cơm tăng ca"/>
    <s v="Cơm tăng ca"/>
    <s v="Cơm tăng ca"/>
    <n v="16"/>
  </r>
  <r>
    <s v="Active"/>
    <s v="VCV0631"/>
    <s v="Tsằn Ký Deng"/>
    <x v="13"/>
    <s v="PMC - WH"/>
    <s v="Factory"/>
    <m/>
    <m/>
    <m/>
    <m/>
    <m/>
    <s v="Cơm tăng ca"/>
    <m/>
    <m/>
    <s v="Cơm tăng ca"/>
    <m/>
    <m/>
    <s v="Cơm tăng ca"/>
    <m/>
    <m/>
    <m/>
    <m/>
    <m/>
    <m/>
    <m/>
    <m/>
    <m/>
    <m/>
    <m/>
    <s v="Cơm tăng ca"/>
    <m/>
    <m/>
    <m/>
    <m/>
    <m/>
    <s v="Cơm tăng ca"/>
    <m/>
    <s v="Cơm tăng ca"/>
    <n v="6"/>
  </r>
  <r>
    <s v="Active"/>
    <s v="VCV0634"/>
    <s v="Lâm Phát Vạn"/>
    <x v="10"/>
    <s v="Pro - Auto Polishing"/>
    <s v="Factory"/>
    <m/>
    <m/>
    <m/>
    <m/>
    <m/>
    <s v="Cơm tăng ca"/>
    <m/>
    <m/>
    <m/>
    <s v="Cơm tăng ca"/>
    <s v="Cơm tăng ca"/>
    <s v="Cơm tăng ca"/>
    <s v="Cơm tăng ca"/>
    <m/>
    <m/>
    <m/>
    <s v="Cơm tăng ca"/>
    <s v="Cơm tăng ca"/>
    <m/>
    <m/>
    <m/>
    <m/>
    <m/>
    <s v="Cơm tăng ca"/>
    <s v="Cơm tăng ca"/>
    <s v="Cơm tăng ca"/>
    <m/>
    <m/>
    <m/>
    <m/>
    <s v="Cơm tăng ca"/>
    <s v="Cơm tăng ca"/>
    <n v="12"/>
  </r>
  <r>
    <s v="Active"/>
    <s v="VCV0638"/>
    <s v="Chương Bích Phượng"/>
    <x v="13"/>
    <s v="PMC - WH"/>
    <s v="Factory"/>
    <m/>
    <m/>
    <m/>
    <m/>
    <m/>
    <s v="Cơm tăng ca"/>
    <m/>
    <m/>
    <m/>
    <m/>
    <m/>
    <s v="Cơm tăng ca"/>
    <m/>
    <m/>
    <m/>
    <m/>
    <m/>
    <m/>
    <m/>
    <m/>
    <m/>
    <m/>
    <m/>
    <m/>
    <m/>
    <m/>
    <m/>
    <m/>
    <m/>
    <m/>
    <m/>
    <m/>
    <n v="2"/>
  </r>
  <r>
    <s v="Active"/>
    <s v="VCV0645"/>
    <s v="Bùi Thị Ngọc Ý"/>
    <x v="0"/>
    <s v="Pro - Packaging"/>
    <s v="Factory"/>
    <m/>
    <m/>
    <m/>
    <m/>
    <m/>
    <s v="Cơm tăng ca"/>
    <m/>
    <m/>
    <s v="Cơm tăng ca"/>
    <s v="Cơm tăng ca"/>
    <s v="Cơm tăng ca"/>
    <s v="Cơm tăng ca"/>
    <s v="Cơm tăng ca"/>
    <m/>
    <m/>
    <s v="Cơm tăng ca"/>
    <s v="Cơm tăng ca"/>
    <s v="Cơm tăng ca"/>
    <s v="Cơm tăng ca"/>
    <m/>
    <m/>
    <m/>
    <s v="Cơm tăng ca"/>
    <s v="Cơm tăng ca"/>
    <s v="Cơm tăng ca"/>
    <s v="Cơm tăng ca"/>
    <m/>
    <m/>
    <m/>
    <s v="Cơm tăng ca"/>
    <s v="Cơm tăng ca"/>
    <m/>
    <n v="16"/>
  </r>
  <r>
    <s v="Active"/>
    <s v="VCV0646"/>
    <s v="Lê Thị Hồng Cẩm"/>
    <x v="0"/>
    <s v="Pro - Packaging"/>
    <s v="Factory"/>
    <m/>
    <m/>
    <m/>
    <m/>
    <m/>
    <s v="Cơm tăng ca"/>
    <m/>
    <m/>
    <s v="Cơm tăng ca"/>
    <s v="Cơm tăng ca"/>
    <s v="Cơm tăng ca"/>
    <m/>
    <s v="Cơm tăng ca"/>
    <m/>
    <m/>
    <s v="Cơm tăng ca"/>
    <s v="Cơm tăng ca"/>
    <s v="Cơm tăng ca"/>
    <s v="Cơm tăng ca"/>
    <m/>
    <m/>
    <m/>
    <s v="Cơm tăng ca"/>
    <s v="Cơm tăng ca"/>
    <s v="Cơm tăng ca"/>
    <s v="Cơm tăng ca"/>
    <m/>
    <m/>
    <m/>
    <s v="Cơm tăng ca"/>
    <m/>
    <s v="Cơm tăng ca"/>
    <n v="15"/>
  </r>
  <r>
    <s v="Active"/>
    <s v="VCV0647"/>
    <s v="Võ Thị Dân"/>
    <x v="0"/>
    <s v="Pro - Packaging"/>
    <s v="Factory"/>
    <m/>
    <m/>
    <m/>
    <m/>
    <m/>
    <s v="Cơm tăng ca"/>
    <m/>
    <m/>
    <s v="Cơm tăng ca"/>
    <s v="Cơm tăng ca"/>
    <s v="Cơm tăng ca"/>
    <m/>
    <s v="Cơm tăng ca"/>
    <m/>
    <m/>
    <s v="Cơm tăng ca"/>
    <s v="Cơm tăng ca"/>
    <s v="Cơm tăng ca"/>
    <s v="Cơm tăng ca"/>
    <s v="Cơm tăng ca"/>
    <m/>
    <m/>
    <s v="Cơm tăng ca"/>
    <s v="Cơm tăng ca"/>
    <s v="Cơm tăng ca"/>
    <s v="Cơm tăng ca"/>
    <s v="Cơm tăng ca"/>
    <m/>
    <m/>
    <s v="Cơm tăng ca"/>
    <s v="Cơm tăng ca"/>
    <s v="Cơm tăng ca"/>
    <n v="18"/>
  </r>
  <r>
    <s v="Active"/>
    <s v="VCV0652"/>
    <s v="Trần Duy Anh"/>
    <x v="13"/>
    <s v="PMC - WH"/>
    <s v="Factory"/>
    <m/>
    <m/>
    <m/>
    <m/>
    <m/>
    <s v="Cơm tăng ca"/>
    <m/>
    <m/>
    <m/>
    <s v="Cơm ca 2"/>
    <s v="Cơm tăng ca"/>
    <s v="Cơm tăng ca"/>
    <m/>
    <m/>
    <m/>
    <m/>
    <s v="Cơm tăng ca"/>
    <s v="Cơm tăng ca"/>
    <m/>
    <m/>
    <m/>
    <m/>
    <s v="Cơm tăng ca"/>
    <m/>
    <s v="Cơm tăng ca"/>
    <m/>
    <m/>
    <m/>
    <m/>
    <s v="Cơm tăng ca"/>
    <s v="Cơm tăng ca"/>
    <s v="Cơm tăng ca"/>
    <n v="11"/>
  </r>
  <r>
    <s v="Active"/>
    <s v="VCV0657"/>
    <s v="Nguyễn Văn Lâm"/>
    <x v="7"/>
    <s v="Pro - CNC"/>
    <s v="Factory"/>
    <m/>
    <m/>
    <s v="Cơm tăng ca"/>
    <m/>
    <m/>
    <s v="Cơm tăng ca"/>
    <s v="Cơm tăng ca"/>
    <m/>
    <m/>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2"/>
  </r>
  <r>
    <s v="Active"/>
    <s v="VCV0660"/>
    <s v="Lương Linh Tý"/>
    <x v="0"/>
    <s v="Pro - Packaging"/>
    <s v="Factory"/>
    <m/>
    <m/>
    <m/>
    <m/>
    <m/>
    <s v="Cơm tăng ca"/>
    <m/>
    <m/>
    <s v="Cơm tăng ca"/>
    <m/>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8"/>
  </r>
  <r>
    <s v="Active"/>
    <s v="VCV0661"/>
    <s v="Âu Thị Thúy Nhi"/>
    <x v="0"/>
    <s v="Pro - Packaging"/>
    <s v="Factory"/>
    <m/>
    <m/>
    <m/>
    <m/>
    <m/>
    <m/>
    <m/>
    <m/>
    <m/>
    <s v="Cơm tăng ca"/>
    <m/>
    <m/>
    <m/>
    <m/>
    <m/>
    <m/>
    <m/>
    <m/>
    <m/>
    <m/>
    <m/>
    <m/>
    <m/>
    <m/>
    <m/>
    <m/>
    <m/>
    <m/>
    <m/>
    <m/>
    <m/>
    <m/>
    <n v="1"/>
  </r>
  <r>
    <s v="Active"/>
    <s v="VCV0662"/>
    <s v="Nguyễn Tấn Anh"/>
    <x v="5"/>
    <s v="Pro - Polishing"/>
    <s v="Factory"/>
    <m/>
    <m/>
    <m/>
    <m/>
    <m/>
    <m/>
    <m/>
    <m/>
    <m/>
    <m/>
    <s v="Cơm ca 2"/>
    <s v="Cơm ca 2"/>
    <m/>
    <s v="Cơm Ca 2"/>
    <m/>
    <m/>
    <s v="Cơm ca 2"/>
    <s v="Cơm ca 2"/>
    <s v="Cơm ca 2"/>
    <m/>
    <m/>
    <m/>
    <m/>
    <m/>
    <m/>
    <m/>
    <m/>
    <m/>
    <m/>
    <m/>
    <m/>
    <s v="Cơm tăng ca"/>
    <n v="7"/>
  </r>
  <r>
    <s v="Active"/>
    <s v="VCV0663"/>
    <s v="Sùng Thị Thúy Loan"/>
    <x v="1"/>
    <s v="Pro - Aging"/>
    <s v="Factory"/>
    <m/>
    <m/>
    <m/>
    <m/>
    <m/>
    <m/>
    <m/>
    <m/>
    <m/>
    <s v="Cơm ca 2"/>
    <m/>
    <m/>
    <m/>
    <m/>
    <m/>
    <m/>
    <s v="Cơm tăng ca"/>
    <s v="Cơm tăng ca"/>
    <s v="Cơm tăng ca"/>
    <m/>
    <m/>
    <m/>
    <s v="Cơm tăng ca"/>
    <s v="Cơm tăng ca"/>
    <s v="Cơm tăng ca"/>
    <s v="Cơm tăng ca"/>
    <m/>
    <m/>
    <m/>
    <s v="Cơm tăng ca"/>
    <s v="Cơm tăng ca"/>
    <m/>
    <n v="10"/>
  </r>
  <r>
    <s v="Active"/>
    <s v="VCV0664"/>
    <s v="Lê Thị Trang"/>
    <x v="1"/>
    <s v="Pro - Aging"/>
    <s v="Factory"/>
    <m/>
    <m/>
    <m/>
    <m/>
    <m/>
    <m/>
    <m/>
    <m/>
    <m/>
    <m/>
    <m/>
    <m/>
    <m/>
    <m/>
    <m/>
    <m/>
    <s v="Cơm tăng ca"/>
    <s v="Cơm tăng ca"/>
    <s v="Cơm tăng ca"/>
    <m/>
    <m/>
    <m/>
    <s v="Cơm tăng ca"/>
    <s v="Cơm tăng ca"/>
    <s v="Cơm tăng ca"/>
    <s v="Cơm tăng ca"/>
    <m/>
    <m/>
    <m/>
    <s v="Cơm tăng ca"/>
    <s v="Cơm tăng ca"/>
    <m/>
    <n v="9"/>
  </r>
  <r>
    <s v="Active"/>
    <s v="VCV0665"/>
    <s v="Huỳnh Bé Gái"/>
    <x v="1"/>
    <s v="Pro - Aging"/>
    <s v="Factory"/>
    <m/>
    <m/>
    <m/>
    <m/>
    <m/>
    <m/>
    <m/>
    <m/>
    <m/>
    <m/>
    <s v="Cơm tăng ca"/>
    <m/>
    <m/>
    <m/>
    <m/>
    <m/>
    <s v="Cơm tăng ca"/>
    <m/>
    <s v="Cơm tăng ca"/>
    <m/>
    <m/>
    <m/>
    <s v="Cơm tăng ca"/>
    <s v="Cơm tăng ca"/>
    <s v="Cơm tăng ca"/>
    <s v="Cơm tăng ca"/>
    <m/>
    <m/>
    <m/>
    <s v="Cơm tăng ca"/>
    <s v="Cơm tăng ca"/>
    <m/>
    <n v="9"/>
  </r>
  <r>
    <s v="Active"/>
    <s v="VCV0666"/>
    <s v="Hoàng Thị Hương"/>
    <x v="1"/>
    <s v="Pro - Aging"/>
    <s v="Factory"/>
    <m/>
    <m/>
    <m/>
    <m/>
    <m/>
    <m/>
    <m/>
    <m/>
    <m/>
    <m/>
    <m/>
    <m/>
    <m/>
    <m/>
    <m/>
    <m/>
    <s v="Cơm tăng ca"/>
    <s v="Cơm tăng ca"/>
    <s v="Cơm tăng ca"/>
    <m/>
    <m/>
    <m/>
    <s v="Cơm tăng ca"/>
    <s v="Cơm tăng ca"/>
    <s v="Cơm tăng ca"/>
    <s v="Cơm tăng ca"/>
    <m/>
    <m/>
    <m/>
    <s v="Cơm tăng ca"/>
    <s v="Cơm tăng ca"/>
    <m/>
    <n v="9"/>
  </r>
  <r>
    <s v="Active"/>
    <s v="VCV0667"/>
    <s v="Nguyễn Thị An"/>
    <x v="1"/>
    <s v="Pro - Aging"/>
    <s v="Factory"/>
    <m/>
    <m/>
    <m/>
    <m/>
    <m/>
    <m/>
    <m/>
    <m/>
    <m/>
    <m/>
    <m/>
    <m/>
    <m/>
    <m/>
    <m/>
    <m/>
    <s v="Cơm tăng ca"/>
    <m/>
    <s v="Cơm tăng ca"/>
    <m/>
    <m/>
    <m/>
    <s v="Cơm tăng ca"/>
    <s v="Cơm tăng ca"/>
    <s v="Cơm tăng ca"/>
    <s v="Cơm tăng ca"/>
    <m/>
    <m/>
    <m/>
    <s v="Cơm tăng ca"/>
    <s v="Cơm tăng ca"/>
    <m/>
    <n v="8"/>
  </r>
  <r>
    <s v="Active"/>
    <s v="VCV0669"/>
    <s v="Lê Ngọc Duyên"/>
    <x v="1"/>
    <s v="Pro - Aging"/>
    <s v="Factory"/>
    <m/>
    <m/>
    <m/>
    <m/>
    <m/>
    <m/>
    <m/>
    <m/>
    <m/>
    <m/>
    <m/>
    <m/>
    <m/>
    <m/>
    <m/>
    <m/>
    <s v="Cơm tăng ca"/>
    <s v="Cơm tăng ca"/>
    <s v="Cơm tăng ca"/>
    <m/>
    <m/>
    <m/>
    <s v="Cơm tăng ca"/>
    <s v="Cơm tăng ca"/>
    <s v="Cơm tăng ca"/>
    <s v="Cơm tăng ca"/>
    <m/>
    <m/>
    <m/>
    <s v="Cơm tăng ca"/>
    <s v="Cơm tăng ca"/>
    <m/>
    <n v="9"/>
  </r>
  <r>
    <s v="Active"/>
    <s v="VCV0671"/>
    <s v="Nguyễn Thị Diễm"/>
    <x v="1"/>
    <s v="Pro - Aging"/>
    <s v="Factory"/>
    <m/>
    <m/>
    <m/>
    <m/>
    <m/>
    <m/>
    <m/>
    <m/>
    <m/>
    <m/>
    <m/>
    <m/>
    <m/>
    <m/>
    <m/>
    <m/>
    <s v="Cơm tăng ca"/>
    <s v="Cơm tăng ca"/>
    <s v="Cơm tăng ca"/>
    <m/>
    <m/>
    <m/>
    <s v="Cơm tăng ca"/>
    <s v="Cơm tăng ca"/>
    <s v="Cơm tăng ca"/>
    <s v="Cơm tăng ca"/>
    <m/>
    <m/>
    <m/>
    <s v="Cơm tăng ca"/>
    <s v="Cơm tăng ca"/>
    <m/>
    <n v="9"/>
  </r>
  <r>
    <s v="Active"/>
    <s v="VCV0672"/>
    <s v="Phan Thị Ngọc Mai"/>
    <x v="1"/>
    <s v="Pro - Aging"/>
    <s v="Factory"/>
    <m/>
    <m/>
    <m/>
    <m/>
    <m/>
    <s v="Cơm tăng ca"/>
    <m/>
    <m/>
    <s v="Cơm tăng ca"/>
    <m/>
    <m/>
    <m/>
    <m/>
    <m/>
    <m/>
    <m/>
    <m/>
    <s v="Cơm tăng ca"/>
    <s v="Cơm tăng ca"/>
    <s v="Cơm tăng ca"/>
    <m/>
    <m/>
    <s v="Cơm tăng ca"/>
    <s v="Cơm tăng ca"/>
    <s v="Cơm tăng ca"/>
    <s v="Cơm tăng ca"/>
    <m/>
    <m/>
    <m/>
    <s v="Cơm tăng ca"/>
    <s v="Cơm tăng ca"/>
    <m/>
    <n v="11"/>
  </r>
  <r>
    <s v="Active"/>
    <s v="VCV0673"/>
    <s v="Thị Vượng"/>
    <x v="1"/>
    <s v="Pro - Aging"/>
    <s v="Factory"/>
    <m/>
    <m/>
    <m/>
    <m/>
    <m/>
    <m/>
    <m/>
    <m/>
    <m/>
    <m/>
    <m/>
    <m/>
    <m/>
    <m/>
    <m/>
    <m/>
    <s v="Cơm tăng ca"/>
    <s v="Cơm tăng ca"/>
    <s v="Cơm tăng ca"/>
    <m/>
    <m/>
    <m/>
    <s v="Cơm tăng ca"/>
    <s v="Cơm tăng ca"/>
    <s v="Cơm tăng ca"/>
    <s v="Cơm tăng ca"/>
    <m/>
    <m/>
    <m/>
    <s v="Cơm tăng ca"/>
    <s v="Cơm tăng ca"/>
    <m/>
    <n v="9"/>
  </r>
  <r>
    <s v="Active"/>
    <s v="VCV0674"/>
    <s v="Dương Thị Xum"/>
    <x v="1"/>
    <s v="Pro - Aging"/>
    <s v="Factory"/>
    <m/>
    <m/>
    <m/>
    <m/>
    <m/>
    <m/>
    <m/>
    <m/>
    <m/>
    <m/>
    <m/>
    <m/>
    <m/>
    <m/>
    <m/>
    <m/>
    <s v="Cơm tăng ca"/>
    <s v="Cơm tăng ca"/>
    <s v="Cơm tăng ca"/>
    <m/>
    <m/>
    <m/>
    <s v="Cơm tăng ca"/>
    <s v="Cơm tăng ca"/>
    <s v="Cơm tăng ca"/>
    <s v="Cơm tăng ca"/>
    <m/>
    <m/>
    <m/>
    <s v="Cơm tăng ca"/>
    <s v="Cơm tăng ca"/>
    <m/>
    <n v="9"/>
  </r>
  <r>
    <s v="Active"/>
    <s v="VCV0675"/>
    <s v="Nguyễn Thị Diễm"/>
    <x v="1"/>
    <s v="Pro - Aging"/>
    <s v="Factory"/>
    <m/>
    <m/>
    <m/>
    <m/>
    <m/>
    <m/>
    <m/>
    <m/>
    <m/>
    <m/>
    <m/>
    <m/>
    <m/>
    <m/>
    <m/>
    <m/>
    <s v="Cơm tăng ca"/>
    <s v="Cơm tăng ca"/>
    <s v="Cơm tăng ca"/>
    <m/>
    <m/>
    <m/>
    <s v="Cơm tăng ca"/>
    <s v="Cơm tăng ca"/>
    <s v="Cơm tăng ca"/>
    <s v="Cơm tăng ca"/>
    <m/>
    <m/>
    <m/>
    <s v="Cơm tăng ca"/>
    <s v="Cơm tăng ca"/>
    <m/>
    <n v="9"/>
  </r>
  <r>
    <s v="Active"/>
    <s v="VCV0676"/>
    <s v="Phạm Thị Hạnh"/>
    <x v="1"/>
    <s v="Pro - Aging"/>
    <s v="Factory"/>
    <m/>
    <m/>
    <m/>
    <m/>
    <m/>
    <m/>
    <m/>
    <m/>
    <m/>
    <m/>
    <m/>
    <m/>
    <m/>
    <m/>
    <m/>
    <m/>
    <s v="Cơm tăng ca"/>
    <s v="Cơm tăng ca"/>
    <s v="Cơm tăng ca"/>
    <m/>
    <m/>
    <m/>
    <s v="Cơm tăng ca"/>
    <s v="Cơm tăng ca"/>
    <s v="Cơm tăng ca"/>
    <m/>
    <m/>
    <m/>
    <m/>
    <m/>
    <s v="Cơm tăng ca"/>
    <m/>
    <n v="7"/>
  </r>
  <r>
    <s v="Active"/>
    <s v="VCV0677"/>
    <s v="Phạm Thị Hợp"/>
    <x v="1"/>
    <s v="Pro - Aging"/>
    <s v="Factory"/>
    <m/>
    <m/>
    <m/>
    <m/>
    <m/>
    <m/>
    <m/>
    <m/>
    <m/>
    <m/>
    <s v="Cơm tăng ca"/>
    <m/>
    <m/>
    <m/>
    <m/>
    <m/>
    <s v="Cơm tăng ca"/>
    <s v="Cơm tăng ca"/>
    <s v="Cơm tăng ca"/>
    <m/>
    <m/>
    <m/>
    <s v="Cơm tăng ca"/>
    <s v="Cơm tăng ca"/>
    <s v="Cơm tăng ca"/>
    <s v="Cơm tăng ca"/>
    <m/>
    <m/>
    <m/>
    <s v="Cơm tăng ca"/>
    <s v="Cơm tăng ca"/>
    <m/>
    <n v="10"/>
  </r>
  <r>
    <s v="Active"/>
    <s v="VCV0678"/>
    <s v="Lê Văn Tèo"/>
    <x v="1"/>
    <s v="Pro - Aging"/>
    <s v="Factory"/>
    <m/>
    <m/>
    <m/>
    <m/>
    <m/>
    <m/>
    <m/>
    <m/>
    <m/>
    <m/>
    <m/>
    <m/>
    <m/>
    <m/>
    <m/>
    <m/>
    <s v="Cơm tăng ca"/>
    <s v="Cơm tăng ca"/>
    <s v="Cơm tăng ca"/>
    <m/>
    <m/>
    <m/>
    <s v="Cơm tăng ca"/>
    <s v="Cơm tăng ca"/>
    <s v="Cơm tăng ca"/>
    <s v="Cơm tăng ca"/>
    <m/>
    <m/>
    <m/>
    <m/>
    <s v="Cơm tăng ca"/>
    <m/>
    <n v="8"/>
  </r>
  <r>
    <s v="Active"/>
    <s v="VCV0679"/>
    <s v="Đinh Văn Quang"/>
    <x v="1"/>
    <s v="Pro - Aging"/>
    <s v="Factory"/>
    <m/>
    <m/>
    <m/>
    <m/>
    <m/>
    <m/>
    <m/>
    <m/>
    <m/>
    <m/>
    <m/>
    <m/>
    <m/>
    <m/>
    <m/>
    <m/>
    <m/>
    <s v="Cơm tăng ca"/>
    <s v="Cơm tăng ca"/>
    <m/>
    <m/>
    <m/>
    <s v="Cơm tăng ca"/>
    <s v="Cơm tăng ca"/>
    <s v="Cơm tăng ca"/>
    <s v="Cơm tăng ca"/>
    <m/>
    <m/>
    <m/>
    <m/>
    <s v="Cơm tăng ca"/>
    <m/>
    <n v="7"/>
  </r>
  <r>
    <s v="Active"/>
    <s v="VCV0682"/>
    <s v="Lê Triệu Vy"/>
    <x v="1"/>
    <s v="Pro - Aging"/>
    <s v="Factory"/>
    <m/>
    <m/>
    <m/>
    <m/>
    <m/>
    <s v="Cơm tăng ca"/>
    <m/>
    <m/>
    <s v="Cơm tăng ca"/>
    <m/>
    <s v="Cơm tăng ca"/>
    <s v="Cơm tăng ca"/>
    <s v="Cơm tăng ca"/>
    <m/>
    <m/>
    <s v="Cơm tăng ca"/>
    <s v="Cơm tăng ca"/>
    <s v="Cơm tăng ca"/>
    <s v="Cơm tăng ca"/>
    <s v="Cơm tăng ca"/>
    <m/>
    <m/>
    <s v="Cơm tăng ca"/>
    <s v="Cơm tăng ca"/>
    <s v="Cơm tăng ca"/>
    <m/>
    <s v="Cơm tăng ca"/>
    <m/>
    <m/>
    <s v="Cơm tăng ca"/>
    <s v="Cơm tăng ca"/>
    <s v="Cơm tăng ca"/>
    <n v="17"/>
  </r>
  <r>
    <s v="Active"/>
    <s v="VCV0683"/>
    <s v="Ká Ngọc"/>
    <x v="1"/>
    <s v="Pro - Aging"/>
    <s v="Factory"/>
    <m/>
    <m/>
    <m/>
    <m/>
    <m/>
    <m/>
    <m/>
    <m/>
    <m/>
    <s v="Cơm tăng ca"/>
    <m/>
    <m/>
    <m/>
    <m/>
    <m/>
    <m/>
    <m/>
    <m/>
    <m/>
    <m/>
    <m/>
    <m/>
    <m/>
    <m/>
    <m/>
    <m/>
    <m/>
    <m/>
    <m/>
    <m/>
    <m/>
    <m/>
    <n v="1"/>
  </r>
  <r>
    <s v="Active"/>
    <s v="VCV0684"/>
    <s v="Trương Mỹ Lan"/>
    <x v="1"/>
    <s v="Pro - Aging"/>
    <s v="Factory"/>
    <m/>
    <m/>
    <m/>
    <m/>
    <m/>
    <s v="Cơm tăng ca"/>
    <m/>
    <m/>
    <s v="Cơm tăng ca"/>
    <m/>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8"/>
  </r>
  <r>
    <s v="Active"/>
    <s v="VCV0685"/>
    <s v="Phún Nhật Chấn"/>
    <x v="1"/>
    <s v="Pro - Aging"/>
    <s v="Factory"/>
    <m/>
    <m/>
    <m/>
    <m/>
    <m/>
    <s v="Cơm tăng ca"/>
    <m/>
    <m/>
    <s v="Cơm tăng ca"/>
    <s v="Cơm tăng ca"/>
    <s v="Cơm tăng ca"/>
    <s v="Cơm tăng ca"/>
    <s v="Cơm tăng ca"/>
    <m/>
    <m/>
    <s v="Cơm tăng ca"/>
    <s v="Cơm tăng ca"/>
    <s v="Cơm tăng ca"/>
    <s v="Cơm tăng ca"/>
    <s v="Cơm tăng ca"/>
    <m/>
    <m/>
    <s v="Cơm tăng ca"/>
    <s v="Cơm tăng ca"/>
    <s v="Cơm tăng ca"/>
    <m/>
    <s v="Cơm tăng ca"/>
    <m/>
    <m/>
    <s v="Cơm tăng ca"/>
    <m/>
    <s v="Cơm tăng ca"/>
    <n v="17"/>
  </r>
  <r>
    <s v="Active"/>
    <s v="VCV0686"/>
    <s v="Hoàng Ngọc Hưng"/>
    <x v="0"/>
    <s v="Pro - Packaging"/>
    <s v="Factory"/>
    <m/>
    <m/>
    <m/>
    <m/>
    <m/>
    <m/>
    <m/>
    <m/>
    <m/>
    <s v="Cơm tăng ca"/>
    <m/>
    <m/>
    <m/>
    <m/>
    <m/>
    <m/>
    <m/>
    <m/>
    <m/>
    <m/>
    <m/>
    <m/>
    <m/>
    <m/>
    <m/>
    <m/>
    <m/>
    <m/>
    <m/>
    <m/>
    <m/>
    <m/>
    <n v="1"/>
  </r>
  <r>
    <s v="Active"/>
    <s v="VCV0689"/>
    <s v="Lê Bảo Ngọc"/>
    <x v="0"/>
    <s v="Pro - Packaging"/>
    <s v="Factory"/>
    <m/>
    <m/>
    <m/>
    <m/>
    <m/>
    <s v="Cơm tăng ca"/>
    <m/>
    <m/>
    <s v="Cơm tăng ca"/>
    <m/>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8"/>
  </r>
  <r>
    <s v="Active"/>
    <s v="VCV0692"/>
    <s v="LiYong"/>
    <x v="0"/>
    <s v="Pro - Packaging"/>
    <s v="Factory"/>
    <m/>
    <m/>
    <m/>
    <m/>
    <m/>
    <m/>
    <m/>
    <m/>
    <m/>
    <s v="Cơm tăng ca"/>
    <m/>
    <m/>
    <m/>
    <m/>
    <m/>
    <m/>
    <m/>
    <m/>
    <m/>
    <m/>
    <m/>
    <m/>
    <m/>
    <m/>
    <m/>
    <m/>
    <m/>
    <m/>
    <m/>
    <m/>
    <m/>
    <m/>
    <n v="1"/>
  </r>
  <r>
    <s v="Active"/>
    <s v="VCV0702"/>
    <s v="Phạm Thanh Minh"/>
    <x v="0"/>
    <s v="Pro - Packaging"/>
    <s v="Factory"/>
    <m/>
    <m/>
    <m/>
    <m/>
    <m/>
    <s v="Cơm tăng ca"/>
    <m/>
    <m/>
    <s v="Cơm tăng ca"/>
    <m/>
    <s v="Cơm tăng ca"/>
    <m/>
    <s v="Cơm tăng ca"/>
    <m/>
    <m/>
    <s v="Cơm tăng ca"/>
    <s v="Cơm tăng ca"/>
    <s v="Cơm tăng ca"/>
    <s v="Cơm tăng ca"/>
    <s v="Cơm tăng ca"/>
    <m/>
    <m/>
    <s v="Cơm tăng ca"/>
    <s v="Cơm tăng ca"/>
    <s v="Cơm tăng ca"/>
    <s v="Cơm tăng ca"/>
    <s v="Cơm tăng ca"/>
    <m/>
    <m/>
    <s v="Cơm tăng ca"/>
    <s v="Cơm tăng ca"/>
    <s v="Cơm tăng ca"/>
    <n v="17"/>
  </r>
  <r>
    <s v="Active"/>
    <s v="VCV0703"/>
    <s v="Trần Hùng Vương"/>
    <x v="9"/>
    <s v="Pro - Manual Lathe"/>
    <s v="Factory"/>
    <m/>
    <m/>
    <m/>
    <m/>
    <m/>
    <s v="Cơm tăng ca"/>
    <m/>
    <m/>
    <s v="Cơm tăng ca"/>
    <s v="Cơm tăng ca"/>
    <m/>
    <s v="Cơm tăng ca"/>
    <m/>
    <m/>
    <m/>
    <s v="Cơm tăng ca"/>
    <s v="Cơm tăng ca"/>
    <m/>
    <s v="Cơm tăng ca"/>
    <s v="Cơm tăng ca"/>
    <m/>
    <m/>
    <s v="Cơm tăng ca"/>
    <m/>
    <s v="Cơm tăng ca"/>
    <s v="Cơm tăng ca"/>
    <m/>
    <m/>
    <m/>
    <s v="Cơm tăng ca"/>
    <m/>
    <s v="Cơm tăng ca"/>
    <n v="13"/>
  </r>
  <r>
    <s v="Active"/>
    <s v="VCV0705"/>
    <s v="Phạm Tiến Đạt"/>
    <x v="0"/>
    <s v="Pro - Packaging"/>
    <s v="Factory"/>
    <m/>
    <m/>
    <m/>
    <m/>
    <m/>
    <s v="Cơm tăng ca"/>
    <m/>
    <m/>
    <s v="Cơm tăng ca"/>
    <m/>
    <s v="Cơm tăng ca"/>
    <s v="Cơm tăng ca"/>
    <s v="Cơm tăng ca"/>
    <m/>
    <m/>
    <s v="Cơm tăng ca"/>
    <s v="Cơm tăng ca"/>
    <s v="Cơm tăng ca"/>
    <s v="Cơm tăng ca"/>
    <s v="Cơm tăng ca"/>
    <m/>
    <m/>
    <s v="Cơm tăng ca"/>
    <s v="Cơm tăng ca"/>
    <s v="Cơm tăng ca"/>
    <s v="Cơm tăng ca"/>
    <m/>
    <m/>
    <m/>
    <s v="Cơm tăng ca"/>
    <s v="Cơm tăng ca"/>
    <s v="Cơm tăng ca"/>
    <n v="17"/>
  </r>
  <r>
    <s v="Active"/>
    <s v="VCV0706"/>
    <s v="Nguyễn Thiện Nhân"/>
    <x v="0"/>
    <s v="Pro - Packaging"/>
    <s v="Factory"/>
    <m/>
    <m/>
    <m/>
    <m/>
    <m/>
    <m/>
    <m/>
    <m/>
    <m/>
    <s v="Cơm tăng ca"/>
    <m/>
    <m/>
    <m/>
    <m/>
    <m/>
    <m/>
    <m/>
    <m/>
    <m/>
    <m/>
    <m/>
    <m/>
    <m/>
    <m/>
    <m/>
    <m/>
    <m/>
    <m/>
    <m/>
    <m/>
    <m/>
    <m/>
    <n v="1"/>
  </r>
  <r>
    <s v="Active"/>
    <s v="VCV0708"/>
    <s v="Nguyễn Văn Linh"/>
    <x v="0"/>
    <s v="Pro - Packaging"/>
    <s v="Factory"/>
    <m/>
    <m/>
    <m/>
    <m/>
    <m/>
    <s v="Cơm tăng ca"/>
    <m/>
    <m/>
    <s v="Cơm tăng ca"/>
    <m/>
    <m/>
    <s v="Cơm tăng ca"/>
    <s v="Cơm tăng ca"/>
    <m/>
    <m/>
    <s v="Cơm tăng ca"/>
    <s v="Cơm tăng ca"/>
    <s v="Cơm tăng ca"/>
    <s v="Cơm tăng ca"/>
    <s v="Cơm tăng ca"/>
    <m/>
    <m/>
    <s v="Cơm tăng ca"/>
    <s v="Cơm tăng ca"/>
    <s v="Cơm tăng ca"/>
    <m/>
    <s v="Cơm tăng ca"/>
    <m/>
    <m/>
    <m/>
    <m/>
    <m/>
    <n v="13"/>
  </r>
  <r>
    <s v="Active"/>
    <s v="VCV0709"/>
    <s v="Trần Văn Hiển"/>
    <x v="14"/>
    <s v="Pro - Gold Applying"/>
    <s v="Factory"/>
    <m/>
    <m/>
    <m/>
    <m/>
    <m/>
    <m/>
    <m/>
    <m/>
    <m/>
    <s v="Cơm tăng ca"/>
    <m/>
    <m/>
    <m/>
    <m/>
    <m/>
    <m/>
    <m/>
    <m/>
    <m/>
    <m/>
    <m/>
    <m/>
    <m/>
    <m/>
    <m/>
    <m/>
    <m/>
    <m/>
    <m/>
    <m/>
    <m/>
    <m/>
    <n v="1"/>
  </r>
  <r>
    <s v="Active"/>
    <s v="VCV0723"/>
    <s v="Ân Lâm Mỹ Huyền"/>
    <x v="0"/>
    <s v="Pro - Packaging"/>
    <s v="Factory"/>
    <m/>
    <m/>
    <m/>
    <m/>
    <m/>
    <s v="Cơm tăng ca"/>
    <m/>
    <m/>
    <s v="Cơm tăng ca"/>
    <m/>
    <s v="Cơm tăng ca"/>
    <m/>
    <s v="Cơm tăng ca"/>
    <m/>
    <m/>
    <s v="Cơm tăng ca"/>
    <s v="Cơm tăng ca"/>
    <m/>
    <s v="Cơm tăng ca"/>
    <s v="Cơm tăng ca"/>
    <m/>
    <m/>
    <s v="Cơm tăng ca"/>
    <m/>
    <m/>
    <s v="Cơm tăng ca"/>
    <m/>
    <m/>
    <m/>
    <s v="Cơm tăng ca"/>
    <s v="Cơm tăng ca"/>
    <s v="Cơm tăng ca"/>
    <n v="13"/>
  </r>
  <r>
    <s v="Active"/>
    <s v="VCV0724"/>
    <s v="Lê Hồ Thị Hồng Phấn"/>
    <x v="0"/>
    <s v="Pro - Packaging"/>
    <s v="Factory"/>
    <m/>
    <m/>
    <m/>
    <m/>
    <m/>
    <s v="Cơm tăng ca"/>
    <m/>
    <m/>
    <s v="Cơm tăng ca"/>
    <s v="Cơm tăng ca"/>
    <s v="Cơm tăng ca"/>
    <m/>
    <s v="Cơm tăng ca"/>
    <m/>
    <m/>
    <s v="Cơm tăng ca"/>
    <s v="Cơm tăng ca"/>
    <s v="Cơm tăng ca"/>
    <s v="Cơm tăng ca"/>
    <s v="Cơm tăng ca"/>
    <m/>
    <m/>
    <s v="Cơm tăng ca"/>
    <s v="Cơm tăng ca"/>
    <s v="Cơm tăng ca"/>
    <s v="Cơm tăng ca"/>
    <s v="Cơm tăng ca"/>
    <m/>
    <m/>
    <s v="Cơm tăng ca"/>
    <s v="Cơm tăng ca"/>
    <s v="Cơm tăng ca"/>
    <n v="18"/>
  </r>
  <r>
    <s v="Active"/>
    <s v="VCV0726"/>
    <s v="Hồ Thanh Tuấn"/>
    <x v="10"/>
    <s v="Pro - Auto Polishing"/>
    <s v="Factory"/>
    <m/>
    <m/>
    <m/>
    <m/>
    <m/>
    <m/>
    <m/>
    <m/>
    <m/>
    <s v="Cơm tăng ca"/>
    <s v="Cơm tăng ca"/>
    <s v="Cơm tăng ca"/>
    <s v="Cơm tăng ca"/>
    <m/>
    <m/>
    <m/>
    <s v="Cơm tăng ca"/>
    <m/>
    <m/>
    <m/>
    <m/>
    <m/>
    <m/>
    <m/>
    <m/>
    <m/>
    <m/>
    <m/>
    <m/>
    <m/>
    <s v="Cơm tăng ca"/>
    <s v="Cơm tăng ca"/>
    <n v="7"/>
  </r>
  <r>
    <s v="Active"/>
    <s v="VCV0728"/>
    <s v="Trịnh Thị Thái Hiền"/>
    <x v="2"/>
    <s v="Pro - Painting"/>
    <s v="Factory"/>
    <m/>
    <m/>
    <m/>
    <m/>
    <m/>
    <m/>
    <m/>
    <m/>
    <m/>
    <s v="Cơm tăng ca"/>
    <m/>
    <m/>
    <m/>
    <m/>
    <m/>
    <m/>
    <m/>
    <m/>
    <s v="Cơm tăng ca"/>
    <s v="Cơm tăng ca"/>
    <m/>
    <m/>
    <s v="Cơm tăng ca"/>
    <s v="Cơm tăng ca"/>
    <s v="Cơm tăng ca"/>
    <s v="Cơm tăng ca"/>
    <m/>
    <m/>
    <m/>
    <s v="Cơm tăng ca"/>
    <s v="Cơm tăng ca"/>
    <m/>
    <n v="9"/>
  </r>
  <r>
    <s v="Active"/>
    <s v="VCV0729"/>
    <s v="Dương Thị Ngọc Loan"/>
    <x v="2"/>
    <s v="Pro - Painting"/>
    <s v="Factory"/>
    <m/>
    <m/>
    <m/>
    <m/>
    <m/>
    <s v="Cơm tăng ca"/>
    <m/>
    <m/>
    <s v="Cơm tăng ca"/>
    <m/>
    <m/>
    <m/>
    <m/>
    <m/>
    <m/>
    <m/>
    <m/>
    <s v="Cơm tăng ca"/>
    <s v="Cơm tăng ca"/>
    <s v="Cơm tăng ca"/>
    <m/>
    <m/>
    <s v="Cơm tăng ca"/>
    <s v="Cơm tăng ca"/>
    <s v="Cơm tăng ca"/>
    <s v="Cơm tăng ca"/>
    <m/>
    <m/>
    <m/>
    <s v="Cơm tăng ca"/>
    <s v="Cơm tăng ca"/>
    <m/>
    <n v="11"/>
  </r>
  <r>
    <s v="Active"/>
    <m/>
    <s v="Sercurity"/>
    <x v="15"/>
    <s v="SubContractor"/>
    <s v="Factory"/>
    <m/>
    <m/>
    <s v="Cơm ca 2"/>
    <m/>
    <m/>
    <s v="Cơm ca 2"/>
    <s v="Cơm ca 2"/>
    <m/>
    <s v="Cơm ca 2"/>
    <m/>
    <s v="Cơm ca 2"/>
    <s v="Cơm ca 2"/>
    <s v="Cơm ca 2"/>
    <s v="Cơm Ca 2"/>
    <m/>
    <s v="Cơm ca 2"/>
    <s v="Cơm ca 2"/>
    <s v="Cơm ca 2"/>
    <s v="Cơm ca 2"/>
    <s v="Cơm ca 2"/>
    <s v="Cơm ca 2"/>
    <m/>
    <s v="Cơm ca 2"/>
    <s v="Cơm ca 2"/>
    <s v="Cơm ca 2"/>
    <s v="Cơm ca 2"/>
    <s v="Cơm ca 2"/>
    <s v="Cơm ca 2"/>
    <m/>
    <s v="Cơm ca 2"/>
    <s v="Cơm ca 2"/>
    <s v="Cơm ca 2"/>
    <n v="23"/>
  </r>
  <r>
    <s v="Active"/>
    <m/>
    <s v="Sercurity"/>
    <x v="15"/>
    <s v="SubContractor"/>
    <s v="Factory"/>
    <m/>
    <m/>
    <s v="Cơm ca 2"/>
    <m/>
    <m/>
    <s v="Cơm ca 2"/>
    <s v="Cơm ca 2"/>
    <m/>
    <s v="Cơm ca 2"/>
    <s v="Cơm ca 2"/>
    <s v="Cơm ca 2"/>
    <s v="Cơm ca 2"/>
    <s v="Cơm ca 2"/>
    <s v="Cơm Ca 2"/>
    <m/>
    <s v="Cơm ca 2"/>
    <s v="Cơm ca 2"/>
    <s v="Cơm ca 2"/>
    <s v="Cơm ca 2"/>
    <s v="Cơm ca 2"/>
    <s v="Cơm ca 2"/>
    <m/>
    <s v="Cơm ca 2"/>
    <s v="Cơm ca 2"/>
    <s v="Cơm ca 2"/>
    <s v="Cơm ca 2"/>
    <s v="Cơm ca 2"/>
    <s v="Cơm ca 2"/>
    <m/>
    <s v="Cơm ca 2"/>
    <s v="Cơm ca 2"/>
    <s v="Cơm ca 2"/>
    <n v="24"/>
  </r>
  <r>
    <s v="Active"/>
    <s v="VCV0383"/>
    <s v="Ká Hoan"/>
    <x v="8"/>
    <s v="PMC - Quality"/>
    <s v="Factory"/>
    <m/>
    <m/>
    <m/>
    <m/>
    <m/>
    <m/>
    <m/>
    <m/>
    <m/>
    <s v="Cơm tăng ca"/>
    <m/>
    <m/>
    <m/>
    <m/>
    <m/>
    <m/>
    <s v="Cơm tăng ca"/>
    <s v="Cơm tăng ca"/>
    <s v="Cơm tăng ca"/>
    <m/>
    <m/>
    <m/>
    <s v="Cơm tăng ca"/>
    <s v="Cơm tăng ca"/>
    <s v="Cơm tăng ca"/>
    <m/>
    <m/>
    <m/>
    <m/>
    <s v="Cơm tăng ca"/>
    <m/>
    <m/>
    <n v="8"/>
  </r>
  <r>
    <s v="Active"/>
    <s v="VCV0696"/>
    <s v="Nguyễn Quang Khải"/>
    <x v="0"/>
    <s v="Pro - Packaging"/>
    <s v="Factory"/>
    <m/>
    <m/>
    <m/>
    <m/>
    <m/>
    <s v="Cơm tăng ca"/>
    <m/>
    <m/>
    <s v="Cơm tăng ca"/>
    <m/>
    <s v="Cơm tăng ca"/>
    <s v="Cơm tăng ca"/>
    <s v="Cơm tăng ca"/>
    <m/>
    <m/>
    <s v="Cơm tăng ca"/>
    <s v="Cơm tăng ca"/>
    <s v="Cơm tăng ca"/>
    <s v="Cơm tăng ca"/>
    <s v="Cơm tăng ca"/>
    <m/>
    <m/>
    <s v="Cơm tăng ca"/>
    <s v="Cơm tăng ca"/>
    <s v="Cơm tăng ca"/>
    <m/>
    <s v="Cơm tăng ca"/>
    <m/>
    <m/>
    <s v="Cơm tăng ca"/>
    <s v="Cơm tăng ca"/>
    <s v="Cơm tăng ca"/>
    <n v="17"/>
  </r>
  <r>
    <s v="Active"/>
    <s v="VCV0738"/>
    <s v="Hoàng Duy Khánh"/>
    <x v="0"/>
    <s v="Pro - Packaging"/>
    <s v="Factory"/>
    <m/>
    <m/>
    <m/>
    <m/>
    <m/>
    <m/>
    <m/>
    <m/>
    <m/>
    <s v="Cơm tăng ca"/>
    <m/>
    <m/>
    <m/>
    <m/>
    <m/>
    <m/>
    <m/>
    <m/>
    <m/>
    <m/>
    <m/>
    <m/>
    <m/>
    <m/>
    <m/>
    <m/>
    <m/>
    <m/>
    <m/>
    <m/>
    <m/>
    <m/>
    <n v="1"/>
  </r>
  <r>
    <s v="Active"/>
    <s v="VCV0555"/>
    <s v="Nguyễn Minh Thi"/>
    <x v="11"/>
    <s v="Pro - Data"/>
    <s v="Factory"/>
    <m/>
    <m/>
    <m/>
    <m/>
    <m/>
    <m/>
    <m/>
    <m/>
    <m/>
    <m/>
    <m/>
    <m/>
    <m/>
    <m/>
    <m/>
    <m/>
    <s v="Cơm tăng ca"/>
    <s v="Cơm tăng ca"/>
    <s v="Cơm tăng ca"/>
    <m/>
    <m/>
    <m/>
    <s v="Cơm tăng ca"/>
    <s v="Cơm tăng ca"/>
    <s v="Cơm tăng ca"/>
    <s v="Cơm tăng ca"/>
    <m/>
    <s v="Cơm ca 2"/>
    <m/>
    <s v="Cơm tăng ca"/>
    <s v="Cơm tăng ca"/>
    <m/>
    <n v="10"/>
  </r>
  <r>
    <s v="Active"/>
    <s v="VCV0033"/>
    <s v="Nguyễn Phương Thanh"/>
    <x v="2"/>
    <s v="Pro - Aging"/>
    <s v="Factory"/>
    <m/>
    <m/>
    <m/>
    <m/>
    <m/>
    <m/>
    <m/>
    <m/>
    <m/>
    <m/>
    <m/>
    <m/>
    <m/>
    <m/>
    <m/>
    <m/>
    <s v="Cơm tăng ca"/>
    <s v="Cơm tăng ca"/>
    <s v="Cơm tăng ca"/>
    <m/>
    <m/>
    <m/>
    <s v="Cơm tăng ca"/>
    <s v="Cơm tăng ca"/>
    <s v="Cơm tăng ca"/>
    <s v="Cơm tăng ca"/>
    <m/>
    <m/>
    <m/>
    <s v="Cơm tăng ca"/>
    <s v="Cơm tăng ca"/>
    <m/>
    <n v="9"/>
  </r>
  <r>
    <s v="Active"/>
    <s v="VCV0137"/>
    <s v="Kim Thanh Hiệp"/>
    <x v="1"/>
    <s v="Pro - Aging"/>
    <s v="Factory"/>
    <m/>
    <m/>
    <m/>
    <m/>
    <m/>
    <m/>
    <m/>
    <m/>
    <m/>
    <m/>
    <m/>
    <m/>
    <m/>
    <m/>
    <m/>
    <m/>
    <s v="Cơm tăng ca"/>
    <s v="Cơm tăng ca"/>
    <s v="Cơm tăng ca"/>
    <m/>
    <m/>
    <m/>
    <s v="Cơm tăng ca"/>
    <s v="Cơm tăng ca"/>
    <s v="Cơm tăng ca"/>
    <s v="Cơm tăng ca"/>
    <m/>
    <m/>
    <m/>
    <s v="Cơm tăng ca"/>
    <s v="Cơm tăng ca"/>
    <m/>
    <n v="9"/>
  </r>
  <r>
    <s v="Active"/>
    <s v="VCV0295"/>
    <s v="Trần Thị Mỹ Tuyền"/>
    <x v="1"/>
    <s v="Pro - Aging"/>
    <s v="Factory"/>
    <m/>
    <m/>
    <m/>
    <m/>
    <m/>
    <m/>
    <m/>
    <m/>
    <m/>
    <m/>
    <m/>
    <m/>
    <m/>
    <m/>
    <m/>
    <m/>
    <s v="Cơm tăng ca"/>
    <s v="Cơm tăng ca"/>
    <s v="Cơm tăng ca"/>
    <m/>
    <m/>
    <m/>
    <s v="Cơm tăng ca"/>
    <s v="Cơm tăng ca"/>
    <s v="Cơm tăng ca"/>
    <s v="Cơm tăng ca"/>
    <m/>
    <m/>
    <m/>
    <s v="Cơm tăng ca"/>
    <s v="Cơm tăng ca"/>
    <m/>
    <n v="9"/>
  </r>
  <r>
    <s v="Active"/>
    <s v="VCV0668"/>
    <s v="Nguyễn Thị Vân"/>
    <x v="1"/>
    <s v="Pro - Aging"/>
    <s v="Factory"/>
    <m/>
    <m/>
    <m/>
    <m/>
    <m/>
    <m/>
    <m/>
    <m/>
    <m/>
    <m/>
    <m/>
    <m/>
    <m/>
    <m/>
    <m/>
    <m/>
    <s v="Cơm tăng ca"/>
    <s v="Cơm tăng ca"/>
    <s v="Cơm tăng ca"/>
    <m/>
    <m/>
    <m/>
    <s v="Cơm tăng ca"/>
    <s v="Cơm tăng ca"/>
    <s v="Cơm tăng ca"/>
    <s v="Cơm tăng ca"/>
    <m/>
    <m/>
    <m/>
    <s v="Cơm tăng ca"/>
    <s v="Cơm tăng ca"/>
    <m/>
    <n v="9"/>
  </r>
  <r>
    <s v="Active"/>
    <s v="VCV0168"/>
    <s v="Lê Thị Thu Thủy"/>
    <x v="1"/>
    <s v="Pro - Aging"/>
    <s v="Factory"/>
    <m/>
    <m/>
    <m/>
    <m/>
    <m/>
    <m/>
    <m/>
    <m/>
    <m/>
    <m/>
    <m/>
    <m/>
    <m/>
    <m/>
    <m/>
    <m/>
    <s v="Cơm tăng ca"/>
    <s v="Cơm tăng ca"/>
    <s v="Cơm tăng ca"/>
    <m/>
    <m/>
    <m/>
    <s v="Cơm tăng ca"/>
    <s v="Cơm tăng ca"/>
    <s v="Cơm tăng ca"/>
    <s v="Cơm tăng ca"/>
    <m/>
    <m/>
    <m/>
    <s v="Cơm tăng ca"/>
    <s v="Cơm tăng ca"/>
    <m/>
    <n v="9"/>
  </r>
  <r>
    <s v="Active"/>
    <s v="VCV0106"/>
    <s v="Phạm Thị Nhung"/>
    <x v="1"/>
    <s v="Pro - Aging"/>
    <s v="Factory"/>
    <m/>
    <m/>
    <m/>
    <m/>
    <m/>
    <m/>
    <m/>
    <m/>
    <m/>
    <m/>
    <m/>
    <m/>
    <m/>
    <m/>
    <m/>
    <m/>
    <s v="Cơm tăng ca"/>
    <s v="Cơm tăng ca"/>
    <s v="Cơm tăng ca"/>
    <m/>
    <m/>
    <m/>
    <s v="Cơm tăng ca"/>
    <s v="Cơm tăng ca"/>
    <s v="Cơm tăng ca"/>
    <s v="Cơm tăng ca"/>
    <m/>
    <m/>
    <m/>
    <s v="Cơm tăng ca"/>
    <s v="Cơm tăng ca"/>
    <m/>
    <n v="9"/>
  </r>
  <r>
    <s v="Active"/>
    <s v="VCV0176"/>
    <s v="Bàng Thị Hương Giang"/>
    <x v="1"/>
    <s v="Pro - Aging"/>
    <s v="Factory"/>
    <m/>
    <m/>
    <m/>
    <m/>
    <m/>
    <m/>
    <m/>
    <m/>
    <m/>
    <m/>
    <m/>
    <m/>
    <m/>
    <m/>
    <m/>
    <m/>
    <s v="Cơm tăng ca"/>
    <s v="Cơm tăng ca"/>
    <s v="Cơm tăng ca"/>
    <m/>
    <m/>
    <m/>
    <s v="Cơm tăng ca"/>
    <s v="Cơm tăng ca"/>
    <s v="Cơm tăng ca"/>
    <s v="Cơm tăng ca"/>
    <m/>
    <m/>
    <m/>
    <s v="Cơm tăng ca"/>
    <s v="Cơm tăng ca"/>
    <m/>
    <n v="9"/>
  </r>
  <r>
    <s v="Active"/>
    <s v="VCV0727"/>
    <s v="Huỳnh Manh Vũ"/>
    <x v="2"/>
    <s v="Pro - Painting"/>
    <s v="Factory"/>
    <m/>
    <m/>
    <m/>
    <m/>
    <m/>
    <m/>
    <m/>
    <m/>
    <m/>
    <m/>
    <m/>
    <m/>
    <m/>
    <m/>
    <m/>
    <m/>
    <s v="Cơm tăng ca"/>
    <s v="Cơm tăng ca"/>
    <m/>
    <s v="Cơm tăng ca"/>
    <m/>
    <m/>
    <s v="Cơm tăng ca"/>
    <s v="Cơm tăng ca"/>
    <s v="Cơm tăng ca"/>
    <s v="Cơm tăng ca"/>
    <m/>
    <m/>
    <m/>
    <s v="Cơm tăng ca"/>
    <s v="Cơm tăng ca"/>
    <m/>
    <n v="9"/>
  </r>
  <r>
    <s v="Active"/>
    <s v="VCV0546"/>
    <s v="Phùng Thị Diễm Lệ"/>
    <x v="11"/>
    <s v="Pro - Data"/>
    <s v="Factory"/>
    <m/>
    <m/>
    <m/>
    <m/>
    <m/>
    <m/>
    <m/>
    <m/>
    <m/>
    <m/>
    <m/>
    <m/>
    <m/>
    <m/>
    <m/>
    <m/>
    <m/>
    <s v="Cơm tăng ca"/>
    <s v="Cơm tăng ca"/>
    <m/>
    <m/>
    <m/>
    <m/>
    <m/>
    <s v="Cơm tăng ca"/>
    <s v="Cơm tăng ca"/>
    <m/>
    <m/>
    <m/>
    <s v="Cơm tăng ca"/>
    <s v="Cơm tăng ca"/>
    <m/>
    <n v="6"/>
  </r>
  <r>
    <s v="Active"/>
    <s v="VCV0516"/>
    <s v="Trần Thị Kiều Mỹ Trinh"/>
    <x v="1"/>
    <s v="Pro - Aging"/>
    <s v="Factory"/>
    <m/>
    <m/>
    <m/>
    <m/>
    <m/>
    <m/>
    <m/>
    <m/>
    <m/>
    <m/>
    <m/>
    <m/>
    <m/>
    <m/>
    <m/>
    <m/>
    <s v="Cơm tăng ca"/>
    <s v="Cơm tăng ca"/>
    <s v="Cơm tăng ca"/>
    <m/>
    <m/>
    <m/>
    <s v="Cơm tăng ca"/>
    <s v="Cơm tăng ca"/>
    <s v="Cơm tăng ca"/>
    <s v="Cơm tăng ca"/>
    <m/>
    <m/>
    <m/>
    <s v="Cơm tăng ca"/>
    <s v="Cơm tăng ca"/>
    <m/>
    <n v="9"/>
  </r>
  <r>
    <s v="Active"/>
    <s v="VCV0735"/>
    <s v="Đinh Thị Trâm Anh"/>
    <x v="0"/>
    <s v="Pro - Packaging"/>
    <s v="Factory"/>
    <m/>
    <m/>
    <m/>
    <m/>
    <m/>
    <s v="Cơm tăng ca"/>
    <m/>
    <m/>
    <m/>
    <m/>
    <s v="Cơm tăng ca"/>
    <m/>
    <s v="Cơm tăng ca"/>
    <m/>
    <m/>
    <s v="Cơm tăng ca"/>
    <s v="Cơm tăng ca"/>
    <s v="Cơm tăng ca"/>
    <s v="Cơm tăng ca"/>
    <s v="Cơm tăng ca"/>
    <m/>
    <m/>
    <s v="Cơm tăng ca"/>
    <s v="Cơm tăng ca"/>
    <s v="Cơm tăng ca"/>
    <s v="Cơm tăng ca"/>
    <s v="Cơm tăng ca"/>
    <m/>
    <m/>
    <m/>
    <s v="Cơm tăng ca"/>
    <s v="Cơm tăng ca"/>
    <n v="15"/>
  </r>
  <r>
    <s v="Active"/>
    <s v="VCV0736"/>
    <s v="Đinh Thị Hà Lan"/>
    <x v="0"/>
    <s v="Pro - Packaging"/>
    <s v="Factory"/>
    <m/>
    <m/>
    <m/>
    <m/>
    <m/>
    <s v="Cơm tăng ca"/>
    <m/>
    <m/>
    <s v="Cơm tăng ca"/>
    <s v="Cơm tăng ca"/>
    <m/>
    <m/>
    <m/>
    <m/>
    <m/>
    <m/>
    <m/>
    <m/>
    <m/>
    <m/>
    <m/>
    <m/>
    <m/>
    <m/>
    <m/>
    <m/>
    <m/>
    <m/>
    <m/>
    <m/>
    <m/>
    <m/>
    <n v="3"/>
  </r>
  <r>
    <s v="Active"/>
    <s v="VCV0740"/>
    <s v="Mai Thị Dung"/>
    <x v="0"/>
    <s v="Pro - Packaging"/>
    <s v="Factory"/>
    <m/>
    <m/>
    <m/>
    <m/>
    <m/>
    <s v="Cơm tăng ca"/>
    <m/>
    <m/>
    <s v="Cơm tăng ca"/>
    <m/>
    <s v="Cơm tăng ca"/>
    <m/>
    <s v="Cơm tăng ca"/>
    <m/>
    <m/>
    <s v="Cơm tăng ca"/>
    <s v="Cơm tăng ca"/>
    <s v="Cơm tăng ca"/>
    <s v="Cơm tăng ca"/>
    <s v="Cơm tăng ca"/>
    <m/>
    <m/>
    <s v="Cơm tăng ca"/>
    <s v="Cơm tăng ca"/>
    <s v="Cơm tăng ca"/>
    <s v="Cơm tăng ca"/>
    <s v="Cơm tăng ca"/>
    <m/>
    <m/>
    <m/>
    <s v="Cơm tăng ca"/>
    <s v="Cơm tăng ca"/>
    <n v="16"/>
  </r>
  <r>
    <s v="Active"/>
    <s v="VCV0184"/>
    <s v="Nguyễn Văn Học"/>
    <x v="6"/>
    <s v="Pro - Fabrication"/>
    <s v="Factory"/>
    <m/>
    <m/>
    <m/>
    <m/>
    <m/>
    <s v="Cơm tăng ca"/>
    <m/>
    <m/>
    <s v="Cơm tăng ca"/>
    <s v="Cơm tăng ca"/>
    <s v="Cơm tăng ca"/>
    <s v="Cơm tăng ca"/>
    <s v="Cơm tăng ca"/>
    <m/>
    <m/>
    <s v="Cơm tăng ca"/>
    <s v="Cơm tăng ca"/>
    <s v="Cơm tăng ca"/>
    <s v="Cơm tăng ca"/>
    <s v="Cơm tăng ca"/>
    <m/>
    <m/>
    <s v="Cơm tăng ca"/>
    <s v="Cơm tăng ca"/>
    <s v="Cơm tăng ca"/>
    <m/>
    <m/>
    <m/>
    <m/>
    <s v="Cơm tăng ca"/>
    <s v="Cơm tăng ca"/>
    <s v="Cơm tăng ca"/>
    <n v="17"/>
  </r>
  <r>
    <s v="Active"/>
    <s v="VCV0755"/>
    <s v="Kim Minh Phương"/>
    <x v="0"/>
    <s v="Pro - Packaging"/>
    <s v="Factory"/>
    <m/>
    <m/>
    <m/>
    <m/>
    <m/>
    <m/>
    <m/>
    <m/>
    <s v="Cơm tăng ca"/>
    <s v="Cơm tăng ca"/>
    <s v="Cơm tăng ca"/>
    <m/>
    <m/>
    <m/>
    <m/>
    <m/>
    <m/>
    <m/>
    <m/>
    <m/>
    <m/>
    <m/>
    <m/>
    <m/>
    <m/>
    <m/>
    <m/>
    <m/>
    <m/>
    <m/>
    <m/>
    <m/>
    <n v="3"/>
  </r>
  <r>
    <s v="Active"/>
    <s v="VCV0754"/>
    <s v="Nguyễn Thị Hồng Diễm"/>
    <x v="0"/>
    <s v="Pro - Packaging"/>
    <s v="Factory"/>
    <m/>
    <m/>
    <m/>
    <m/>
    <m/>
    <m/>
    <m/>
    <m/>
    <m/>
    <s v="Cơm tăng ca"/>
    <m/>
    <m/>
    <m/>
    <m/>
    <m/>
    <m/>
    <m/>
    <m/>
    <m/>
    <m/>
    <m/>
    <m/>
    <m/>
    <m/>
    <m/>
    <m/>
    <m/>
    <m/>
    <m/>
    <m/>
    <m/>
    <m/>
    <n v="1"/>
  </r>
  <r>
    <s v="Active"/>
    <s v="VCV0060"/>
    <s v="Vũ Văn Dần"/>
    <x v="6"/>
    <s v="Pro - Fabrication"/>
    <s v="Factory"/>
    <m/>
    <m/>
    <m/>
    <m/>
    <m/>
    <m/>
    <m/>
    <m/>
    <m/>
    <m/>
    <m/>
    <m/>
    <m/>
    <m/>
    <m/>
    <m/>
    <s v="Cơm tăng ca"/>
    <m/>
    <m/>
    <m/>
    <m/>
    <m/>
    <s v="Cơm tăng ca"/>
    <s v="Cơm tăng ca"/>
    <s v="Cơm tăng ca"/>
    <s v="Cơm tăng ca"/>
    <m/>
    <m/>
    <m/>
    <m/>
    <m/>
    <m/>
    <n v="5"/>
  </r>
  <r>
    <s v="Active"/>
    <s v="VCV0019"/>
    <s v="Nguyễn Quốc Anh"/>
    <x v="3"/>
    <s v="Pro - Welding"/>
    <s v="Factory"/>
    <m/>
    <m/>
    <m/>
    <m/>
    <m/>
    <m/>
    <m/>
    <m/>
    <m/>
    <m/>
    <m/>
    <m/>
    <m/>
    <m/>
    <m/>
    <s v="Cơm tăng ca"/>
    <s v="Cơm tăng ca"/>
    <s v="Cơm tăng ca"/>
    <s v="Cơm tăng ca"/>
    <s v="Cơm tăng ca"/>
    <m/>
    <m/>
    <s v="Cơm tăng ca"/>
    <s v="Cơm tăng ca"/>
    <s v="Cơm tăng ca"/>
    <s v="Cơm tăng ca"/>
    <m/>
    <m/>
    <m/>
    <m/>
    <s v="Cơm tăng ca"/>
    <s v="Cơm tăng ca"/>
    <n v="11"/>
  </r>
  <r>
    <s v="Active"/>
    <s v="VCV0273"/>
    <s v="Lê Trọng Thuận"/>
    <x v="3"/>
    <s v="Pro - Welding"/>
    <s v="Factory"/>
    <m/>
    <m/>
    <m/>
    <m/>
    <m/>
    <m/>
    <m/>
    <m/>
    <m/>
    <m/>
    <m/>
    <m/>
    <m/>
    <m/>
    <m/>
    <s v="Cơm tăng ca"/>
    <s v="Cơm tăng ca"/>
    <s v="Cơm tăng ca"/>
    <s v="Cơm tăng ca"/>
    <s v="Cơm tăng ca"/>
    <m/>
    <m/>
    <s v="Cơm tăng ca"/>
    <s v="Cơm tăng ca"/>
    <s v="Cơm tăng ca"/>
    <s v="Cơm tăng ca"/>
    <m/>
    <m/>
    <m/>
    <m/>
    <s v="Cơm tăng ca"/>
    <s v="Cơm tăng ca"/>
    <n v="11"/>
  </r>
  <r>
    <s v="Active"/>
    <s v="VCV0718"/>
    <s v="Nguyễn Văn Lâu"/>
    <x v="6"/>
    <s v="Pro - Fabrication"/>
    <s v="Factory"/>
    <m/>
    <m/>
    <m/>
    <m/>
    <m/>
    <s v="Cơm tăng ca"/>
    <m/>
    <m/>
    <m/>
    <m/>
    <m/>
    <m/>
    <m/>
    <m/>
    <m/>
    <m/>
    <m/>
    <m/>
    <m/>
    <m/>
    <m/>
    <m/>
    <m/>
    <m/>
    <m/>
    <s v="Cơm tăng ca"/>
    <m/>
    <m/>
    <m/>
    <s v="Cơm tăng ca"/>
    <s v="Cơm tăng ca"/>
    <s v="Cơm tăng ca"/>
    <n v="5"/>
  </r>
  <r>
    <s v="Active"/>
    <s v="VCV0301"/>
    <s v="Nguyễn Trần Hưng"/>
    <x v="11"/>
    <s v="Pro - Data"/>
    <s v="Factory"/>
    <m/>
    <m/>
    <m/>
    <m/>
    <m/>
    <m/>
    <m/>
    <m/>
    <m/>
    <m/>
    <m/>
    <m/>
    <m/>
    <m/>
    <m/>
    <m/>
    <s v="Cơm tăng ca"/>
    <m/>
    <m/>
    <m/>
    <m/>
    <m/>
    <s v="Cơm tăng ca"/>
    <s v="Cơm tăng ca"/>
    <s v="Cơm tăng ca"/>
    <s v="Cơm tăng ca"/>
    <m/>
    <m/>
    <m/>
    <s v="Cơm tăng ca"/>
    <s v="Cơm tăng ca"/>
    <m/>
    <n v="7"/>
  </r>
  <r>
    <s v="Active"/>
    <s v="VCV0154"/>
    <s v="Nguyễn Thị Nghĩa"/>
    <x v="6"/>
    <s v="Pro - Fabrication"/>
    <s v="Factory"/>
    <m/>
    <m/>
    <m/>
    <m/>
    <m/>
    <s v="Cơm tăng ca"/>
    <m/>
    <m/>
    <s v="Cơm tăng ca"/>
    <m/>
    <s v="Cơm tăng ca"/>
    <s v="Cơm tăng ca"/>
    <m/>
    <m/>
    <m/>
    <s v="Cơm tăng ca"/>
    <s v="Cơm tăng ca"/>
    <s v="Cơm tăng ca"/>
    <m/>
    <m/>
    <m/>
    <m/>
    <m/>
    <s v="Cơm tăng ca"/>
    <s v="Cơm tăng ca"/>
    <m/>
    <m/>
    <m/>
    <m/>
    <m/>
    <s v="Cơm tăng ca"/>
    <s v="Cơm tăng ca"/>
    <n v="11"/>
  </r>
  <r>
    <s v="Active"/>
    <s v="VCV0510"/>
    <s v="Phan Thị Phương"/>
    <x v="1"/>
    <s v="Pro - Aging"/>
    <s v="Factory"/>
    <m/>
    <m/>
    <m/>
    <m/>
    <m/>
    <m/>
    <m/>
    <m/>
    <m/>
    <s v="Cơm tăng ca"/>
    <m/>
    <m/>
    <m/>
    <m/>
    <m/>
    <m/>
    <s v="Cơm tăng ca"/>
    <s v="Cơm tăng ca"/>
    <s v="Cơm tăng ca"/>
    <m/>
    <m/>
    <m/>
    <s v="Cơm tăng ca"/>
    <s v="Cơm tăng ca"/>
    <s v="Cơm tăng ca"/>
    <s v="Cơm tăng ca"/>
    <m/>
    <m/>
    <m/>
    <s v="Cơm tăng ca"/>
    <s v="Cơm tăng ca"/>
    <m/>
    <n v="10"/>
  </r>
  <r>
    <s v="Active"/>
    <s v="VCV0761"/>
    <s v="Phan Văn Phường"/>
    <x v="1"/>
    <s v="Pro - Aging"/>
    <s v="Factory"/>
    <m/>
    <m/>
    <m/>
    <m/>
    <m/>
    <m/>
    <m/>
    <m/>
    <m/>
    <m/>
    <m/>
    <m/>
    <m/>
    <m/>
    <m/>
    <m/>
    <s v="Cơm tăng ca"/>
    <s v="Cơm tăng ca"/>
    <s v="Cơm tăng ca"/>
    <m/>
    <m/>
    <m/>
    <s v="Cơm tăng ca"/>
    <s v="Cơm tăng ca"/>
    <s v="Cơm tăng ca"/>
    <s v="Cơm tăng ca"/>
    <m/>
    <m/>
    <m/>
    <m/>
    <m/>
    <m/>
    <n v="7"/>
  </r>
  <r>
    <s v="Active"/>
    <s v="VCV0764"/>
    <s v="Thị Huyền"/>
    <x v="1"/>
    <s v="Pro - Aging"/>
    <s v="Factory"/>
    <m/>
    <m/>
    <m/>
    <m/>
    <m/>
    <m/>
    <m/>
    <m/>
    <m/>
    <m/>
    <m/>
    <m/>
    <m/>
    <m/>
    <m/>
    <m/>
    <s v="Cơm tăng ca"/>
    <s v="Cơm tăng ca"/>
    <s v="Cơm tăng ca"/>
    <m/>
    <m/>
    <m/>
    <s v="Cơm tăng ca"/>
    <s v="Cơm tăng ca"/>
    <s v="Cơm tăng ca"/>
    <s v="Cơm tăng ca"/>
    <m/>
    <m/>
    <m/>
    <s v="Cơm tăng ca"/>
    <s v="Cơm tăng ca"/>
    <m/>
    <n v="9"/>
  </r>
  <r>
    <s v="Active"/>
    <s v="VCV0749"/>
    <s v="Nguyễn Thị Thanh Hoa"/>
    <x v="1"/>
    <s v="Pro - Aging"/>
    <s v="Factory"/>
    <m/>
    <m/>
    <m/>
    <m/>
    <m/>
    <m/>
    <m/>
    <m/>
    <m/>
    <m/>
    <m/>
    <m/>
    <m/>
    <m/>
    <m/>
    <m/>
    <s v="Cơm tăng ca"/>
    <s v="Cơm tăng ca"/>
    <s v="Cơm tăng ca"/>
    <m/>
    <m/>
    <m/>
    <s v="Cơm tăng ca"/>
    <s v="Cơm tăng ca"/>
    <s v="Cơm tăng ca"/>
    <s v="Cơm tăng ca"/>
    <m/>
    <m/>
    <m/>
    <m/>
    <s v="Cơm tăng ca"/>
    <m/>
    <n v="8"/>
  </r>
  <r>
    <s v="Active"/>
    <s v="VCV0763"/>
    <s v="Lê Thị Thùy Trinh"/>
    <x v="1"/>
    <s v="Pro - Aging"/>
    <s v="Factory"/>
    <m/>
    <m/>
    <m/>
    <m/>
    <m/>
    <m/>
    <m/>
    <m/>
    <m/>
    <m/>
    <m/>
    <m/>
    <m/>
    <m/>
    <m/>
    <m/>
    <s v="Cơm tăng ca"/>
    <s v="Cơm tăng ca"/>
    <s v="Cơm tăng ca"/>
    <m/>
    <m/>
    <m/>
    <s v="Cơm tăng ca"/>
    <s v="Cơm tăng ca"/>
    <s v="Cơm tăng ca"/>
    <s v="Cơm tăng ca"/>
    <m/>
    <m/>
    <m/>
    <s v="Cơm tăng ca"/>
    <s v="Cơm tăng ca"/>
    <m/>
    <n v="9"/>
  </r>
  <r>
    <s v="Active"/>
    <s v="VCV0745"/>
    <s v="Hoàng Thị Bình"/>
    <x v="1"/>
    <s v="Pro - Aging"/>
    <s v="Factory"/>
    <m/>
    <m/>
    <m/>
    <m/>
    <m/>
    <m/>
    <m/>
    <m/>
    <m/>
    <m/>
    <m/>
    <m/>
    <m/>
    <m/>
    <m/>
    <m/>
    <m/>
    <s v="Cơm tăng ca"/>
    <s v="Cơm tăng ca"/>
    <m/>
    <m/>
    <m/>
    <s v="Cơm tăng ca"/>
    <s v="Cơm tăng ca"/>
    <s v="Cơm tăng ca"/>
    <s v="Cơm tăng ca"/>
    <m/>
    <m/>
    <m/>
    <s v="Cơm tăng ca"/>
    <s v="Cơm tăng ca"/>
    <m/>
    <n v="8"/>
  </r>
  <r>
    <s v="Active"/>
    <s v="VCV0768"/>
    <s v="Bùi Thị Thanh Thuý"/>
    <x v="1"/>
    <s v="Pro - Aging"/>
    <s v="Factory"/>
    <m/>
    <m/>
    <m/>
    <m/>
    <m/>
    <m/>
    <m/>
    <m/>
    <m/>
    <m/>
    <m/>
    <m/>
    <m/>
    <m/>
    <m/>
    <m/>
    <s v="Cơm tăng ca"/>
    <s v="Cơm tăng ca"/>
    <s v="Cơm tăng ca"/>
    <m/>
    <m/>
    <m/>
    <s v="Cơm tăng ca"/>
    <s v="Cơm tăng ca"/>
    <s v="Cơm tăng ca"/>
    <s v="Cơm tăng ca"/>
    <m/>
    <m/>
    <m/>
    <s v="Cơm tăng ca"/>
    <s v="Cơm tăng ca"/>
    <m/>
    <n v="9"/>
  </r>
  <r>
    <s v="Active"/>
    <s v="VCV0670"/>
    <s v="Nguyễn Phạm Kim Ngân"/>
    <x v="1"/>
    <s v="Pro - Aging"/>
    <s v="Factory"/>
    <m/>
    <m/>
    <m/>
    <m/>
    <m/>
    <m/>
    <m/>
    <m/>
    <m/>
    <m/>
    <m/>
    <m/>
    <m/>
    <m/>
    <m/>
    <m/>
    <s v="Cơm tăng ca"/>
    <s v="Cơm tăng ca"/>
    <s v="Cơm tăng ca"/>
    <m/>
    <m/>
    <m/>
    <s v="Cơm tăng ca"/>
    <s v="Cơm tăng ca"/>
    <s v="Cơm tăng ca"/>
    <s v="Cơm tăng ca"/>
    <m/>
    <m/>
    <m/>
    <s v="Cơm tăng ca"/>
    <s v="Cơm tăng ca"/>
    <m/>
    <n v="9"/>
  </r>
  <r>
    <s v="Active"/>
    <s v="VCV0753"/>
    <s v="Thạch Thị Na Huy"/>
    <x v="1"/>
    <s v="Pro - Aging"/>
    <s v="Factory"/>
    <m/>
    <m/>
    <m/>
    <m/>
    <m/>
    <m/>
    <m/>
    <m/>
    <m/>
    <m/>
    <m/>
    <m/>
    <m/>
    <m/>
    <m/>
    <m/>
    <s v="Cơm tăng ca"/>
    <s v="Cơm tăng ca"/>
    <s v="Cơm tăng ca"/>
    <m/>
    <m/>
    <m/>
    <s v="Cơm tăng ca"/>
    <s v="Cơm tăng ca"/>
    <s v="Cơm tăng ca"/>
    <s v="Cơm tăng ca"/>
    <m/>
    <m/>
    <m/>
    <s v="Cơm tăng ca"/>
    <m/>
    <m/>
    <n v="8"/>
  </r>
  <r>
    <s v="Active"/>
    <s v="VCV0444"/>
    <s v="Lê Doãn Hội"/>
    <x v="13"/>
    <s v="PMC - WH"/>
    <s v="Factory"/>
    <m/>
    <m/>
    <m/>
    <m/>
    <m/>
    <m/>
    <m/>
    <m/>
    <m/>
    <m/>
    <s v="Cơm tăng ca"/>
    <s v="Cơm tăng ca"/>
    <m/>
    <m/>
    <m/>
    <m/>
    <m/>
    <m/>
    <m/>
    <m/>
    <m/>
    <m/>
    <m/>
    <m/>
    <m/>
    <m/>
    <m/>
    <m/>
    <m/>
    <m/>
    <m/>
    <m/>
    <n v="2"/>
  </r>
  <r>
    <s v="Active"/>
    <s v="VCV0186"/>
    <s v="Nguyễn Thị Thùy Ngân"/>
    <x v="6"/>
    <s v="Pro - Fabrication"/>
    <s v="Factory"/>
    <m/>
    <m/>
    <m/>
    <m/>
    <m/>
    <m/>
    <m/>
    <m/>
    <s v="Cơm tăng ca"/>
    <m/>
    <m/>
    <m/>
    <m/>
    <m/>
    <m/>
    <s v="Cơm tăng ca"/>
    <s v="Cơm tăng ca"/>
    <s v="Cơm tăng ca"/>
    <m/>
    <m/>
    <m/>
    <m/>
    <m/>
    <s v="Cơm tăng ca"/>
    <s v="Cơm tăng ca"/>
    <m/>
    <m/>
    <m/>
    <m/>
    <m/>
    <s v="Cơm tăng ca"/>
    <s v="Cơm tăng ca"/>
    <n v="8"/>
  </r>
  <r>
    <s v="Active"/>
    <s v="VCV0024"/>
    <s v="Huỳnh Thị Huyền Trang"/>
    <x v="8"/>
    <s v="PMC - Quality"/>
    <s v="Factory"/>
    <m/>
    <m/>
    <m/>
    <m/>
    <m/>
    <m/>
    <m/>
    <m/>
    <m/>
    <s v="Cơm tăng ca"/>
    <s v="Cơm tăng ca"/>
    <m/>
    <m/>
    <m/>
    <m/>
    <m/>
    <m/>
    <m/>
    <m/>
    <m/>
    <m/>
    <m/>
    <m/>
    <s v="Cơm tăng ca"/>
    <m/>
    <m/>
    <m/>
    <m/>
    <m/>
    <m/>
    <m/>
    <m/>
    <n v="3"/>
  </r>
  <r>
    <s v="Active"/>
    <s v="VCV0756"/>
    <s v="Lường Chắn Hoa"/>
    <x v="13"/>
    <s v="PMC - WH"/>
    <s v="Factory"/>
    <m/>
    <m/>
    <m/>
    <m/>
    <m/>
    <s v="Cơm tăng ca"/>
    <m/>
    <m/>
    <m/>
    <m/>
    <m/>
    <m/>
    <m/>
    <m/>
    <m/>
    <m/>
    <m/>
    <m/>
    <m/>
    <m/>
    <m/>
    <m/>
    <m/>
    <m/>
    <m/>
    <m/>
    <m/>
    <m/>
    <m/>
    <m/>
    <m/>
    <m/>
    <n v="1"/>
  </r>
  <r>
    <s v="Active"/>
    <s v="VCV0775"/>
    <s v="Nguyễn Vĩnh Phúc "/>
    <x v="0"/>
    <s v="Pro - Packaging"/>
    <s v="Factory"/>
    <m/>
    <m/>
    <m/>
    <m/>
    <m/>
    <s v="Cơm tăng ca"/>
    <m/>
    <m/>
    <s v="Cơm tăng ca"/>
    <m/>
    <s v="Cơm tăng ca"/>
    <s v="Cơm tăng ca"/>
    <s v="Cơm tăng ca"/>
    <m/>
    <m/>
    <s v="Cơm tăng ca"/>
    <s v="Cơm tăng ca"/>
    <s v="Cơm tăng ca"/>
    <s v="Cơm tăng ca"/>
    <s v="Cơm tăng ca"/>
    <m/>
    <m/>
    <m/>
    <s v="Cơm tăng ca"/>
    <s v="Cơm tăng ca"/>
    <s v="Cơm tăng ca"/>
    <m/>
    <m/>
    <m/>
    <s v="Cơm tăng ca"/>
    <s v="Cơm tăng ca"/>
    <s v="Cơm tăng ca"/>
    <n v="16"/>
  </r>
  <r>
    <s v="Active"/>
    <s v="VCV0776"/>
    <s v="Lê Gia Đạt "/>
    <x v="0"/>
    <s v="Pro - Packaging"/>
    <s v="Factory"/>
    <m/>
    <m/>
    <m/>
    <m/>
    <m/>
    <m/>
    <m/>
    <m/>
    <s v="Cơm tăng ca"/>
    <s v="Cơm tăng ca"/>
    <s v="Cơm tăng ca"/>
    <s v="Cơm tăng ca"/>
    <s v="Cơm tăng ca"/>
    <m/>
    <m/>
    <s v="Cơm tăng ca"/>
    <s v="Cơm tăng ca"/>
    <s v="Cơm tăng ca"/>
    <s v="Cơm tăng ca"/>
    <s v="Cơm tăng ca"/>
    <m/>
    <m/>
    <s v="Cơm tăng ca"/>
    <s v="Cơm tăng ca"/>
    <s v="Cơm tăng ca"/>
    <s v="Cơm tăng ca"/>
    <m/>
    <m/>
    <m/>
    <s v="Cơm tăng ca"/>
    <s v="Cơm tăng ca"/>
    <s v="Cơm tăng ca"/>
    <n v="17"/>
  </r>
  <r>
    <s v="Active"/>
    <s v="VCV0614"/>
    <s v="Đặng Thị Thu Trang"/>
    <x v="8"/>
    <s v="PMC - Quality"/>
    <s v="Factory"/>
    <m/>
    <m/>
    <m/>
    <m/>
    <m/>
    <m/>
    <m/>
    <m/>
    <m/>
    <s v="Cơm tăng ca"/>
    <m/>
    <m/>
    <m/>
    <m/>
    <m/>
    <m/>
    <m/>
    <m/>
    <m/>
    <m/>
    <m/>
    <m/>
    <m/>
    <m/>
    <m/>
    <s v="Cơm tăng ca"/>
    <m/>
    <m/>
    <m/>
    <s v="Cơm tăng ca"/>
    <s v="Cơm tăng ca"/>
    <m/>
    <n v="4"/>
  </r>
  <r>
    <s v="Active"/>
    <s v="VCV0361"/>
    <s v="Nguyễn Sỹ Khôi"/>
    <x v="6"/>
    <s v="Pro - Fabrication"/>
    <s v="Factory"/>
    <m/>
    <m/>
    <m/>
    <m/>
    <m/>
    <m/>
    <m/>
    <m/>
    <m/>
    <s v="Cơm tăng ca"/>
    <m/>
    <m/>
    <m/>
    <m/>
    <m/>
    <s v="Cơm tăng ca"/>
    <m/>
    <m/>
    <m/>
    <m/>
    <m/>
    <m/>
    <m/>
    <m/>
    <m/>
    <s v="Cơm tăng ca"/>
    <m/>
    <m/>
    <m/>
    <m/>
    <m/>
    <m/>
    <n v="3"/>
  </r>
  <r>
    <s v="Active"/>
    <s v="VCV0635"/>
    <s v="Nguyễn Hoàng Vinh"/>
    <x v="6"/>
    <s v="Pro - Fabrication"/>
    <s v="Factory"/>
    <m/>
    <m/>
    <m/>
    <m/>
    <m/>
    <m/>
    <m/>
    <m/>
    <m/>
    <s v="Cơm tăng ca"/>
    <m/>
    <m/>
    <s v="Cơm tăng ca"/>
    <m/>
    <m/>
    <s v="Cơm tăng ca"/>
    <s v="Cơm tăng ca"/>
    <m/>
    <m/>
    <s v="Cơm tăng ca"/>
    <m/>
    <m/>
    <m/>
    <s v="Cơm tăng ca"/>
    <s v="Cơm tăng ca"/>
    <s v="Cơm tăng ca"/>
    <m/>
    <m/>
    <m/>
    <s v="Cơm tăng ca"/>
    <s v="Cơm tăng ca"/>
    <m/>
    <n v="10"/>
  </r>
  <r>
    <s v="Active"/>
    <s v="VCV0773"/>
    <s v="Hoàng Văn Cường"/>
    <x v="2"/>
    <s v="Pro - Painting"/>
    <s v="Factory"/>
    <m/>
    <m/>
    <m/>
    <m/>
    <m/>
    <m/>
    <m/>
    <m/>
    <m/>
    <s v="Cơm tăng ca"/>
    <m/>
    <m/>
    <m/>
    <m/>
    <m/>
    <m/>
    <m/>
    <m/>
    <s v="Cơm tăng ca"/>
    <s v="Cơm tăng ca"/>
    <m/>
    <m/>
    <s v="Cơm tăng ca"/>
    <s v="Cơm tăng ca"/>
    <s v="Cơm tăng ca"/>
    <s v="Cơm tăng ca"/>
    <m/>
    <m/>
    <m/>
    <m/>
    <s v="Cơm tăng ca"/>
    <m/>
    <n v="8"/>
  </r>
  <r>
    <s v="Active"/>
    <s v="VCV0009"/>
    <s v="Nguyễn Hoàng Khang"/>
    <x v="12"/>
    <s v="COO - Maintenance"/>
    <s v="Factory"/>
    <m/>
    <m/>
    <m/>
    <m/>
    <m/>
    <m/>
    <m/>
    <m/>
    <m/>
    <s v="Cơm tăng ca"/>
    <m/>
    <m/>
    <m/>
    <m/>
    <m/>
    <m/>
    <m/>
    <m/>
    <m/>
    <m/>
    <m/>
    <m/>
    <m/>
    <m/>
    <m/>
    <m/>
    <m/>
    <m/>
    <m/>
    <m/>
    <m/>
    <m/>
    <n v="1"/>
  </r>
  <r>
    <s v="Active"/>
    <s v="VCV0746"/>
    <s v="Chu Quang Tiến"/>
    <x v="7"/>
    <s v="Pro - CNC"/>
    <s v="Factory"/>
    <m/>
    <m/>
    <s v="Cơm tăng ca"/>
    <m/>
    <m/>
    <s v="Cơm tăng ca"/>
    <s v="Cơm tăng ca"/>
    <m/>
    <m/>
    <s v="Cơm tăng ca"/>
    <s v="Cơm tăng ca"/>
    <s v="Cơm tăng ca"/>
    <s v="Cơm tăng ca"/>
    <s v="Cơm tăng ca"/>
    <m/>
    <s v="Cơm tăng ca"/>
    <s v="Cơm tăng ca"/>
    <s v="Cơm tăng ca"/>
    <s v="Cơm tăng ca"/>
    <s v="Cơm tăng ca"/>
    <s v="Cơm tăng ca"/>
    <m/>
    <m/>
    <s v="Cơm tăng ca"/>
    <s v="Cơm tăng ca"/>
    <s v="Cơm tăng ca"/>
    <s v="Cơm tăng ca"/>
    <s v="Cơm tăng ca"/>
    <m/>
    <s v="Cơm tăng ca"/>
    <s v="Cơm tăng ca"/>
    <s v="Cơm tăng ca"/>
    <n v="22"/>
  </r>
  <r>
    <s v="Active"/>
    <s v="VCV0717"/>
    <s v="Chu Ngọc Anh "/>
    <x v="0"/>
    <s v="Pro - Packaging"/>
    <s v="Factory"/>
    <m/>
    <m/>
    <m/>
    <m/>
    <m/>
    <m/>
    <m/>
    <m/>
    <m/>
    <s v="Cơm tăng ca"/>
    <m/>
    <m/>
    <m/>
    <m/>
    <m/>
    <m/>
    <m/>
    <m/>
    <m/>
    <m/>
    <m/>
    <m/>
    <m/>
    <m/>
    <m/>
    <m/>
    <m/>
    <m/>
    <m/>
    <m/>
    <m/>
    <m/>
    <n v="1"/>
  </r>
  <r>
    <s v="Active"/>
    <s v="VCV0777"/>
    <s v="Lê Thị Quỳnh Như"/>
    <x v="2"/>
    <s v="Pro - Painting"/>
    <s v="Factory"/>
    <m/>
    <m/>
    <m/>
    <m/>
    <m/>
    <s v="Cơm tăng ca"/>
    <m/>
    <m/>
    <s v="Cơm tăng ca"/>
    <s v="Cơm tăng ca"/>
    <m/>
    <m/>
    <m/>
    <m/>
    <m/>
    <m/>
    <m/>
    <m/>
    <s v="Cơm tăng ca"/>
    <s v="Cơm tăng ca"/>
    <m/>
    <m/>
    <s v="Cơm tăng ca"/>
    <s v="Cơm tăng ca"/>
    <s v="Cơm tăng ca"/>
    <s v="Cơm tăng ca"/>
    <m/>
    <m/>
    <m/>
    <s v="Cơm tăng ca"/>
    <s v="Cơm tăng ca"/>
    <m/>
    <n v="11"/>
  </r>
  <r>
    <s v="Active"/>
    <s v="VCV0088"/>
    <s v="Bùi Thị Vân Anh"/>
    <x v="11"/>
    <s v="Pro - Data"/>
    <s v="Factory"/>
    <m/>
    <m/>
    <m/>
    <m/>
    <m/>
    <m/>
    <m/>
    <m/>
    <s v="Cơm tăng ca"/>
    <s v="Cơm tăng ca"/>
    <s v="Cơm tăng ca"/>
    <s v="Cơm tăng ca"/>
    <m/>
    <m/>
    <m/>
    <m/>
    <m/>
    <m/>
    <s v="Cơm tăng ca"/>
    <s v="Cơm tăng ca"/>
    <m/>
    <m/>
    <m/>
    <m/>
    <m/>
    <m/>
    <m/>
    <m/>
    <m/>
    <m/>
    <m/>
    <s v="Cơm tăng ca"/>
    <n v="7"/>
  </r>
  <r>
    <s v="Active"/>
    <s v="PTT0632"/>
    <s v="Hà Văn Dần"/>
    <x v="11"/>
    <s v="Pro - Data"/>
    <s v="Factory"/>
    <m/>
    <m/>
    <m/>
    <m/>
    <m/>
    <m/>
    <m/>
    <m/>
    <m/>
    <s v="Cơm tăng ca"/>
    <m/>
    <s v="Cơm tăng ca"/>
    <m/>
    <m/>
    <m/>
    <m/>
    <m/>
    <m/>
    <m/>
    <m/>
    <m/>
    <m/>
    <m/>
    <m/>
    <m/>
    <m/>
    <m/>
    <m/>
    <m/>
    <m/>
    <m/>
    <m/>
    <n v="2"/>
  </r>
  <r>
    <s v="Active"/>
    <s v="VCV0061"/>
    <s v="Trần Minh Công"/>
    <x v="7"/>
    <s v="Pro - CNC"/>
    <s v="Factory"/>
    <m/>
    <m/>
    <s v="Cơm tăng ca"/>
    <m/>
    <m/>
    <s v="Cơm tăng ca"/>
    <s v="Cơm tăng ca"/>
    <m/>
    <m/>
    <s v="Cơm tăng ca"/>
    <s v="Cơm tăng ca"/>
    <s v="Cơm tăng ca"/>
    <s v="Cơm tăng ca"/>
    <s v="Cơm tăng ca"/>
    <m/>
    <s v="Cơm tăng ca"/>
    <s v="Cơm tăng ca"/>
    <s v="Cơm tăng ca"/>
    <s v="Cơm tăng ca"/>
    <s v="Cơm tăng ca"/>
    <s v="Cơm tăng ca"/>
    <m/>
    <s v="Cơm tăng ca"/>
    <m/>
    <s v="Cơm tăng ca"/>
    <s v="Cơm tăng ca"/>
    <s v="Cơm tăng ca"/>
    <m/>
    <m/>
    <s v="Cơm tăng ca"/>
    <s v="Cơm tăng ca"/>
    <s v="Cơm tăng ca"/>
    <n v="21"/>
  </r>
  <r>
    <s v="Active"/>
    <s v="VCV0201"/>
    <s v="Đào Văn Tuyển"/>
    <x v="7"/>
    <s v="Pro - CNC"/>
    <s v="Factory"/>
    <m/>
    <m/>
    <s v="Cơm tăng ca"/>
    <m/>
    <m/>
    <s v="Cơm tăng ca"/>
    <s v="Cơm tăng ca"/>
    <m/>
    <m/>
    <s v="Cơm tăng ca"/>
    <s v="Cơm tăng ca"/>
    <s v="Cơm tăng ca"/>
    <s v="Cơm tăng ca"/>
    <s v="Cơm tăng ca"/>
    <m/>
    <s v="Cơm tăng ca"/>
    <s v="Cơm tăng ca"/>
    <s v="Cơm tăng ca"/>
    <s v="Cơm tăng ca"/>
    <s v="Cơm tăng ca"/>
    <s v="Cơm tăng ca"/>
    <m/>
    <s v="Cơm tăng ca"/>
    <m/>
    <s v="Cơm tăng ca"/>
    <s v="Cơm tăng ca"/>
    <m/>
    <m/>
    <m/>
    <s v="Cơm tăng ca"/>
    <s v="Cơm tăng ca"/>
    <s v="Cơm tăng ca"/>
    <n v="20"/>
  </r>
  <r>
    <s v="Active"/>
    <s v="VCV0228"/>
    <s v="Nguyễn Duy Luân"/>
    <x v="7"/>
    <s v="Pro - CNC"/>
    <s v="Factory"/>
    <m/>
    <m/>
    <m/>
    <m/>
    <m/>
    <s v="Cơm tăng ca"/>
    <s v="Cơm tăng ca"/>
    <m/>
    <m/>
    <s v="Cơm tăng ca"/>
    <s v="Cơm tăng ca"/>
    <s v="Cơm tăng ca"/>
    <s v="Cơm tăng ca"/>
    <s v="Cơm tăng ca"/>
    <m/>
    <s v="Cơm tăng ca"/>
    <s v="Cơm tăng ca"/>
    <s v="Cơm tăng ca"/>
    <s v="Cơm tăng ca"/>
    <s v="Cơm tăng ca"/>
    <s v="Cơm tăng ca"/>
    <m/>
    <s v="Cơm tăng ca"/>
    <m/>
    <s v="Cơm tăng ca"/>
    <s v="Cơm tăng ca"/>
    <m/>
    <m/>
    <m/>
    <s v="Cơm tăng ca"/>
    <s v="Cơm tăng ca"/>
    <s v="Cơm tăng ca"/>
    <n v="19"/>
  </r>
  <r>
    <s v="Active"/>
    <s v="VCV0229"/>
    <s v="Nguyễn Thị Chúc"/>
    <x v="7"/>
    <s v="Pro - CNC"/>
    <s v="Factory"/>
    <m/>
    <m/>
    <m/>
    <m/>
    <m/>
    <m/>
    <m/>
    <m/>
    <m/>
    <s v="Cơm tăng ca"/>
    <s v="Cơm tăng ca"/>
    <s v="Cơm tăng ca"/>
    <s v="Cơm tăng ca"/>
    <s v="Cơm tăng ca"/>
    <m/>
    <s v="Cơm tăng ca"/>
    <s v="Cơm tăng ca"/>
    <s v="Cơm tăng ca"/>
    <s v="Cơm tăng ca"/>
    <s v="Cơm tăng ca"/>
    <s v="Cơm tăng ca"/>
    <m/>
    <s v="Cơm tăng ca"/>
    <s v="Cơm tăng ca"/>
    <s v="Cơm tăng ca"/>
    <s v="Cơm tăng ca"/>
    <m/>
    <m/>
    <m/>
    <s v="Cơm tăng ca"/>
    <s v="Cơm tăng ca"/>
    <s v="Cơm tăng ca"/>
    <n v="18"/>
  </r>
  <r>
    <s v="Active"/>
    <s v="VCV0239"/>
    <s v="Trần Văn Nguyên"/>
    <x v="7"/>
    <s v="Pro - CNC"/>
    <s v="Factory"/>
    <m/>
    <m/>
    <m/>
    <m/>
    <m/>
    <m/>
    <m/>
    <m/>
    <m/>
    <s v="Cơm ca 2"/>
    <s v="Cơm tăng ca"/>
    <s v="Cơm tăng ca"/>
    <s v="Cơm tăng ca"/>
    <m/>
    <m/>
    <s v="Cơm tăng ca"/>
    <s v="Cơm tăng ca"/>
    <s v="Cơm tăng ca"/>
    <s v="Cơm tăng ca"/>
    <s v="Cơm tăng ca"/>
    <s v="Cơm tăng ca"/>
    <m/>
    <s v="Cơm tăng ca"/>
    <m/>
    <s v="Cơm tăng ca"/>
    <s v="Cơm tăng ca"/>
    <m/>
    <m/>
    <m/>
    <s v="Cơm tăng ca"/>
    <s v="Cơm tăng ca"/>
    <s v="Cơm tăng ca"/>
    <n v="16"/>
  </r>
  <r>
    <s v="Active"/>
    <s v="VCV0409"/>
    <s v="Nguyễn Minh Đức"/>
    <x v="7"/>
    <s v="Pro - CNC"/>
    <s v="Factory"/>
    <m/>
    <m/>
    <m/>
    <m/>
    <m/>
    <m/>
    <m/>
    <m/>
    <m/>
    <s v="Cơm tăng ca"/>
    <m/>
    <s v="Cơm tăng ca"/>
    <m/>
    <m/>
    <m/>
    <m/>
    <m/>
    <m/>
    <s v="Cơm tăng ca"/>
    <m/>
    <s v="Cơm tăng ca"/>
    <m/>
    <s v="Cơm tăng ca"/>
    <m/>
    <m/>
    <s v="Cơm tăng ca"/>
    <m/>
    <m/>
    <m/>
    <m/>
    <s v="Cơm tăng ca"/>
    <s v="Cơm tăng ca"/>
    <n v="8"/>
  </r>
  <r>
    <s v="Active"/>
    <s v="VCV0435"/>
    <s v="Vũ Ngọc Đức"/>
    <x v="7"/>
    <s v="Pro - CNC"/>
    <s v="Factory"/>
    <m/>
    <m/>
    <m/>
    <m/>
    <m/>
    <m/>
    <m/>
    <m/>
    <m/>
    <s v="Cơm tăng ca"/>
    <m/>
    <m/>
    <m/>
    <m/>
    <m/>
    <m/>
    <m/>
    <m/>
    <m/>
    <m/>
    <s v="Cơm tăng ca"/>
    <m/>
    <s v="Cơm tăng ca"/>
    <m/>
    <m/>
    <m/>
    <m/>
    <m/>
    <m/>
    <m/>
    <m/>
    <m/>
    <n v="3"/>
  </r>
  <r>
    <s v="Active"/>
    <s v="VCV0542"/>
    <s v="Vũ Đình Duy"/>
    <x v="7"/>
    <s v="Pro - CNC"/>
    <s v="Factory"/>
    <m/>
    <m/>
    <m/>
    <m/>
    <m/>
    <m/>
    <m/>
    <m/>
    <m/>
    <s v="Cơm tăng ca"/>
    <m/>
    <m/>
    <m/>
    <m/>
    <m/>
    <m/>
    <m/>
    <m/>
    <m/>
    <m/>
    <s v="Cơm tăng ca"/>
    <m/>
    <s v="Cơm tăng ca"/>
    <m/>
    <m/>
    <m/>
    <m/>
    <m/>
    <m/>
    <m/>
    <m/>
    <m/>
    <n v="3"/>
  </r>
  <r>
    <s v="Active"/>
    <s v="VCV0650"/>
    <s v="Nguyễn Thành Thiên"/>
    <x v="16"/>
    <s v="Pro - Manual Polishing"/>
    <s v="Factory"/>
    <m/>
    <m/>
    <m/>
    <m/>
    <m/>
    <m/>
    <m/>
    <m/>
    <m/>
    <m/>
    <s v="Cơm ca 2"/>
    <m/>
    <m/>
    <s v="Cơm Ca 2"/>
    <m/>
    <m/>
    <s v="Cơm ca 2"/>
    <m/>
    <s v="Cơm ca 2"/>
    <m/>
    <m/>
    <m/>
    <m/>
    <m/>
    <s v="Cơm tăng ca"/>
    <m/>
    <m/>
    <m/>
    <m/>
    <s v="Cơm tăng ca"/>
    <m/>
    <m/>
    <n v="6"/>
  </r>
  <r>
    <s v="Active"/>
    <s v="VCV0657"/>
    <s v="Nguyễn Văn Lâm"/>
    <x v="7"/>
    <s v="Pro - CNC"/>
    <s v="Factory"/>
    <m/>
    <m/>
    <m/>
    <m/>
    <m/>
    <m/>
    <m/>
    <m/>
    <m/>
    <s v="Cơm tăng ca"/>
    <m/>
    <m/>
    <m/>
    <m/>
    <m/>
    <m/>
    <m/>
    <m/>
    <m/>
    <m/>
    <s v="Cơm tăng ca"/>
    <m/>
    <s v="Cơm tăng ca"/>
    <m/>
    <m/>
    <m/>
    <m/>
    <m/>
    <m/>
    <m/>
    <m/>
    <m/>
    <n v="3"/>
  </r>
  <r>
    <s v="Active"/>
    <s v="VCV0746"/>
    <s v="Chu Quang Tiến"/>
    <x v="7"/>
    <s v="Pro - CNC"/>
    <s v="Factory"/>
    <m/>
    <m/>
    <m/>
    <m/>
    <m/>
    <m/>
    <m/>
    <m/>
    <m/>
    <s v="Cơm tăng ca"/>
    <m/>
    <m/>
    <m/>
    <m/>
    <m/>
    <m/>
    <m/>
    <m/>
    <m/>
    <m/>
    <s v="Cơm tăng ca"/>
    <m/>
    <s v="Cơm tăng ca"/>
    <m/>
    <m/>
    <m/>
    <m/>
    <m/>
    <m/>
    <m/>
    <m/>
    <m/>
    <n v="3"/>
  </r>
  <r>
    <s v="Active"/>
    <s v="VCV0580"/>
    <s v="Phan Ngọc Bích Châu"/>
    <x v="11"/>
    <s v="Pro - Data"/>
    <s v="Factory"/>
    <m/>
    <m/>
    <m/>
    <m/>
    <m/>
    <s v="Cơm tăng ca"/>
    <m/>
    <m/>
    <m/>
    <m/>
    <m/>
    <m/>
    <m/>
    <m/>
    <m/>
    <m/>
    <m/>
    <m/>
    <m/>
    <m/>
    <m/>
    <m/>
    <m/>
    <m/>
    <m/>
    <m/>
    <m/>
    <m/>
    <m/>
    <m/>
    <m/>
    <m/>
    <n v="1"/>
  </r>
  <r>
    <s v="Active"/>
    <s v="VCV0167"/>
    <s v="Trương Kha Nhỉ"/>
    <x v="11"/>
    <s v="Pro - Data"/>
    <s v="Factory"/>
    <m/>
    <m/>
    <m/>
    <m/>
    <m/>
    <m/>
    <m/>
    <m/>
    <s v="Cơm tăng ca"/>
    <m/>
    <s v="Cơm tăng ca"/>
    <s v="Cơm tăng ca"/>
    <m/>
    <m/>
    <m/>
    <m/>
    <s v="Cơm tăng ca"/>
    <m/>
    <s v="Cơm tăng ca"/>
    <s v="Cơm tăng ca"/>
    <m/>
    <m/>
    <s v="Cơm tăng ca"/>
    <s v="Cơm tăng ca"/>
    <s v="Cơm tăng ca"/>
    <m/>
    <m/>
    <m/>
    <m/>
    <m/>
    <m/>
    <s v="Cơm tăng ca"/>
    <n v="10"/>
  </r>
  <r>
    <s v="Active"/>
    <s v="VCV0791"/>
    <s v="Nguyễn Thanh Hà"/>
    <x v="2"/>
    <s v="Pro - Painting"/>
    <s v="Factory"/>
    <m/>
    <m/>
    <m/>
    <m/>
    <m/>
    <m/>
    <m/>
    <m/>
    <s v="Cơm tăng ca"/>
    <m/>
    <m/>
    <m/>
    <m/>
    <m/>
    <m/>
    <m/>
    <s v="Cơm tăng ca"/>
    <s v="Cơm tăng ca"/>
    <s v="Cơm tăng ca"/>
    <s v="Cơm tăng ca"/>
    <m/>
    <m/>
    <s v="Cơm tăng ca"/>
    <s v="Cơm tăng ca"/>
    <s v="Cơm tăng ca"/>
    <s v="Cơm tăng ca"/>
    <m/>
    <m/>
    <m/>
    <s v="Cơm tăng ca"/>
    <s v="Cơm tăng ca"/>
    <m/>
    <n v="11"/>
  </r>
  <r>
    <s v="Active"/>
    <s v="VCV0792"/>
    <s v="Nguyễn Thị Hồng Dung"/>
    <x v="0"/>
    <s v="Pro - Packaging"/>
    <s v="Factory"/>
    <m/>
    <m/>
    <m/>
    <m/>
    <m/>
    <m/>
    <m/>
    <m/>
    <s v="Cơm tăng ca"/>
    <m/>
    <s v="Cơm tăng ca"/>
    <m/>
    <s v="Cơm tăng ca"/>
    <m/>
    <m/>
    <s v="Cơm tăng ca"/>
    <s v="Cơm tăng ca"/>
    <s v="Cơm tăng ca"/>
    <s v="Cơm tăng ca"/>
    <m/>
    <m/>
    <m/>
    <s v="Cơm tăng ca"/>
    <s v="Cơm tăng ca"/>
    <s v="Cơm tăng ca"/>
    <s v="Cơm tăng ca"/>
    <s v="Cơm tăng ca"/>
    <m/>
    <m/>
    <s v="Cơm tăng ca"/>
    <s v="Cơm tăng ca"/>
    <s v="Cơm tăng ca"/>
    <n v="15"/>
  </r>
  <r>
    <s v="Active"/>
    <s v="VCV0793"/>
    <s v="Võ Thị Kim Chung"/>
    <x v="0"/>
    <s v="Pro - Packaging"/>
    <s v="Factory"/>
    <m/>
    <m/>
    <m/>
    <m/>
    <m/>
    <m/>
    <m/>
    <m/>
    <s v="Cơm tăng ca"/>
    <m/>
    <s v="Cơm tăng ca"/>
    <m/>
    <m/>
    <m/>
    <m/>
    <m/>
    <m/>
    <m/>
    <m/>
    <m/>
    <m/>
    <m/>
    <m/>
    <m/>
    <m/>
    <m/>
    <m/>
    <m/>
    <m/>
    <m/>
    <m/>
    <m/>
    <n v="2"/>
  </r>
  <r>
    <s v="Active"/>
    <s v="VCV0765"/>
    <s v="Nguyễn Hải Yến"/>
    <x v="0"/>
    <s v="Pro - Packaging"/>
    <s v="Factory"/>
    <m/>
    <m/>
    <m/>
    <m/>
    <m/>
    <m/>
    <m/>
    <m/>
    <s v="Cơm tăng ca"/>
    <m/>
    <s v="Cơm tăng ca"/>
    <m/>
    <s v="Cơm tăng ca"/>
    <m/>
    <m/>
    <s v="Cơm tăng ca"/>
    <m/>
    <s v="Cơm tăng ca"/>
    <s v="Cơm tăng ca"/>
    <s v="Cơm tăng ca"/>
    <m/>
    <m/>
    <s v="Cơm tăng ca"/>
    <s v="Cơm tăng ca"/>
    <s v="Cơm tăng ca"/>
    <s v="Cơm tăng ca"/>
    <s v="Cơm tăng ca"/>
    <m/>
    <m/>
    <s v="Cơm tăng ca"/>
    <s v="Cơm tăng ca"/>
    <s v="Cơm tăng ca"/>
    <n v="15"/>
  </r>
  <r>
    <s v="Active"/>
    <s v="VCV0762"/>
    <s v="Trịnh Thị Nương Em"/>
    <x v="0"/>
    <s v="Pro - Packaging"/>
    <s v="Factory"/>
    <m/>
    <m/>
    <m/>
    <m/>
    <m/>
    <m/>
    <m/>
    <m/>
    <s v="Cơm tăng ca"/>
    <m/>
    <s v="Cơm tăng ca"/>
    <m/>
    <s v="Cơm tăng ca"/>
    <m/>
    <m/>
    <s v="Cơm tăng ca"/>
    <s v="Cơm tăng ca"/>
    <s v="Cơm tăng ca"/>
    <s v="Cơm tăng ca"/>
    <s v="Cơm tăng ca"/>
    <m/>
    <m/>
    <m/>
    <s v="Cơm tăng ca"/>
    <s v="Cơm tăng ca"/>
    <s v="Cơm tăng ca"/>
    <s v="Cơm tăng ca"/>
    <m/>
    <m/>
    <s v="Cơm tăng ca"/>
    <m/>
    <s v="Cơm tăng ca"/>
    <n v="14"/>
  </r>
  <r>
    <s v="Active"/>
    <s v="VCV0794"/>
    <s v="Khưu Thị Cẩm Lai"/>
    <x v="0"/>
    <s v="Pro - Packaging"/>
    <s v="Factory"/>
    <m/>
    <m/>
    <m/>
    <m/>
    <m/>
    <m/>
    <m/>
    <m/>
    <s v="Cơm tăng ca"/>
    <m/>
    <s v="Cơm tăng ca"/>
    <m/>
    <m/>
    <m/>
    <m/>
    <s v="Cơm tăng ca"/>
    <s v="Cơm tăng ca"/>
    <s v="Cơm tăng ca"/>
    <s v="Cơm tăng ca"/>
    <s v="Cơm tăng ca"/>
    <m/>
    <m/>
    <s v="Cơm tăng ca"/>
    <s v="Cơm tăng ca"/>
    <s v="Cơm tăng ca"/>
    <s v="Cơm tăng ca"/>
    <m/>
    <m/>
    <m/>
    <m/>
    <m/>
    <s v="Cơm tăng ca"/>
    <n v="12"/>
  </r>
  <r>
    <s v="Active"/>
    <s v="VCV0742"/>
    <s v="Phan Tấn Hữu"/>
    <x v="0"/>
    <s v="Pro - Packaging"/>
    <s v="Factory"/>
    <m/>
    <m/>
    <m/>
    <m/>
    <m/>
    <m/>
    <m/>
    <m/>
    <s v="Cơm tăng ca"/>
    <m/>
    <s v="Cơm tăng ca"/>
    <s v="Cơm tăng ca"/>
    <s v="Cơm tăng ca"/>
    <m/>
    <m/>
    <m/>
    <s v="Cơm tăng ca"/>
    <s v="Cơm tăng ca"/>
    <s v="Cơm tăng ca"/>
    <s v="Cơm tăng ca"/>
    <m/>
    <m/>
    <s v="Cơm tăng ca"/>
    <s v="Cơm tăng ca"/>
    <s v="Cơm tăng ca"/>
    <s v="Cơm tăng ca"/>
    <s v="Cơm tăng ca"/>
    <m/>
    <m/>
    <s v="Cơm tăng ca"/>
    <s v="Cơm tăng ca"/>
    <s v="Cơm tăng ca"/>
    <n v="16"/>
  </r>
  <r>
    <s v="Active"/>
    <s v="VCV0743"/>
    <s v="Võ Thị Ánh Nguyệt"/>
    <x v="0"/>
    <s v="Pro - Packaging"/>
    <s v="Factory"/>
    <m/>
    <m/>
    <m/>
    <m/>
    <m/>
    <m/>
    <m/>
    <m/>
    <s v="Cơm tăng ca"/>
    <m/>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7"/>
  </r>
  <r>
    <s v="Active"/>
    <s v="VCV0796"/>
    <s v="Lý Văn Luôl"/>
    <x v="0"/>
    <s v="Pro - Packaging"/>
    <s v="Factory"/>
    <m/>
    <m/>
    <m/>
    <m/>
    <m/>
    <m/>
    <m/>
    <m/>
    <s v="Cơm tăng ca"/>
    <m/>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7"/>
  </r>
  <r>
    <s v="Active"/>
    <s v="VCV0797"/>
    <s v="Từ Tuấn Tú"/>
    <x v="0"/>
    <s v="Pro - Packaging"/>
    <s v="Factory"/>
    <m/>
    <m/>
    <m/>
    <m/>
    <m/>
    <m/>
    <m/>
    <m/>
    <s v="Cơm tăng ca"/>
    <m/>
    <s v="Cơm tăng ca"/>
    <s v="Cơm tăng ca"/>
    <m/>
    <m/>
    <m/>
    <s v="Cơm tăng ca"/>
    <s v="Cơm tăng ca"/>
    <s v="Cơm tăng ca"/>
    <s v="Cơm tăng ca"/>
    <s v="Cơm tăng ca"/>
    <m/>
    <m/>
    <s v="Cơm tăng ca"/>
    <s v="Cơm tăng ca"/>
    <s v="Cơm tăng ca"/>
    <m/>
    <m/>
    <m/>
    <m/>
    <s v="Cơm tăng ca"/>
    <s v="Cơm tăng ca"/>
    <s v="Cơm tăng ca"/>
    <n v="14"/>
  </r>
  <r>
    <s v="Active"/>
    <s v="VCV0741"/>
    <s v="Lê Tuyết Anh"/>
    <x v="0"/>
    <s v="Pro - Packaging"/>
    <s v="Factory"/>
    <m/>
    <m/>
    <m/>
    <m/>
    <m/>
    <m/>
    <m/>
    <m/>
    <s v="Cơm tăng ca"/>
    <m/>
    <s v="Cơm tăng ca"/>
    <s v="Cơm tăng ca"/>
    <s v="Cơm tăng ca"/>
    <m/>
    <m/>
    <s v="Cơm tăng ca"/>
    <s v="Cơm tăng ca"/>
    <s v="Cơm tăng ca"/>
    <s v="Cơm tăng ca"/>
    <s v="Cơm tăng ca"/>
    <m/>
    <m/>
    <s v="Cơm tăng ca"/>
    <s v="Cơm tăng ca"/>
    <s v="Cơm tăng ca"/>
    <s v="Cơm tăng ca"/>
    <s v="Cơm tăng ca"/>
    <m/>
    <m/>
    <s v="Cơm tăng ca"/>
    <s v="Cơm tăng ca"/>
    <s v="Cơm tăng ca"/>
    <n v="17"/>
  </r>
  <r>
    <s v="Active"/>
    <s v="VCV0760"/>
    <s v="Nguyễn Văn Phước"/>
    <x v="0"/>
    <s v="Pro - Packaging"/>
    <s v="Factory"/>
    <m/>
    <m/>
    <m/>
    <m/>
    <m/>
    <m/>
    <m/>
    <m/>
    <s v="Cơm tăng ca"/>
    <m/>
    <s v="Cơm tăng ca"/>
    <s v="Cơm tăng ca"/>
    <s v="Cơm tăng ca"/>
    <m/>
    <m/>
    <m/>
    <s v="Cơm tăng ca"/>
    <s v="Cơm tăng ca"/>
    <s v="Cơm tăng ca"/>
    <s v="Cơm tăng ca"/>
    <m/>
    <m/>
    <s v="Cơm tăng ca"/>
    <m/>
    <m/>
    <m/>
    <m/>
    <m/>
    <m/>
    <m/>
    <m/>
    <m/>
    <n v="9"/>
  </r>
  <r>
    <s v="Active"/>
    <s v="VCV0767"/>
    <s v="Trần Huy Cường"/>
    <x v="0"/>
    <s v="Pro - Packaging"/>
    <s v="Factory"/>
    <m/>
    <m/>
    <m/>
    <m/>
    <m/>
    <m/>
    <m/>
    <m/>
    <s v="Cơm tăng ca"/>
    <m/>
    <s v="Cơm tăng ca"/>
    <m/>
    <s v="Cơm tăng ca"/>
    <m/>
    <m/>
    <s v="Cơm tăng ca"/>
    <s v="Cơm tăng ca"/>
    <s v="Cơm tăng ca"/>
    <s v="Cơm tăng ca"/>
    <s v="Cơm tăng ca"/>
    <m/>
    <m/>
    <s v="Cơm tăng ca"/>
    <s v="Cơm tăng ca"/>
    <s v="Cơm tăng ca"/>
    <s v="Cơm tăng ca"/>
    <m/>
    <m/>
    <m/>
    <s v="Cơm tăng ca"/>
    <s v="Cơm tăng ca"/>
    <s v="Cơm tăng ca"/>
    <n v="15"/>
  </r>
  <r>
    <s v="Active"/>
    <s v="VCV0804"/>
    <s v="Trần Thiện Thắng "/>
    <x v="0"/>
    <s v="Pro - Packaging"/>
    <s v="Factory"/>
    <m/>
    <m/>
    <m/>
    <m/>
    <m/>
    <m/>
    <m/>
    <m/>
    <m/>
    <m/>
    <s v="Cơm tăng ca"/>
    <m/>
    <m/>
    <m/>
    <m/>
    <m/>
    <s v="Cơm tăng ca"/>
    <s v="Cơm tăng ca"/>
    <s v="Cơm tăng ca"/>
    <s v="Cơm tăng ca"/>
    <m/>
    <m/>
    <m/>
    <s v="Cơm tăng ca"/>
    <s v="Cơm tăng ca"/>
    <s v="Cơm tăng ca"/>
    <s v="Cơm tăng ca"/>
    <m/>
    <m/>
    <m/>
    <m/>
    <m/>
    <n v="9"/>
  </r>
  <r>
    <s v="Active"/>
    <s v="VCV0802"/>
    <s v="Danh Anh Khoa "/>
    <x v="0"/>
    <s v="Pro - Packaging"/>
    <s v="Factory"/>
    <m/>
    <m/>
    <m/>
    <m/>
    <m/>
    <m/>
    <m/>
    <m/>
    <m/>
    <m/>
    <s v="Cơm tăng ca"/>
    <m/>
    <m/>
    <m/>
    <m/>
    <m/>
    <s v="Cơm tăng ca"/>
    <s v="Cơm tăng ca"/>
    <s v="Cơm tăng ca"/>
    <s v="Cơm tăng ca"/>
    <m/>
    <m/>
    <s v="Cơm tăng ca"/>
    <s v="Cơm tăng ca"/>
    <s v="Cơm tăng ca"/>
    <s v="Cơm tăng ca"/>
    <s v="Cơm tăng ca"/>
    <m/>
    <m/>
    <s v="Cơm tăng ca"/>
    <s v="Cơm tăng ca"/>
    <s v="Cơm tăng ca"/>
    <n v="13"/>
  </r>
  <r>
    <s v="Active"/>
    <s v="VCV0774"/>
    <s v="Nguyễn Thị Phước Thủy"/>
    <x v="1"/>
    <s v="Pro - Aging"/>
    <s v="Factory"/>
    <m/>
    <m/>
    <m/>
    <m/>
    <m/>
    <m/>
    <m/>
    <m/>
    <m/>
    <m/>
    <s v="Cơm tăng ca"/>
    <m/>
    <m/>
    <m/>
    <m/>
    <m/>
    <s v="Cơm tăng ca"/>
    <s v="Cơm tăng ca"/>
    <s v="Cơm tăng ca"/>
    <m/>
    <m/>
    <m/>
    <s v="Cơm tăng ca"/>
    <s v="Cơm tăng ca"/>
    <s v="Cơm tăng ca"/>
    <s v="Cơm tăng ca"/>
    <m/>
    <m/>
    <m/>
    <m/>
    <m/>
    <m/>
    <n v="8"/>
  </r>
  <r>
    <s v="Active"/>
    <s v="VCV0725"/>
    <s v="Vòng Thín Pẩu"/>
    <x v="16"/>
    <s v="Pro - Manual Polishing"/>
    <s v="Factory"/>
    <m/>
    <m/>
    <m/>
    <m/>
    <m/>
    <m/>
    <m/>
    <m/>
    <m/>
    <m/>
    <s v="Cơm ca 2"/>
    <s v="Cơm ca 2"/>
    <m/>
    <s v="Cơm Ca 2"/>
    <m/>
    <m/>
    <s v="Cơm ca 2"/>
    <s v="Cơm ca 2"/>
    <m/>
    <m/>
    <m/>
    <m/>
    <m/>
    <m/>
    <m/>
    <s v="Cơm tăng ca"/>
    <m/>
    <m/>
    <m/>
    <s v="Cơm tăng ca"/>
    <m/>
    <m/>
    <n v="7"/>
  </r>
  <r>
    <s v="Active"/>
    <s v="VCV0335"/>
    <s v="Nguyễn Hoàng Thiên Phú"/>
    <x v="3"/>
    <s v="Pro - Welding"/>
    <s v="Factory"/>
    <m/>
    <m/>
    <m/>
    <m/>
    <m/>
    <m/>
    <m/>
    <m/>
    <m/>
    <m/>
    <m/>
    <m/>
    <m/>
    <m/>
    <m/>
    <s v="Cơm tăng ca"/>
    <s v="Cơm tăng ca"/>
    <s v="Cơm tăng ca"/>
    <s v="Cơm tăng ca"/>
    <s v="Cơm tăng ca"/>
    <m/>
    <m/>
    <s v="Cơm tăng ca"/>
    <s v="Cơm tăng ca"/>
    <s v="Cơm tăng ca"/>
    <s v="Cơm tăng ca"/>
    <m/>
    <m/>
    <m/>
    <m/>
    <s v="Cơm tăng ca"/>
    <s v="Cơm tăng ca"/>
    <n v="11"/>
  </r>
  <r>
    <s v="Active"/>
    <s v="VCV0800"/>
    <s v="Nguyễn Bá Tuân"/>
    <x v="0"/>
    <s v="Pro - Packaging"/>
    <s v="Factory"/>
    <m/>
    <m/>
    <m/>
    <m/>
    <m/>
    <m/>
    <m/>
    <m/>
    <m/>
    <m/>
    <m/>
    <m/>
    <m/>
    <m/>
    <m/>
    <m/>
    <s v="Cơm tăng ca"/>
    <s v="Cơm tăng ca"/>
    <s v="Cơm tăng ca"/>
    <s v="Cơm tăng ca"/>
    <m/>
    <m/>
    <s v="Cơm tăng ca"/>
    <s v="Cơm tăng ca"/>
    <s v="Cơm tăng ca"/>
    <s v="Cơm tăng ca"/>
    <m/>
    <m/>
    <m/>
    <s v="Cơm tăng ca"/>
    <s v="Cơm tăng ca"/>
    <s v="Cơm tăng ca"/>
    <n v="11"/>
  </r>
  <r>
    <s v="Active"/>
    <s v="VCV0805"/>
    <s v="Trương Thị Phấn"/>
    <x v="0"/>
    <s v="Pro - Packaging"/>
    <s v="Factory"/>
    <m/>
    <m/>
    <m/>
    <m/>
    <m/>
    <m/>
    <m/>
    <m/>
    <m/>
    <m/>
    <m/>
    <m/>
    <m/>
    <m/>
    <m/>
    <m/>
    <s v="Cơm tăng ca"/>
    <s v="Cơm tăng ca"/>
    <s v="Cơm tăng ca"/>
    <s v="Cơm tăng ca"/>
    <m/>
    <m/>
    <s v="Cơm tăng ca"/>
    <s v="Cơm tăng ca"/>
    <s v="Cơm tăng ca"/>
    <s v="Cơm tăng ca"/>
    <m/>
    <m/>
    <m/>
    <s v="Cơm tăng ca"/>
    <m/>
    <s v="Cơm tăng ca"/>
    <n v="10"/>
  </r>
  <r>
    <s v="Active"/>
    <s v="VCV0801"/>
    <s v="Nguyễn Quốc Cường"/>
    <x v="0"/>
    <s v="Pro - Packaging"/>
    <s v="Factory"/>
    <m/>
    <m/>
    <m/>
    <m/>
    <m/>
    <m/>
    <m/>
    <m/>
    <m/>
    <m/>
    <m/>
    <m/>
    <m/>
    <m/>
    <m/>
    <m/>
    <s v="Cơm tăng ca"/>
    <s v="Cơm tăng ca"/>
    <s v="Cơm tăng ca"/>
    <s v="Cơm tăng ca"/>
    <m/>
    <m/>
    <s v="Cơm tăng ca"/>
    <s v="Cơm tăng ca"/>
    <s v="Cơm tăng ca"/>
    <s v="Cơm tăng ca"/>
    <s v="Cơm tăng ca"/>
    <m/>
    <m/>
    <s v="Cơm tăng ca"/>
    <s v="Cơm tăng ca"/>
    <s v="Cơm tăng ca"/>
    <n v="12"/>
  </r>
  <r>
    <s v="Active"/>
    <s v="VCV0806"/>
    <s v="Trần Vũ Thanh Trọng"/>
    <x v="0"/>
    <s v="Pro - Packaging"/>
    <s v="Factory"/>
    <m/>
    <m/>
    <m/>
    <m/>
    <m/>
    <m/>
    <m/>
    <m/>
    <m/>
    <m/>
    <m/>
    <m/>
    <m/>
    <m/>
    <m/>
    <m/>
    <s v="Cơm tăng ca"/>
    <s v="Cơm tăng ca"/>
    <s v="Cơm tăng ca"/>
    <s v="Cơm tăng ca"/>
    <m/>
    <m/>
    <m/>
    <m/>
    <m/>
    <m/>
    <m/>
    <m/>
    <m/>
    <m/>
    <m/>
    <m/>
    <n v="4"/>
  </r>
  <r>
    <s v="Active"/>
    <s v="VCV0445"/>
    <s v="Đỗ Khương Thịnh"/>
    <x v="11"/>
    <s v="Pro - Data"/>
    <s v="Factory"/>
    <m/>
    <m/>
    <m/>
    <m/>
    <m/>
    <m/>
    <m/>
    <m/>
    <m/>
    <m/>
    <m/>
    <m/>
    <m/>
    <m/>
    <m/>
    <m/>
    <s v="Cơm tăng ca"/>
    <s v="Cơm tăng ca"/>
    <m/>
    <m/>
    <m/>
    <m/>
    <s v="Cơm tăng ca"/>
    <s v="Cơm tăng ca"/>
    <m/>
    <m/>
    <m/>
    <m/>
    <m/>
    <m/>
    <s v="Cơm tăng ca"/>
    <s v="Cơm tăng ca"/>
    <n v="6"/>
  </r>
  <r>
    <s v="Active"/>
    <s v="VCV0781"/>
    <s v="Hà Văn Dần"/>
    <x v="11"/>
    <s v="Pro - Data"/>
    <s v="Factory"/>
    <m/>
    <m/>
    <m/>
    <m/>
    <m/>
    <m/>
    <m/>
    <m/>
    <m/>
    <m/>
    <m/>
    <m/>
    <m/>
    <m/>
    <m/>
    <m/>
    <s v="Cơm tăng ca"/>
    <s v="Cơm tăng ca"/>
    <m/>
    <m/>
    <m/>
    <m/>
    <s v="Cơm tăng ca"/>
    <s v="Cơm tăng ca"/>
    <m/>
    <s v="Cơm tăng ca"/>
    <m/>
    <m/>
    <m/>
    <s v="Cơm tăng ca"/>
    <s v="Cơm tăng ca"/>
    <s v="Cơm tăng ca"/>
    <n v="8"/>
  </r>
  <r>
    <s v="Active"/>
    <s v="VCV0799"/>
    <s v="Trần Quang Thái"/>
    <x v="7"/>
    <s v="Pro - CNC"/>
    <s v="Factory"/>
    <m/>
    <m/>
    <m/>
    <m/>
    <m/>
    <m/>
    <m/>
    <m/>
    <m/>
    <m/>
    <m/>
    <m/>
    <m/>
    <m/>
    <m/>
    <m/>
    <m/>
    <m/>
    <m/>
    <m/>
    <s v="Cơm tăng ca"/>
    <m/>
    <m/>
    <m/>
    <m/>
    <m/>
    <m/>
    <m/>
    <m/>
    <m/>
    <m/>
    <m/>
    <n v="1"/>
  </r>
  <r>
    <s v="Active"/>
    <s v="VCV0618"/>
    <s v="Vi Thị Dục"/>
    <x v="1"/>
    <s v="Pro - Aging"/>
    <s v="Factory"/>
    <m/>
    <m/>
    <m/>
    <m/>
    <m/>
    <m/>
    <m/>
    <m/>
    <m/>
    <m/>
    <m/>
    <m/>
    <m/>
    <m/>
    <m/>
    <m/>
    <s v="Cơm tăng ca"/>
    <s v="Cơm tăng ca"/>
    <s v="Cơm tăng ca"/>
    <m/>
    <m/>
    <m/>
    <s v="Cơm tăng ca"/>
    <s v="Cơm tăng ca"/>
    <s v="Cơm tăng ca"/>
    <s v="Cơm tăng ca"/>
    <m/>
    <m/>
    <m/>
    <s v="Cơm tăng ca"/>
    <m/>
    <m/>
    <n v="8"/>
  </r>
  <r>
    <s v="Active"/>
    <s v="VCV0769"/>
    <s v="Nguyễn Thu Sương"/>
    <x v="1"/>
    <s v="Pro - Aging"/>
    <s v="Factory"/>
    <m/>
    <m/>
    <m/>
    <m/>
    <m/>
    <m/>
    <m/>
    <m/>
    <m/>
    <m/>
    <m/>
    <m/>
    <m/>
    <m/>
    <m/>
    <m/>
    <s v="Cơm tăng ca"/>
    <s v="Cơm tăng ca"/>
    <s v="Cơm tăng ca"/>
    <m/>
    <m/>
    <m/>
    <s v="Cơm tăng ca"/>
    <s v="Cơm tăng ca"/>
    <s v="Cơm tăng ca"/>
    <s v="Cơm tăng ca"/>
    <m/>
    <m/>
    <m/>
    <s v="Cơm tăng ca"/>
    <s v="Cơm tăng ca"/>
    <m/>
    <n v="9"/>
  </r>
  <r>
    <s v="Active"/>
    <s v="VCV0772"/>
    <s v="Trần Thu Hiền"/>
    <x v="1"/>
    <s v="Pro - Aging"/>
    <s v="Factory"/>
    <m/>
    <m/>
    <m/>
    <m/>
    <m/>
    <m/>
    <m/>
    <m/>
    <m/>
    <m/>
    <m/>
    <m/>
    <m/>
    <m/>
    <m/>
    <m/>
    <s v="Cơm tăng ca"/>
    <s v="Cơm tăng ca"/>
    <s v="Cơm tăng ca"/>
    <m/>
    <m/>
    <m/>
    <s v="Cơm tăng ca"/>
    <s v="Cơm tăng ca"/>
    <s v="Cơm tăng ca"/>
    <s v="Cơm tăng ca"/>
    <m/>
    <m/>
    <m/>
    <s v="Cơm tăng ca"/>
    <s v="Cơm tăng ca"/>
    <m/>
    <n v="9"/>
  </r>
  <r>
    <s v="Active"/>
    <s v="VCV0782"/>
    <s v="Hà Thị Thanh"/>
    <x v="1"/>
    <s v="Pro - Aging"/>
    <s v="Factory"/>
    <m/>
    <m/>
    <m/>
    <m/>
    <m/>
    <m/>
    <m/>
    <m/>
    <m/>
    <m/>
    <m/>
    <m/>
    <m/>
    <m/>
    <m/>
    <m/>
    <s v="Cơm tăng ca"/>
    <s v="Cơm tăng ca"/>
    <s v="Cơm tăng ca"/>
    <m/>
    <m/>
    <m/>
    <s v="Cơm tăng ca"/>
    <s v="Cơm tăng ca"/>
    <s v="Cơm tăng ca"/>
    <s v="Cơm tăng ca"/>
    <m/>
    <m/>
    <m/>
    <s v="Cơm tăng ca"/>
    <s v="Cơm tăng ca"/>
    <m/>
    <n v="9"/>
  </r>
  <r>
    <s v="Active"/>
    <s v="VCV0783"/>
    <s v="Đào Thị Kim Oanh"/>
    <x v="1"/>
    <s v="Pro - Aging"/>
    <s v="Factory"/>
    <m/>
    <m/>
    <m/>
    <m/>
    <m/>
    <m/>
    <m/>
    <m/>
    <m/>
    <m/>
    <m/>
    <m/>
    <m/>
    <m/>
    <m/>
    <m/>
    <s v="Cơm tăng ca"/>
    <s v="Cơm tăng ca"/>
    <s v="Cơm tăng ca"/>
    <m/>
    <m/>
    <m/>
    <s v="Cơm tăng ca"/>
    <s v="Cơm tăng ca"/>
    <s v="Cơm tăng ca"/>
    <s v="Cơm tăng ca"/>
    <m/>
    <m/>
    <m/>
    <s v="Cơm tăng ca"/>
    <s v="Cơm tăng ca"/>
    <m/>
    <n v="9"/>
  </r>
  <r>
    <s v="Active"/>
    <s v="VCV0784"/>
    <s v="Nguyễn Thị Thủy"/>
    <x v="1"/>
    <s v="Pro - Aging"/>
    <s v="Factory"/>
    <m/>
    <m/>
    <m/>
    <m/>
    <m/>
    <m/>
    <m/>
    <m/>
    <m/>
    <m/>
    <m/>
    <m/>
    <m/>
    <m/>
    <m/>
    <m/>
    <s v="Cơm tăng ca"/>
    <s v="Cơm tăng ca"/>
    <s v="Cơm tăng ca"/>
    <m/>
    <m/>
    <m/>
    <s v="Cơm tăng ca"/>
    <s v="Cơm tăng ca"/>
    <s v="Cơm tăng ca"/>
    <s v="Cơm tăng ca"/>
    <m/>
    <m/>
    <m/>
    <s v="Cơm tăng ca"/>
    <s v="Cơm tăng ca"/>
    <m/>
    <n v="9"/>
  </r>
  <r>
    <s v="Active"/>
    <s v="VCV0785"/>
    <s v="Nguyễn Thị Hương"/>
    <x v="1"/>
    <s v="Pro - Aging"/>
    <s v="Factory"/>
    <m/>
    <m/>
    <m/>
    <m/>
    <m/>
    <m/>
    <m/>
    <m/>
    <m/>
    <m/>
    <m/>
    <m/>
    <m/>
    <m/>
    <m/>
    <m/>
    <s v="Cơm tăng ca"/>
    <s v="Cơm tăng ca"/>
    <s v="Cơm tăng ca"/>
    <m/>
    <m/>
    <m/>
    <s v="Cơm tăng ca"/>
    <s v="Cơm tăng ca"/>
    <s v="Cơm tăng ca"/>
    <s v="Cơm tăng ca"/>
    <m/>
    <m/>
    <m/>
    <s v="Cơm tăng ca"/>
    <m/>
    <m/>
    <n v="8"/>
  </r>
  <r>
    <s v="Active"/>
    <s v="VCV0786"/>
    <s v="Nguyễn Thị Thanh Huyền"/>
    <x v="1"/>
    <s v="Pro - Aging"/>
    <s v="Factory"/>
    <m/>
    <m/>
    <m/>
    <m/>
    <m/>
    <m/>
    <m/>
    <m/>
    <m/>
    <m/>
    <m/>
    <m/>
    <m/>
    <m/>
    <m/>
    <m/>
    <s v="Cơm tăng ca"/>
    <s v="Cơm tăng ca"/>
    <s v="Cơm tăng ca"/>
    <m/>
    <m/>
    <m/>
    <s v="Cơm tăng ca"/>
    <s v="Cơm tăng ca"/>
    <s v="Cơm tăng ca"/>
    <s v="Cơm tăng ca"/>
    <m/>
    <m/>
    <m/>
    <s v="Cơm tăng ca"/>
    <s v="Cơm tăng ca"/>
    <m/>
    <n v="9"/>
  </r>
  <r>
    <s v="Active"/>
    <s v="VCV0644"/>
    <s v="Trần Nhất Linh"/>
    <x v="8"/>
    <s v="PMC - Quality"/>
    <s v="Factory"/>
    <m/>
    <m/>
    <m/>
    <m/>
    <m/>
    <m/>
    <m/>
    <m/>
    <m/>
    <m/>
    <m/>
    <m/>
    <m/>
    <m/>
    <m/>
    <m/>
    <s v="Cơm tăng ca"/>
    <m/>
    <m/>
    <m/>
    <m/>
    <m/>
    <m/>
    <m/>
    <m/>
    <m/>
    <m/>
    <m/>
    <m/>
    <m/>
    <m/>
    <m/>
    <n v="1"/>
  </r>
  <r>
    <s v="Active"/>
    <s v="VCV0715"/>
    <s v="Đào Ngọc Lướt"/>
    <x v="13"/>
    <s v="PMC - WH"/>
    <s v="Factory"/>
    <m/>
    <m/>
    <m/>
    <m/>
    <m/>
    <m/>
    <m/>
    <m/>
    <m/>
    <m/>
    <m/>
    <m/>
    <m/>
    <m/>
    <m/>
    <m/>
    <s v="Cơm tăng ca"/>
    <s v="Cơm tăng ca"/>
    <m/>
    <m/>
    <m/>
    <m/>
    <s v="Cơm tăng ca"/>
    <m/>
    <m/>
    <m/>
    <m/>
    <m/>
    <m/>
    <s v="Cơm tăng ca"/>
    <s v="Cơm tăng ca"/>
    <s v="Cơm tăng ca"/>
    <n v="6"/>
  </r>
  <r>
    <s v="Active"/>
    <s v="VCV0140"/>
    <s v="Phạm Thành Đạt"/>
    <x v="17"/>
    <s v="COO Office"/>
    <s v="Office"/>
    <m/>
    <m/>
    <m/>
    <m/>
    <m/>
    <m/>
    <m/>
    <m/>
    <m/>
    <m/>
    <m/>
    <m/>
    <m/>
    <m/>
    <m/>
    <m/>
    <m/>
    <s v="Cơm tăng ca"/>
    <s v="Cơm tăng ca"/>
    <m/>
    <m/>
    <m/>
    <m/>
    <s v="Cơm tăng ca"/>
    <m/>
    <m/>
    <m/>
    <m/>
    <m/>
    <m/>
    <m/>
    <m/>
    <n v="3"/>
  </r>
  <r>
    <s v="Active"/>
    <s v="VCV0790"/>
    <s v="Huỳnh Thị Thảo"/>
    <x v="11"/>
    <s v="Pro - Data"/>
    <s v="Factory"/>
    <m/>
    <m/>
    <m/>
    <m/>
    <m/>
    <m/>
    <m/>
    <m/>
    <m/>
    <m/>
    <m/>
    <m/>
    <m/>
    <m/>
    <m/>
    <m/>
    <m/>
    <m/>
    <s v="Cơm tăng ca"/>
    <s v="Cơm tăng ca"/>
    <m/>
    <m/>
    <s v="Cơm tăng ca"/>
    <s v="Cơm tăng ca"/>
    <m/>
    <m/>
    <m/>
    <m/>
    <m/>
    <s v="Cơm tăng ca"/>
    <s v="Cơm tăng ca"/>
    <m/>
    <n v="6"/>
  </r>
  <r>
    <s v="Active"/>
    <s v="VCV0747"/>
    <s v="Nguyễn Quang Đạo"/>
    <x v="11"/>
    <s v="Pro - Data"/>
    <s v="Factory"/>
    <m/>
    <m/>
    <m/>
    <m/>
    <m/>
    <m/>
    <m/>
    <m/>
    <m/>
    <m/>
    <m/>
    <m/>
    <m/>
    <m/>
    <m/>
    <m/>
    <m/>
    <m/>
    <s v="Cơm tăng ca"/>
    <m/>
    <m/>
    <m/>
    <m/>
    <s v="Cơm tăng ca"/>
    <m/>
    <m/>
    <m/>
    <m/>
    <m/>
    <m/>
    <m/>
    <s v="Cơm tăng ca"/>
    <n v="3"/>
  </r>
  <r>
    <s v="Active"/>
    <s v="VCV0811"/>
    <s v="Nguyễn Đức Long"/>
    <x v="2"/>
    <s v="Pro - Painting"/>
    <s v="Factory"/>
    <m/>
    <m/>
    <m/>
    <m/>
    <m/>
    <m/>
    <m/>
    <m/>
    <m/>
    <m/>
    <m/>
    <m/>
    <m/>
    <m/>
    <m/>
    <m/>
    <m/>
    <m/>
    <s v="Cơm tăng ca"/>
    <s v="Cơm tăng ca"/>
    <m/>
    <m/>
    <s v="Cơm tăng ca"/>
    <s v="Cơm tăng ca"/>
    <s v="Cơm tăng ca"/>
    <s v="Cơm tăng ca"/>
    <m/>
    <m/>
    <m/>
    <s v="Cơm tăng ca"/>
    <s v="Cơm tăng ca"/>
    <m/>
    <n v="8"/>
  </r>
  <r>
    <s v="Active"/>
    <s v="VCV0809"/>
    <s v="Phan Trọng Nhân"/>
    <x v="0"/>
    <s v="Pro - Packaging"/>
    <s v="Factory"/>
    <m/>
    <m/>
    <m/>
    <m/>
    <m/>
    <m/>
    <m/>
    <m/>
    <m/>
    <m/>
    <m/>
    <m/>
    <m/>
    <m/>
    <m/>
    <m/>
    <m/>
    <m/>
    <s v="Cơm tăng ca"/>
    <s v="Cơm tăng ca"/>
    <m/>
    <m/>
    <s v="Cơm tăng ca"/>
    <s v="Cơm tăng ca"/>
    <s v="Cơm tăng ca"/>
    <m/>
    <s v="Cơm tăng ca"/>
    <m/>
    <m/>
    <s v="Cơm tăng ca"/>
    <s v="Cơm tăng ca"/>
    <s v="Cơm tăng ca"/>
    <n v="9"/>
  </r>
  <r>
    <s v="Active"/>
    <s v="VCV0810"/>
    <s v="Đặng Thành Ty"/>
    <x v="0"/>
    <s v="Pro - Packaging"/>
    <s v="Factory"/>
    <m/>
    <m/>
    <m/>
    <m/>
    <m/>
    <m/>
    <m/>
    <m/>
    <m/>
    <m/>
    <m/>
    <m/>
    <m/>
    <m/>
    <m/>
    <m/>
    <m/>
    <m/>
    <s v="Cơm tăng ca"/>
    <s v="Cơm tăng ca"/>
    <m/>
    <m/>
    <s v="Cơm tăng ca"/>
    <s v="Cơm tăng ca"/>
    <s v="Cơm tăng ca"/>
    <s v="Cơm tăng ca"/>
    <s v="Cơm tăng ca"/>
    <m/>
    <m/>
    <s v="Cơm tăng ca"/>
    <s v="Cơm tăng ca"/>
    <s v="Cơm tăng ca"/>
    <n v="10"/>
  </r>
  <r>
    <s v="Active"/>
    <s v="VCV0477"/>
    <s v="Lý Hoàng Chương"/>
    <x v="6"/>
    <s v="Pro - Fabrication"/>
    <s v="Factory"/>
    <m/>
    <m/>
    <m/>
    <m/>
    <m/>
    <m/>
    <m/>
    <m/>
    <m/>
    <m/>
    <m/>
    <m/>
    <m/>
    <m/>
    <m/>
    <m/>
    <m/>
    <m/>
    <m/>
    <s v="Cơm tăng ca"/>
    <m/>
    <m/>
    <m/>
    <m/>
    <s v="Cơm tăng ca"/>
    <s v="Cơm tăng ca"/>
    <m/>
    <m/>
    <m/>
    <s v="Cơm tăng ca"/>
    <s v="Cơm tăng ca"/>
    <s v="Cơm tăng ca"/>
    <n v="6"/>
  </r>
  <r>
    <s v="Active"/>
    <s v="VCV0267"/>
    <s v="Huỳnh Minh Hiếu"/>
    <x v="2"/>
    <s v="Pro - Painting"/>
    <s v="Factory"/>
    <m/>
    <m/>
    <m/>
    <m/>
    <m/>
    <m/>
    <m/>
    <m/>
    <m/>
    <m/>
    <m/>
    <m/>
    <m/>
    <m/>
    <m/>
    <m/>
    <m/>
    <m/>
    <m/>
    <s v="Cơm tăng ca"/>
    <m/>
    <m/>
    <s v="Cơm tăng ca"/>
    <s v="Cơm tăng ca"/>
    <m/>
    <s v="Cơm tăng ca"/>
    <m/>
    <m/>
    <m/>
    <s v="Cơm tăng ca"/>
    <s v="Cơm tăng ca"/>
    <m/>
    <n v="6"/>
  </r>
  <r>
    <s v="Active"/>
    <s v="VCV0251"/>
    <s v="Ngô Thị Thùy Em"/>
    <x v="8"/>
    <s v="PMC - Quality"/>
    <s v="Factory"/>
    <m/>
    <m/>
    <m/>
    <m/>
    <m/>
    <m/>
    <m/>
    <m/>
    <m/>
    <m/>
    <m/>
    <m/>
    <m/>
    <m/>
    <m/>
    <m/>
    <m/>
    <m/>
    <m/>
    <m/>
    <m/>
    <m/>
    <s v="Cơm tăng ca"/>
    <m/>
    <m/>
    <m/>
    <m/>
    <m/>
    <m/>
    <m/>
    <m/>
    <m/>
    <n v="1"/>
  </r>
  <r>
    <s v="Active"/>
    <s v="VCV0004"/>
    <s v="Trần Thu Thủy"/>
    <x v="8"/>
    <s v="PMC - Quality"/>
    <s v="Factory"/>
    <m/>
    <m/>
    <m/>
    <m/>
    <m/>
    <m/>
    <m/>
    <m/>
    <m/>
    <m/>
    <m/>
    <m/>
    <m/>
    <m/>
    <m/>
    <m/>
    <m/>
    <m/>
    <m/>
    <m/>
    <m/>
    <m/>
    <m/>
    <m/>
    <s v="Cơm tăng ca"/>
    <m/>
    <m/>
    <m/>
    <m/>
    <m/>
    <m/>
    <m/>
    <n v="1"/>
  </r>
  <r>
    <s v="Active"/>
    <s v="VCV0813"/>
    <s v="Bùi Nguyễn Minh Hoàng"/>
    <x v="0"/>
    <s v="Pro - Packaging"/>
    <s v="Factory"/>
    <m/>
    <m/>
    <m/>
    <m/>
    <m/>
    <m/>
    <m/>
    <m/>
    <m/>
    <m/>
    <m/>
    <m/>
    <m/>
    <m/>
    <m/>
    <m/>
    <m/>
    <m/>
    <m/>
    <m/>
    <m/>
    <m/>
    <m/>
    <m/>
    <m/>
    <s v="Cơm tăng ca"/>
    <m/>
    <m/>
    <m/>
    <s v="Cơm tăng ca"/>
    <s v="Cơm tăng ca"/>
    <s v="Cơm tăng ca"/>
    <n v="4"/>
  </r>
  <r>
    <s v="Active"/>
    <s v="VCV0209"/>
    <s v="Hoàng Thị Thảo"/>
    <x v="8"/>
    <s v="PMC - Quality"/>
    <s v="Factory"/>
    <m/>
    <m/>
    <m/>
    <m/>
    <m/>
    <m/>
    <m/>
    <m/>
    <m/>
    <m/>
    <m/>
    <m/>
    <m/>
    <m/>
    <m/>
    <m/>
    <m/>
    <m/>
    <m/>
    <m/>
    <m/>
    <m/>
    <m/>
    <m/>
    <m/>
    <m/>
    <s v="Cơm tăng ca"/>
    <m/>
    <m/>
    <m/>
    <m/>
    <m/>
    <n v="1"/>
  </r>
  <r>
    <s v="Active"/>
    <s v="VCV0812"/>
    <s v="Nguyễn Xuân Vũ"/>
    <x v="0"/>
    <s v="Pro - Packaging"/>
    <s v="Factory"/>
    <m/>
    <m/>
    <m/>
    <m/>
    <m/>
    <m/>
    <m/>
    <m/>
    <m/>
    <m/>
    <m/>
    <m/>
    <m/>
    <m/>
    <m/>
    <m/>
    <m/>
    <m/>
    <m/>
    <m/>
    <m/>
    <m/>
    <m/>
    <m/>
    <m/>
    <m/>
    <s v="Cơm tăng ca"/>
    <m/>
    <m/>
    <m/>
    <m/>
    <m/>
    <n v="1"/>
  </r>
  <r>
    <m/>
    <m/>
    <m/>
    <x v="18"/>
    <m/>
    <m/>
    <m/>
    <m/>
    <m/>
    <m/>
    <m/>
    <m/>
    <m/>
    <m/>
    <m/>
    <m/>
    <m/>
    <m/>
    <m/>
    <m/>
    <m/>
    <m/>
    <m/>
    <m/>
    <m/>
    <m/>
    <m/>
    <m/>
    <m/>
    <m/>
    <m/>
    <m/>
    <m/>
    <m/>
    <m/>
    <m/>
    <m/>
    <m/>
    <m/>
  </r>
  <r>
    <m/>
    <m/>
    <m/>
    <x v="18"/>
    <m/>
    <m/>
    <m/>
    <m/>
    <m/>
    <m/>
    <m/>
    <m/>
    <m/>
    <m/>
    <m/>
    <m/>
    <m/>
    <m/>
    <m/>
    <m/>
    <m/>
    <m/>
    <m/>
    <m/>
    <m/>
    <m/>
    <m/>
    <m/>
    <m/>
    <m/>
    <m/>
    <m/>
    <m/>
    <m/>
    <m/>
    <m/>
    <m/>
    <m/>
    <m/>
  </r>
  <r>
    <m/>
    <m/>
    <m/>
    <x v="18"/>
    <m/>
    <m/>
    <m/>
    <m/>
    <m/>
    <m/>
    <m/>
    <m/>
    <m/>
    <m/>
    <m/>
    <m/>
    <m/>
    <m/>
    <m/>
    <m/>
    <m/>
    <m/>
    <m/>
    <m/>
    <m/>
    <m/>
    <m/>
    <m/>
    <m/>
    <m/>
    <m/>
    <m/>
    <m/>
    <m/>
    <m/>
    <m/>
    <m/>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s v="Active"/>
    <n v="26000"/>
    <s v="Nguyễn Thị Ngọc Nữ"/>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01"/>
    <s v="Trần Minh Thiện"/>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04"/>
    <s v="Trần Thị Oanh Đào"/>
    <x v="0"/>
    <m/>
    <s v="Dầu Giây"/>
    <m/>
    <m/>
    <m/>
    <m/>
    <m/>
    <m/>
    <m/>
    <m/>
    <m/>
    <m/>
    <m/>
    <m/>
    <m/>
    <m/>
    <m/>
    <m/>
    <m/>
    <m/>
    <m/>
    <m/>
    <m/>
    <m/>
    <m/>
    <s v="Sáng - Mặn - Xưởng"/>
    <s v="Sáng - Mặn - Xưởng"/>
    <s v="Sáng - Mặn - Xưởng"/>
    <s v="Sáng - Mặn - Xưởng"/>
    <s v="Sáng - Mặn - Xưởng"/>
    <m/>
    <m/>
    <s v="Sáng - Mặn - Xưởng"/>
    <s v="Sáng - Mặn - Xưởng"/>
    <n v="7"/>
  </r>
  <r>
    <s v="Active"/>
    <n v="26005"/>
    <s v="Nguyễn Minh Lâm"/>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06"/>
    <s v="Nguyễn Ngọc Quỳnh Như"/>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07"/>
    <s v="Nguyễn Văn Duyên"/>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09"/>
    <s v="Trần Minh Kim"/>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10"/>
    <s v="Phan Huynh Ngọc Diễm"/>
    <x v="0"/>
    <m/>
    <s v="Dầu Giây"/>
    <m/>
    <m/>
    <m/>
    <m/>
    <m/>
    <m/>
    <m/>
    <m/>
    <m/>
    <m/>
    <m/>
    <m/>
    <m/>
    <m/>
    <m/>
    <m/>
    <m/>
    <m/>
    <m/>
    <m/>
    <m/>
    <m/>
    <m/>
    <s v="Sáng - Mặn - Xưởng"/>
    <s v="Sáng - Mặn - Xưởng"/>
    <s v="Sáng - Mặn - Xưởng"/>
    <s v="Sáng - Mặn - Xưởng"/>
    <s v="Sáng - Mặn - Xưởng"/>
    <m/>
    <s v="Sáng - Mặn - Xưởng"/>
    <s v="Sáng - Mặn - Xưởng"/>
    <m/>
    <n v="7"/>
  </r>
  <r>
    <s v="Active"/>
    <n v="26011"/>
    <s v="Lê Đức Quyền"/>
    <x v="0"/>
    <m/>
    <s v="Dầu Giây"/>
    <m/>
    <m/>
    <m/>
    <m/>
    <m/>
    <m/>
    <m/>
    <m/>
    <m/>
    <m/>
    <m/>
    <m/>
    <m/>
    <m/>
    <m/>
    <m/>
    <m/>
    <m/>
    <m/>
    <m/>
    <m/>
    <m/>
    <m/>
    <s v="Sáng - Mặn - Xưởng"/>
    <s v="Sáng - Mặn - Xưởng"/>
    <s v="Sáng - Mặn - Xưởng"/>
    <s v="Sáng - Mặn - Xưởng"/>
    <s v="Sáng - Mặn - Xưởng"/>
    <m/>
    <m/>
    <s v="Sáng - Mặn - Xưởng"/>
    <s v="Sáng - Mặn - Xưởng"/>
    <n v="7"/>
  </r>
  <r>
    <s v="Active"/>
    <n v="26012"/>
    <s v="Nguyễn Văn Thông"/>
    <x v="0"/>
    <m/>
    <s v="Dầu Giây"/>
    <m/>
    <m/>
    <m/>
    <m/>
    <m/>
    <m/>
    <m/>
    <m/>
    <m/>
    <m/>
    <m/>
    <m/>
    <m/>
    <m/>
    <m/>
    <m/>
    <m/>
    <m/>
    <m/>
    <m/>
    <m/>
    <m/>
    <m/>
    <s v="Sáng - Mặn - Xưởng"/>
    <s v="Sáng - Mặn - Xưởng"/>
    <s v="Sáng - Mặn - Xưởng"/>
    <s v="Sáng - Mặn - Xưởng"/>
    <s v="Sáng - Mặn - Xưởng"/>
    <m/>
    <m/>
    <s v="Sáng - Mặn - Xưởng"/>
    <s v="Sáng - Mặn - Xưởng"/>
    <n v="7"/>
  </r>
  <r>
    <s v="Active"/>
    <n v="26013"/>
    <s v="Lê Phạm Như Quỳnh"/>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14"/>
    <s v="Trương Vũ Thiên Nhi"/>
    <x v="0"/>
    <m/>
    <s v="Dầu Giây"/>
    <m/>
    <m/>
    <m/>
    <m/>
    <m/>
    <m/>
    <m/>
    <m/>
    <m/>
    <m/>
    <m/>
    <m/>
    <m/>
    <m/>
    <m/>
    <m/>
    <m/>
    <m/>
    <m/>
    <m/>
    <m/>
    <m/>
    <m/>
    <m/>
    <s v="Sáng - Mặn - Xưởng"/>
    <s v="Sáng - Mặn - Xưởng"/>
    <m/>
    <m/>
    <m/>
    <m/>
    <s v="Sáng - Mặn - Xưởng"/>
    <s v="Sáng - Mặn - Xưởng"/>
    <n v="4"/>
  </r>
  <r>
    <s v="Active"/>
    <n v="26016"/>
    <s v="Phạm Anh Vũ"/>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17"/>
    <s v="Bùi Vũ Bảo Trâm"/>
    <x v="0"/>
    <m/>
    <s v="Dầu Giây"/>
    <m/>
    <m/>
    <m/>
    <m/>
    <m/>
    <m/>
    <m/>
    <m/>
    <m/>
    <m/>
    <m/>
    <m/>
    <m/>
    <m/>
    <m/>
    <m/>
    <m/>
    <m/>
    <m/>
    <m/>
    <m/>
    <m/>
    <m/>
    <s v="Sáng - Mặn - Xưởng"/>
    <m/>
    <s v="Sáng - Mặn - Xưởng"/>
    <s v="Sáng - Mặn - Xưởng"/>
    <s v="Sáng - Mặn - Xưởng"/>
    <m/>
    <m/>
    <s v="Sáng - Mặn - Xưởng"/>
    <s v="Sáng - Mặn - Xưởng"/>
    <n v="6"/>
  </r>
  <r>
    <s v="Active"/>
    <n v="26003"/>
    <s v="Thòng Hoàng Long"/>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n v="26002"/>
    <s v="Trần Hoài Yến Nhi"/>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m/>
    <s v="Phạm Thị Thuỳ Tiên"/>
    <x v="0"/>
    <m/>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m/>
    <s v="Võ Minh Đạt"/>
    <x v="0"/>
    <m/>
    <s v="Dầu Giây"/>
    <m/>
    <m/>
    <m/>
    <m/>
    <m/>
    <m/>
    <m/>
    <m/>
    <m/>
    <m/>
    <m/>
    <m/>
    <m/>
    <m/>
    <m/>
    <m/>
    <m/>
    <m/>
    <m/>
    <m/>
    <m/>
    <m/>
    <m/>
    <s v="Sáng - Mặn - Xưởng"/>
    <s v="Sáng - Mặn - Xưởng"/>
    <s v="Sáng - Mặn - Xưởng"/>
    <m/>
    <m/>
    <m/>
    <m/>
    <s v="Sáng - Mặn - Xưởng"/>
    <s v="Sáng - Mặn - Xưởng"/>
    <n v="5"/>
  </r>
  <r>
    <s v="Active"/>
    <s v="VCV0320"/>
    <s v="Đõ Lệ Ngọc"/>
    <x v="1"/>
    <s v="PMC - WH"/>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s v=" VCV0788"/>
    <s v="Diệu Ngọc"/>
    <x v="1"/>
    <s v="PMC - WH"/>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s v="VCV0719"/>
    <s v="Trịnh Xuân Trường"/>
    <x v="1"/>
    <s v="PMC - WH"/>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s v="VCV0750"/>
    <s v="Huỳnh Khang Duy"/>
    <x v="1"/>
    <s v="PMC - WH"/>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s v="VCV0623"/>
    <s v="Phạm Văn Tuấn"/>
    <x v="1"/>
    <s v="PMC - WH"/>
    <s v="Dầu Giây"/>
    <m/>
    <m/>
    <m/>
    <m/>
    <m/>
    <m/>
    <m/>
    <m/>
    <m/>
    <m/>
    <m/>
    <m/>
    <m/>
    <m/>
    <m/>
    <m/>
    <m/>
    <m/>
    <m/>
    <m/>
    <m/>
    <m/>
    <m/>
    <s v="Sáng - Mặn - Xưởng"/>
    <s v="Sáng - Mặn - Xưởng"/>
    <s v="Sáng - Mặn - Xưởng"/>
    <s v="Sáng - Mặn - Xưởng"/>
    <m/>
    <m/>
    <s v="Sáng - Mặn - Xưởng"/>
    <s v="Sáng - Mặn - Xưởng"/>
    <s v="Sáng - Mặn - Xưởng"/>
    <n v="7"/>
  </r>
  <r>
    <s v="Active"/>
    <s v="VCV0787 "/>
    <s v="Nguyễn Phúc Ân"/>
    <x v="1"/>
    <s v="PMC - WH"/>
    <s v="Dầu Giây"/>
    <m/>
    <m/>
    <m/>
    <m/>
    <m/>
    <m/>
    <m/>
    <m/>
    <m/>
    <m/>
    <m/>
    <m/>
    <m/>
    <m/>
    <m/>
    <m/>
    <m/>
    <m/>
    <m/>
    <m/>
    <m/>
    <m/>
    <m/>
    <s v="Sáng - Mặn - Xưởng"/>
    <s v="Sáng - Mặn - Xưởng"/>
    <m/>
    <m/>
    <m/>
    <m/>
    <m/>
    <m/>
    <s v="Sáng - Mặn - Xưởng"/>
    <n v="3"/>
  </r>
  <r>
    <s v="Active"/>
    <s v="VCV0756"/>
    <s v="Lường Chắn Hoa"/>
    <x v="1"/>
    <s v="PMC - WH"/>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m/>
    <s v="Trần Minh Hiếu"/>
    <x v="1"/>
    <s v="PMC - WH"/>
    <s v="Dầu Giây"/>
    <m/>
    <m/>
    <m/>
    <m/>
    <m/>
    <m/>
    <m/>
    <m/>
    <m/>
    <m/>
    <m/>
    <m/>
    <m/>
    <m/>
    <m/>
    <m/>
    <m/>
    <m/>
    <m/>
    <m/>
    <m/>
    <m/>
    <m/>
    <s v="Sáng - Mặn - Xưởng"/>
    <s v="Sáng - Mặn - Xưởng"/>
    <s v="Sáng - Mặn - Xưởng"/>
    <s v="Sáng - Mặn - Xưởng"/>
    <s v="Sáng - Mặn - Xưởng"/>
    <m/>
    <s v="Sáng - Mặn - Xưởng"/>
    <s v="Sáng - Mặn - Xưởng"/>
    <s v="Sáng - Mặn - Xưởng"/>
    <n v="8"/>
  </r>
  <r>
    <s v="Active"/>
    <s v="VCV0444"/>
    <s v="Lê Doãn Hội"/>
    <x v="1"/>
    <s v="PMC - WH"/>
    <s v="Dầu Giây"/>
    <m/>
    <m/>
    <m/>
    <m/>
    <m/>
    <m/>
    <m/>
    <m/>
    <m/>
    <m/>
    <m/>
    <m/>
    <m/>
    <m/>
    <m/>
    <m/>
    <m/>
    <m/>
    <m/>
    <m/>
    <m/>
    <m/>
    <m/>
    <m/>
    <s v="Sáng - Mặn - Xưởng"/>
    <m/>
    <s v="Sáng - Mặn - Xưởng"/>
    <s v="Sáng - Mặn - Xưởng"/>
    <m/>
    <s v="Sáng - Mặn - Xưởng"/>
    <s v="Sáng - Mặn - Xưởng"/>
    <s v="Sáng - Mặn - Xưởng"/>
    <n v="6"/>
  </r>
  <r>
    <s v="Active"/>
    <s v="VCV0501"/>
    <s v="Nguyễn Văn Phước"/>
    <x v="1"/>
    <s v="PMC - WH"/>
    <s v="Dầu Giây"/>
    <m/>
    <m/>
    <m/>
    <m/>
    <m/>
    <m/>
    <m/>
    <m/>
    <m/>
    <m/>
    <m/>
    <m/>
    <m/>
    <m/>
    <m/>
    <m/>
    <m/>
    <m/>
    <m/>
    <m/>
    <m/>
    <m/>
    <m/>
    <s v="Sáng - Mặn - Xưởng"/>
    <m/>
    <m/>
    <s v="Sáng - Mặn - Xưởng"/>
    <s v="Sáng - Mặn - Xưởng"/>
    <m/>
    <s v="Sáng - Mặn - Xưởng"/>
    <s v="Sáng - Mặn - Xưởng"/>
    <m/>
    <n v="5"/>
  </r>
  <r>
    <s v="Active"/>
    <s v="VCV0770"/>
    <s v="Tsần Thị Hồng Linh"/>
    <x v="1"/>
    <s v="PMC - WH"/>
    <s v="Dầu Giây"/>
    <m/>
    <m/>
    <m/>
    <m/>
    <m/>
    <m/>
    <m/>
    <m/>
    <m/>
    <m/>
    <m/>
    <m/>
    <m/>
    <m/>
    <m/>
    <m/>
    <m/>
    <m/>
    <m/>
    <m/>
    <m/>
    <m/>
    <m/>
    <m/>
    <m/>
    <m/>
    <s v="Sáng - Mặn - Xưởng"/>
    <m/>
    <m/>
    <m/>
    <m/>
    <m/>
    <n v="1"/>
  </r>
  <r>
    <s v="Active"/>
    <m/>
    <s v="Vũ Đại Thắng"/>
    <x v="1"/>
    <s v="PMC - WH"/>
    <s v="Dầu Giây"/>
    <m/>
    <m/>
    <m/>
    <m/>
    <m/>
    <m/>
    <m/>
    <m/>
    <m/>
    <m/>
    <m/>
    <m/>
    <m/>
    <m/>
    <m/>
    <m/>
    <m/>
    <m/>
    <m/>
    <m/>
    <m/>
    <m/>
    <m/>
    <m/>
    <m/>
    <m/>
    <m/>
    <m/>
    <m/>
    <m/>
    <s v="Sáng - Mặn - Xưởng"/>
    <m/>
    <n v="1"/>
  </r>
  <r>
    <s v="Active"/>
    <s v="VCV0807"/>
    <s v="Mã Cắm Phùng"/>
    <x v="1"/>
    <s v="PMC - WH"/>
    <s v="Dầu Giây"/>
    <m/>
    <m/>
    <m/>
    <m/>
    <m/>
    <m/>
    <m/>
    <m/>
    <m/>
    <m/>
    <m/>
    <m/>
    <m/>
    <m/>
    <m/>
    <m/>
    <m/>
    <m/>
    <m/>
    <m/>
    <m/>
    <m/>
    <m/>
    <m/>
    <m/>
    <m/>
    <s v="Sáng - Mặn - Xưởng"/>
    <m/>
    <m/>
    <m/>
    <m/>
    <m/>
    <n v="1"/>
  </r>
  <r>
    <s v="Active"/>
    <m/>
    <s v="Phạm Song Quý"/>
    <x v="2"/>
    <s v="Driver"/>
    <s v="Dầu Giây"/>
    <m/>
    <m/>
    <m/>
    <m/>
    <m/>
    <m/>
    <m/>
    <m/>
    <m/>
    <m/>
    <m/>
    <m/>
    <m/>
    <m/>
    <m/>
    <m/>
    <m/>
    <m/>
    <m/>
    <m/>
    <m/>
    <m/>
    <m/>
    <s v="Sáng - Mặn - Xưởng"/>
    <s v="Sáng - Mặn - Xưởng"/>
    <m/>
    <m/>
    <m/>
    <m/>
    <s v="Sáng - Mặn - Xưởng"/>
    <m/>
    <m/>
    <n v="3"/>
  </r>
  <r>
    <s v="Active"/>
    <m/>
    <s v="Đỗ Đông Đức"/>
    <x v="2"/>
    <s v="Driver"/>
    <s v="Dầu Giây"/>
    <m/>
    <m/>
    <m/>
    <m/>
    <m/>
    <m/>
    <m/>
    <m/>
    <m/>
    <m/>
    <m/>
    <m/>
    <m/>
    <m/>
    <m/>
    <m/>
    <m/>
    <m/>
    <m/>
    <m/>
    <m/>
    <m/>
    <m/>
    <s v="Sáng - Mặn - Xưởng"/>
    <s v="Sáng - Mặn - Xưởng"/>
    <m/>
    <s v="Sáng - Mặn - Xưởng"/>
    <s v="Sáng - Mặn - Xưởng"/>
    <m/>
    <s v="Sáng - Mặn - Xưởng"/>
    <m/>
    <s v="Sáng - Mặn - Xưởng"/>
    <n v="6"/>
  </r>
  <r>
    <s v="Active"/>
    <m/>
    <s v="Nguyễn Ngân"/>
    <x v="2"/>
    <s v="Driver"/>
    <s v="Dầu Giây"/>
    <m/>
    <m/>
    <m/>
    <m/>
    <m/>
    <m/>
    <m/>
    <m/>
    <m/>
    <m/>
    <m/>
    <m/>
    <m/>
    <m/>
    <m/>
    <m/>
    <m/>
    <m/>
    <m/>
    <m/>
    <m/>
    <m/>
    <m/>
    <s v="Sáng - Mặn - Xưởng"/>
    <m/>
    <m/>
    <s v="Sáng - Mặn - Xưởng"/>
    <s v="Sáng - Mặn - Xưởng"/>
    <m/>
    <s v="Sáng - Mặn - Xưởng"/>
    <s v="Sáng - Mặn - Xưởng"/>
    <m/>
    <n v="5"/>
  </r>
  <r>
    <s v="Active"/>
    <m/>
    <s v="Nguyễn Đức Ân"/>
    <x v="2"/>
    <s v="Driver"/>
    <s v="Dầu Giây"/>
    <m/>
    <m/>
    <m/>
    <m/>
    <m/>
    <m/>
    <m/>
    <m/>
    <m/>
    <m/>
    <m/>
    <m/>
    <m/>
    <m/>
    <m/>
    <m/>
    <m/>
    <m/>
    <m/>
    <m/>
    <m/>
    <m/>
    <m/>
    <m/>
    <m/>
    <m/>
    <s v="Sáng - Mặn - Xưởng"/>
    <m/>
    <m/>
    <m/>
    <m/>
    <m/>
    <n v="1"/>
  </r>
  <r>
    <s v="Active"/>
    <m/>
    <s v="Lã Công Trung"/>
    <x v="3"/>
    <s v="PMC - Quality"/>
    <s v="Dầu Giây"/>
    <m/>
    <m/>
    <m/>
    <m/>
    <m/>
    <m/>
    <m/>
    <m/>
    <m/>
    <m/>
    <m/>
    <m/>
    <m/>
    <m/>
    <m/>
    <m/>
    <m/>
    <m/>
    <m/>
    <m/>
    <m/>
    <m/>
    <m/>
    <s v="Sáng - Mặn - Xưởng"/>
    <m/>
    <m/>
    <s v="Sáng - Mặn - Xưởng"/>
    <m/>
    <m/>
    <s v="Sáng - Mặn - Xưởng"/>
    <m/>
    <m/>
    <n v="3"/>
  </r>
  <r>
    <s v="Active"/>
    <m/>
    <s v="Phạm Quan Thái"/>
    <x v="4"/>
    <s v="COO - Maintenance"/>
    <s v="Dầu Giây"/>
    <m/>
    <m/>
    <m/>
    <m/>
    <m/>
    <m/>
    <m/>
    <m/>
    <m/>
    <m/>
    <m/>
    <m/>
    <m/>
    <m/>
    <m/>
    <m/>
    <m/>
    <m/>
    <m/>
    <m/>
    <m/>
    <m/>
    <m/>
    <s v="Sáng - Mặn - Xưởng"/>
    <s v="Sáng - Mặn - Xưởng"/>
    <s v="Sáng - Mặn - Xưởng"/>
    <s v="Sáng - Mặn - Xưởng"/>
    <s v="Sáng - Mặn - Xưởng"/>
    <m/>
    <m/>
    <m/>
    <m/>
    <n v="5"/>
  </r>
  <r>
    <s v="Active"/>
    <m/>
    <s v="Nguyễn Hoàng Khang"/>
    <x v="4"/>
    <s v="COO - Maintenance"/>
    <s v="Dầu Giây"/>
    <m/>
    <m/>
    <m/>
    <m/>
    <m/>
    <m/>
    <m/>
    <m/>
    <m/>
    <m/>
    <m/>
    <m/>
    <m/>
    <m/>
    <m/>
    <m/>
    <m/>
    <m/>
    <m/>
    <m/>
    <m/>
    <m/>
    <m/>
    <s v="Sáng - Mặn - Xưởng"/>
    <s v="Sáng - Mặn - Xưởng"/>
    <s v="Sáng - Mặn - Xưởng"/>
    <s v="Sáng - Mặn - Xưởng"/>
    <s v="Sáng - Mặn - Xưởng"/>
    <m/>
    <s v="Sáng - Mặn - Xưởng"/>
    <m/>
    <m/>
    <n v="6"/>
  </r>
  <r>
    <s v="Active"/>
    <m/>
    <s v="Đặng Văn Long"/>
    <x v="4"/>
    <s v="COO - Maintenance"/>
    <s v="Dầu Giây"/>
    <m/>
    <m/>
    <m/>
    <m/>
    <m/>
    <m/>
    <m/>
    <m/>
    <m/>
    <m/>
    <m/>
    <m/>
    <m/>
    <m/>
    <m/>
    <m/>
    <m/>
    <m/>
    <m/>
    <m/>
    <m/>
    <m/>
    <m/>
    <m/>
    <m/>
    <s v="Sáng - Mặn - Xưởng"/>
    <m/>
    <m/>
    <m/>
    <s v="Sáng - Mặn - Xưởng"/>
    <m/>
    <m/>
    <n v="2"/>
  </r>
  <r>
    <s v="Active"/>
    <m/>
    <s v="Trần Kim Hải"/>
    <x v="2"/>
    <s v="Security"/>
    <s v="Dầu Giây"/>
    <m/>
    <m/>
    <m/>
    <m/>
    <m/>
    <m/>
    <m/>
    <m/>
    <m/>
    <m/>
    <m/>
    <m/>
    <m/>
    <m/>
    <m/>
    <m/>
    <m/>
    <m/>
    <m/>
    <m/>
    <m/>
    <m/>
    <m/>
    <m/>
    <m/>
    <m/>
    <m/>
    <m/>
    <m/>
    <m/>
    <s v="Sáng - Mặn - Xưởng"/>
    <s v="Sáng - Mặn - Xưởng"/>
    <n v="2"/>
  </r>
  <r>
    <s v="Active"/>
    <m/>
    <s v="Lý Văn Trung"/>
    <x v="2"/>
    <s v="Security"/>
    <s v="Dầu Giây"/>
    <m/>
    <m/>
    <m/>
    <m/>
    <m/>
    <m/>
    <m/>
    <m/>
    <m/>
    <m/>
    <m/>
    <m/>
    <m/>
    <m/>
    <m/>
    <m/>
    <m/>
    <m/>
    <m/>
    <m/>
    <m/>
    <m/>
    <m/>
    <m/>
    <m/>
    <m/>
    <m/>
    <m/>
    <m/>
    <m/>
    <m/>
    <m/>
    <n v="0"/>
  </r>
  <r>
    <s v="Active"/>
    <m/>
    <s v="Shipping fee"/>
    <x v="5"/>
    <s v="Pro - Expat"/>
    <s v="Dầu Giây"/>
    <m/>
    <m/>
    <m/>
    <m/>
    <m/>
    <m/>
    <m/>
    <m/>
    <m/>
    <m/>
    <m/>
    <m/>
    <m/>
    <m/>
    <m/>
    <m/>
    <m/>
    <m/>
    <m/>
    <m/>
    <m/>
    <m/>
    <m/>
    <s v="Sáng - Trung"/>
    <s v="Sáng - Trung"/>
    <s v="Sáng - Trung"/>
    <s v="Sáng - Trung"/>
    <s v="Sáng - Trung"/>
    <m/>
    <s v="Sáng - Trung"/>
    <s v="Sáng - Trung"/>
    <s v="Sáng - Trung"/>
    <n v="8"/>
  </r>
  <r>
    <s v="Active"/>
    <m/>
    <s v="Shipping fee"/>
    <x v="5"/>
    <s v="Pro - Expat"/>
    <s v="Dầu Giây"/>
    <m/>
    <m/>
    <m/>
    <m/>
    <m/>
    <m/>
    <m/>
    <m/>
    <m/>
    <m/>
    <m/>
    <m/>
    <m/>
    <m/>
    <m/>
    <m/>
    <m/>
    <m/>
    <m/>
    <m/>
    <m/>
    <m/>
    <m/>
    <s v="Sáng - Trung"/>
    <s v="Sáng - Trung"/>
    <s v="Sáng - Trung"/>
    <s v="Sáng - Trung"/>
    <s v="Sáng - Trung"/>
    <m/>
    <s v="Sáng - Trung"/>
    <s v="Sáng - Trung"/>
    <s v="Sáng - Trung"/>
    <n v="8"/>
  </r>
  <r>
    <s v="Active"/>
    <m/>
    <s v="ZHANG LANG XING "/>
    <x v="5"/>
    <s v="Pro - Expat"/>
    <s v="Dầu Giây"/>
    <m/>
    <m/>
    <m/>
    <m/>
    <m/>
    <m/>
    <m/>
    <m/>
    <m/>
    <m/>
    <m/>
    <m/>
    <m/>
    <m/>
    <m/>
    <m/>
    <m/>
    <m/>
    <m/>
    <m/>
    <m/>
    <m/>
    <m/>
    <s v="Sáng - Trung"/>
    <s v="Sáng - Trung"/>
    <s v="Sáng - Trung"/>
    <s v="Sáng - Trung"/>
    <s v="Sáng - Trung"/>
    <s v="Sáng - Trung"/>
    <s v="Sáng - Trung"/>
    <m/>
    <m/>
    <n v="7"/>
  </r>
  <r>
    <s v="Active"/>
    <m/>
    <s v="ZHANG FANXING "/>
    <x v="5"/>
    <s v="Pro - Expat"/>
    <s v="Dầu Giây"/>
    <m/>
    <m/>
    <m/>
    <m/>
    <m/>
    <m/>
    <m/>
    <m/>
    <m/>
    <m/>
    <m/>
    <m/>
    <m/>
    <m/>
    <m/>
    <m/>
    <m/>
    <m/>
    <m/>
    <m/>
    <m/>
    <m/>
    <m/>
    <s v="Sáng - Trung"/>
    <s v="Sáng - Trung"/>
    <s v="Sáng - Trung"/>
    <s v="Sáng - Trung"/>
    <s v="Sáng - Trung"/>
    <s v="Sáng - Trung"/>
    <s v="Sáng - Trung"/>
    <m/>
    <m/>
    <n v="7"/>
  </r>
  <r>
    <s v="Active"/>
    <m/>
    <s v="ZHANG CHUMING "/>
    <x v="5"/>
    <s v="Pro - Expat"/>
    <s v="Dầu Giây"/>
    <m/>
    <m/>
    <m/>
    <m/>
    <m/>
    <m/>
    <m/>
    <m/>
    <m/>
    <m/>
    <m/>
    <m/>
    <m/>
    <m/>
    <m/>
    <m/>
    <m/>
    <m/>
    <m/>
    <m/>
    <m/>
    <m/>
    <m/>
    <s v="Sáng - Trung"/>
    <s v="Sáng - Trung"/>
    <s v="Sáng - Trung"/>
    <s v="Sáng - Trung"/>
    <s v="Sáng - Trung"/>
    <s v="Sáng - Trung"/>
    <s v="Sáng - Trung"/>
    <s v="Sáng - Trung"/>
    <s v="Sáng - Trung"/>
    <n v="9"/>
  </r>
  <r>
    <s v="Active"/>
    <m/>
    <s v="ZHANG WEXING "/>
    <x v="5"/>
    <s v="Pro - Expat"/>
    <s v="Dầu Giây"/>
    <m/>
    <m/>
    <m/>
    <m/>
    <m/>
    <m/>
    <m/>
    <m/>
    <m/>
    <m/>
    <m/>
    <m/>
    <m/>
    <m/>
    <m/>
    <m/>
    <m/>
    <m/>
    <m/>
    <m/>
    <m/>
    <m/>
    <m/>
    <s v="Sáng - Trung"/>
    <s v="Sáng - Trung"/>
    <s v="Sáng - Trung"/>
    <s v="Sáng - Trung"/>
    <s v="Sáng - Trung"/>
    <m/>
    <s v="Sáng - Trung"/>
    <s v="Sáng - Trung"/>
    <s v="Sáng - Trung"/>
    <n v="8"/>
  </r>
  <r>
    <s v="Active"/>
    <m/>
    <s v="MA JIANJIE "/>
    <x v="5"/>
    <s v="Pro - Expat"/>
    <s v="Dầu Giây"/>
    <m/>
    <m/>
    <m/>
    <m/>
    <m/>
    <m/>
    <m/>
    <m/>
    <m/>
    <m/>
    <m/>
    <m/>
    <m/>
    <m/>
    <m/>
    <m/>
    <m/>
    <m/>
    <m/>
    <m/>
    <m/>
    <m/>
    <m/>
    <s v="Sáng - Trung"/>
    <s v="Sáng - Trung"/>
    <s v="Sáng - Trung"/>
    <s v="Sáng - Trung"/>
    <s v="Sáng - Trung"/>
    <m/>
    <s v="Sáng - Trung"/>
    <s v="Sáng - Trung"/>
    <s v="Sáng - Trung"/>
    <n v="8"/>
  </r>
  <r>
    <s v="Active"/>
    <m/>
    <s v="WANG GUANRONG "/>
    <x v="5"/>
    <s v="Pro - Expat"/>
    <s v="Dầu Giây"/>
    <m/>
    <m/>
    <m/>
    <m/>
    <m/>
    <m/>
    <m/>
    <m/>
    <m/>
    <m/>
    <m/>
    <m/>
    <m/>
    <m/>
    <m/>
    <m/>
    <m/>
    <m/>
    <m/>
    <m/>
    <m/>
    <m/>
    <m/>
    <s v="Sáng - Trung"/>
    <s v="Sáng - Trung"/>
    <s v="Sáng - Trung"/>
    <s v="Sáng - Trung"/>
    <s v="Sáng - Trung"/>
    <m/>
    <s v="Sáng - Trung"/>
    <s v="Sáng - Trung"/>
    <s v="Sáng - Trung"/>
    <n v="8"/>
  </r>
  <r>
    <s v="Active"/>
    <m/>
    <s v="HU ZONG "/>
    <x v="5"/>
    <s v="Pro - Expat"/>
    <s v="Dầu Giây"/>
    <m/>
    <m/>
    <m/>
    <m/>
    <m/>
    <m/>
    <m/>
    <m/>
    <m/>
    <m/>
    <m/>
    <m/>
    <m/>
    <m/>
    <m/>
    <m/>
    <m/>
    <m/>
    <m/>
    <m/>
    <m/>
    <m/>
    <m/>
    <s v="Sáng - Trung"/>
    <s v="Sáng - Trung"/>
    <s v="Sáng - Trung"/>
    <s v="Sáng - Trung"/>
    <s v="Sáng - Trung"/>
    <m/>
    <s v="Sáng - Trung"/>
    <s v="Sáng - Trung"/>
    <m/>
    <n v="7"/>
  </r>
  <r>
    <s v="Active"/>
    <m/>
    <s v="LU CHANG XI "/>
    <x v="5"/>
    <s v="Pro - Expat"/>
    <s v="Dầu Giây"/>
    <m/>
    <m/>
    <m/>
    <m/>
    <m/>
    <m/>
    <m/>
    <m/>
    <m/>
    <m/>
    <m/>
    <m/>
    <m/>
    <m/>
    <m/>
    <m/>
    <m/>
    <m/>
    <m/>
    <m/>
    <m/>
    <m/>
    <m/>
    <m/>
    <s v="Sáng - Trung"/>
    <s v="Sáng - Trung"/>
    <s v="Sáng - Trung"/>
    <m/>
    <m/>
    <s v="Sáng - Trung"/>
    <s v="Sáng - Trung"/>
    <s v="Sáng - Trung"/>
    <n v="6"/>
  </r>
  <r>
    <s v="Active"/>
    <m/>
    <s v="Pro - Expat"/>
    <x v="5"/>
    <s v="Pro - Expat"/>
    <s v="Dầu Giây"/>
    <m/>
    <m/>
    <m/>
    <m/>
    <m/>
    <m/>
    <m/>
    <m/>
    <m/>
    <m/>
    <m/>
    <m/>
    <m/>
    <m/>
    <m/>
    <m/>
    <m/>
    <m/>
    <m/>
    <m/>
    <m/>
    <m/>
    <m/>
    <s v="Sáng - Trung"/>
    <s v="Sáng - Trung"/>
    <s v="Sáng - Trung"/>
    <s v="Sáng - Trung"/>
    <s v="Sáng - Trung"/>
    <m/>
    <s v="Sáng - Trung"/>
    <s v="Sáng - Trung"/>
    <s v="Sáng - Trung"/>
    <n v="8"/>
  </r>
  <r>
    <s v="Active"/>
    <m/>
    <s v="Pro - Expat"/>
    <x v="5"/>
    <s v="Pro - Expat"/>
    <s v="Dầu Giây"/>
    <m/>
    <m/>
    <m/>
    <m/>
    <m/>
    <m/>
    <m/>
    <m/>
    <m/>
    <m/>
    <m/>
    <m/>
    <m/>
    <m/>
    <m/>
    <m/>
    <m/>
    <m/>
    <m/>
    <m/>
    <m/>
    <m/>
    <m/>
    <s v="Sáng - Trung"/>
    <s v="Sáng - Trung"/>
    <s v="Sáng - Trung"/>
    <s v="Sáng - Trung"/>
    <s v="Sáng - Trung"/>
    <m/>
    <s v="Sáng - Trung"/>
    <s v="Sáng - Trung"/>
    <s v="Sáng - Trung"/>
    <n v="8"/>
  </r>
  <r>
    <s v="Active"/>
    <m/>
    <s v="Pro - Expat"/>
    <x v="5"/>
    <s v="Pro - Expat"/>
    <s v="Dầu Giây"/>
    <m/>
    <m/>
    <m/>
    <m/>
    <m/>
    <m/>
    <m/>
    <m/>
    <m/>
    <m/>
    <m/>
    <m/>
    <m/>
    <m/>
    <m/>
    <m/>
    <m/>
    <m/>
    <m/>
    <m/>
    <m/>
    <m/>
    <m/>
    <s v="Sáng - Trung"/>
    <s v="Sáng - Trung"/>
    <s v="Sáng - Trung"/>
    <s v="Sáng - Trung"/>
    <s v="Sáng - Trung"/>
    <m/>
    <s v="Sáng - Trung"/>
    <s v="Sáng - Trung"/>
    <m/>
    <n v="7"/>
  </r>
  <r>
    <s v="Active"/>
    <m/>
    <s v="Pro - Expat"/>
    <x v="5"/>
    <s v="Pro - Expat"/>
    <s v="Dầu Giây"/>
    <m/>
    <m/>
    <m/>
    <m/>
    <m/>
    <m/>
    <m/>
    <m/>
    <m/>
    <m/>
    <m/>
    <m/>
    <m/>
    <m/>
    <m/>
    <m/>
    <m/>
    <m/>
    <m/>
    <m/>
    <m/>
    <m/>
    <m/>
    <m/>
    <m/>
    <m/>
    <m/>
    <m/>
    <m/>
    <m/>
    <m/>
    <m/>
    <n v="0"/>
  </r>
  <r>
    <s v="Active"/>
    <m/>
    <m/>
    <x v="6"/>
    <m/>
    <s v="Dầu Giây"/>
    <m/>
    <m/>
    <m/>
    <m/>
    <m/>
    <m/>
    <m/>
    <m/>
    <m/>
    <m/>
    <m/>
    <m/>
    <m/>
    <m/>
    <m/>
    <m/>
    <m/>
    <m/>
    <m/>
    <m/>
    <m/>
    <m/>
    <m/>
    <m/>
    <m/>
    <m/>
    <m/>
    <m/>
    <m/>
    <m/>
    <m/>
    <m/>
    <n v="0"/>
  </r>
  <r>
    <s v="Active"/>
    <m/>
    <s v="Nguyễn Quang Khải"/>
    <x v="7"/>
    <s v="Pro - Aging"/>
    <s v="Factory"/>
    <m/>
    <m/>
    <m/>
    <m/>
    <m/>
    <m/>
    <m/>
    <m/>
    <m/>
    <m/>
    <m/>
    <m/>
    <m/>
    <m/>
    <m/>
    <m/>
    <m/>
    <m/>
    <m/>
    <m/>
    <m/>
    <m/>
    <m/>
    <s v="Sáng - Mặn - Xưởng"/>
    <m/>
    <m/>
    <m/>
    <m/>
    <m/>
    <m/>
    <m/>
    <m/>
    <n v="1"/>
  </r>
  <r>
    <s v="Active"/>
    <m/>
    <s v="Nguyễn Phạm Kim Ngân"/>
    <x v="7"/>
    <s v="Pro - Aging"/>
    <s v="Factory"/>
    <m/>
    <m/>
    <m/>
    <m/>
    <m/>
    <m/>
    <m/>
    <m/>
    <m/>
    <m/>
    <m/>
    <m/>
    <m/>
    <m/>
    <m/>
    <m/>
    <m/>
    <m/>
    <m/>
    <m/>
    <m/>
    <m/>
    <m/>
    <s v="Sáng - Mặn - Xưởng"/>
    <m/>
    <m/>
    <m/>
    <m/>
    <m/>
    <m/>
    <m/>
    <m/>
    <n v="1"/>
  </r>
  <r>
    <s v="Active"/>
    <m/>
    <s v="Phan Thị Ngọc Mai"/>
    <x v="8"/>
    <s v="Pro - Painting"/>
    <s v="Factory"/>
    <m/>
    <m/>
    <m/>
    <m/>
    <m/>
    <m/>
    <m/>
    <m/>
    <m/>
    <m/>
    <m/>
    <m/>
    <m/>
    <m/>
    <m/>
    <m/>
    <m/>
    <m/>
    <m/>
    <m/>
    <m/>
    <m/>
    <m/>
    <s v="Sáng - Mặn - Xưởng"/>
    <m/>
    <m/>
    <m/>
    <m/>
    <m/>
    <m/>
    <m/>
    <m/>
    <n v="1"/>
  </r>
  <r>
    <s v="Active"/>
    <m/>
    <s v="Phan Tấn Hữu"/>
    <x v="9"/>
    <s v="Pro - Packaging"/>
    <s v="Factory"/>
    <m/>
    <m/>
    <m/>
    <m/>
    <m/>
    <m/>
    <m/>
    <m/>
    <m/>
    <m/>
    <m/>
    <m/>
    <m/>
    <m/>
    <m/>
    <m/>
    <m/>
    <m/>
    <m/>
    <m/>
    <m/>
    <m/>
    <m/>
    <s v="Sáng - Mặn - Xưởng"/>
    <m/>
    <m/>
    <m/>
    <m/>
    <m/>
    <m/>
    <m/>
    <m/>
    <n v="1"/>
  </r>
  <r>
    <s v="Active"/>
    <m/>
    <s v="Bùi Long Phi"/>
    <x v="10"/>
    <s v="Pro - Polishing"/>
    <s v="Factory"/>
    <m/>
    <m/>
    <m/>
    <m/>
    <m/>
    <m/>
    <m/>
    <m/>
    <m/>
    <m/>
    <m/>
    <m/>
    <m/>
    <m/>
    <m/>
    <m/>
    <m/>
    <m/>
    <m/>
    <m/>
    <m/>
    <m/>
    <m/>
    <s v="Sáng - Mặn - Xưởng"/>
    <m/>
    <m/>
    <m/>
    <m/>
    <m/>
    <m/>
    <m/>
    <m/>
    <n v="1"/>
  </r>
  <r>
    <s v="Active"/>
    <m/>
    <s v="Trần Minh Công"/>
    <x v="11"/>
    <s v="Pro - CNC"/>
    <s v="Factory"/>
    <m/>
    <m/>
    <m/>
    <m/>
    <m/>
    <m/>
    <m/>
    <m/>
    <m/>
    <m/>
    <m/>
    <m/>
    <m/>
    <m/>
    <m/>
    <m/>
    <m/>
    <m/>
    <m/>
    <m/>
    <m/>
    <m/>
    <m/>
    <s v="Sáng - Mặn - Xưởng"/>
    <m/>
    <m/>
    <m/>
    <m/>
    <m/>
    <m/>
    <m/>
    <m/>
    <n v="1"/>
  </r>
  <r>
    <s v="Active"/>
    <m/>
    <s v="Vòng Quyền Chi"/>
    <x v="10"/>
    <s v="Pro - Polishing"/>
    <s v="Factory"/>
    <m/>
    <m/>
    <m/>
    <m/>
    <m/>
    <m/>
    <m/>
    <m/>
    <m/>
    <m/>
    <m/>
    <m/>
    <m/>
    <m/>
    <m/>
    <m/>
    <m/>
    <m/>
    <m/>
    <m/>
    <m/>
    <m/>
    <m/>
    <s v="Sáng - Mặn - Xưởng"/>
    <m/>
    <m/>
    <m/>
    <m/>
    <m/>
    <m/>
    <m/>
    <m/>
    <n v="1"/>
  </r>
  <r>
    <s v="Active"/>
    <m/>
    <s v="Nguyễn Văn Giang"/>
    <x v="3"/>
    <s v="PMC - Quality"/>
    <s v="Factory"/>
    <m/>
    <m/>
    <m/>
    <m/>
    <m/>
    <m/>
    <m/>
    <m/>
    <m/>
    <m/>
    <m/>
    <m/>
    <m/>
    <m/>
    <m/>
    <m/>
    <m/>
    <m/>
    <m/>
    <m/>
    <m/>
    <m/>
    <m/>
    <s v="Sáng - Mặn - Xưởng"/>
    <m/>
    <m/>
    <m/>
    <m/>
    <m/>
    <m/>
    <m/>
    <m/>
    <n v="1"/>
  </r>
  <r>
    <s v="Active"/>
    <m/>
    <s v="Phạm Văn Khoai"/>
    <x v="10"/>
    <s v="Pro - Polishing"/>
    <s v="Factory"/>
    <m/>
    <m/>
    <m/>
    <m/>
    <m/>
    <m/>
    <m/>
    <m/>
    <m/>
    <m/>
    <m/>
    <m/>
    <m/>
    <m/>
    <m/>
    <m/>
    <m/>
    <m/>
    <m/>
    <m/>
    <m/>
    <m/>
    <m/>
    <s v="Sáng - Mặn - Xưởng"/>
    <m/>
    <m/>
    <m/>
    <m/>
    <m/>
    <m/>
    <m/>
    <m/>
    <n v="1"/>
  </r>
  <r>
    <s v="Active"/>
    <m/>
    <s v="Đào Văn Tuyển"/>
    <x v="11"/>
    <s v="Pro - CNC"/>
    <s v="Factory"/>
    <m/>
    <m/>
    <m/>
    <m/>
    <m/>
    <m/>
    <m/>
    <m/>
    <m/>
    <m/>
    <m/>
    <m/>
    <m/>
    <m/>
    <m/>
    <m/>
    <m/>
    <m/>
    <m/>
    <m/>
    <m/>
    <m/>
    <m/>
    <s v="Sáng - Mặn - Xưởng"/>
    <m/>
    <m/>
    <m/>
    <m/>
    <m/>
    <m/>
    <m/>
    <m/>
    <n v="1"/>
  </r>
  <r>
    <s v="Active"/>
    <m/>
    <s v="Nguyễn Duy Luân"/>
    <x v="11"/>
    <s v="Pro - CNC"/>
    <s v="Factory"/>
    <m/>
    <m/>
    <m/>
    <m/>
    <m/>
    <m/>
    <m/>
    <m/>
    <m/>
    <m/>
    <m/>
    <m/>
    <m/>
    <m/>
    <m/>
    <m/>
    <m/>
    <m/>
    <m/>
    <m/>
    <m/>
    <m/>
    <m/>
    <s v="Sáng - Mặn - Xưởng"/>
    <m/>
    <m/>
    <m/>
    <m/>
    <m/>
    <m/>
    <m/>
    <m/>
    <n v="1"/>
  </r>
  <r>
    <s v="Active"/>
    <m/>
    <s v="Nguyễn Thị Chúc"/>
    <x v="11"/>
    <s v="Pro - CNC"/>
    <s v="Factory"/>
    <m/>
    <m/>
    <m/>
    <m/>
    <m/>
    <m/>
    <m/>
    <m/>
    <m/>
    <m/>
    <m/>
    <m/>
    <m/>
    <m/>
    <m/>
    <m/>
    <m/>
    <m/>
    <m/>
    <m/>
    <m/>
    <m/>
    <m/>
    <s v="Sáng - Mặn - Xưởng"/>
    <m/>
    <m/>
    <m/>
    <m/>
    <m/>
    <m/>
    <m/>
    <m/>
    <n v="1"/>
  </r>
  <r>
    <s v="Active"/>
    <m/>
    <s v="Trần Văn Nguyên"/>
    <x v="11"/>
    <s v="Pro - CNC"/>
    <s v="Factory"/>
    <m/>
    <m/>
    <m/>
    <m/>
    <m/>
    <m/>
    <m/>
    <m/>
    <m/>
    <m/>
    <m/>
    <m/>
    <m/>
    <m/>
    <m/>
    <m/>
    <m/>
    <m/>
    <m/>
    <m/>
    <m/>
    <m/>
    <m/>
    <s v="Sáng - Mặn - Xưởng"/>
    <m/>
    <m/>
    <m/>
    <m/>
    <s v="Sáng - Mặn - Xưởng"/>
    <m/>
    <m/>
    <m/>
    <n v="2"/>
  </r>
  <r>
    <s v="Active"/>
    <m/>
    <s v="Lý Văn Chống"/>
    <x v="10"/>
    <s v="Pro - Polishing"/>
    <s v="Factory"/>
    <m/>
    <m/>
    <m/>
    <m/>
    <m/>
    <m/>
    <m/>
    <m/>
    <m/>
    <m/>
    <m/>
    <m/>
    <m/>
    <m/>
    <m/>
    <m/>
    <m/>
    <m/>
    <m/>
    <m/>
    <m/>
    <m/>
    <m/>
    <s v="Sáng - Mặn - Xưởng"/>
    <m/>
    <m/>
    <m/>
    <m/>
    <s v="Sáng - Mặn - Xưởng"/>
    <m/>
    <m/>
    <m/>
    <n v="2"/>
  </r>
  <r>
    <s v="Active"/>
    <m/>
    <s v="Mai Huỳnh Phi Long"/>
    <x v="3"/>
    <s v="PMC - Quality"/>
    <s v="Factory"/>
    <m/>
    <m/>
    <m/>
    <m/>
    <m/>
    <m/>
    <m/>
    <m/>
    <m/>
    <m/>
    <m/>
    <m/>
    <m/>
    <m/>
    <m/>
    <m/>
    <m/>
    <m/>
    <m/>
    <m/>
    <m/>
    <m/>
    <m/>
    <s v="Sáng - Mặn - Xưởng"/>
    <m/>
    <m/>
    <m/>
    <m/>
    <s v="Sáng - Mặn - Xưởng"/>
    <m/>
    <m/>
    <m/>
    <n v="2"/>
  </r>
  <r>
    <s v="Active"/>
    <m/>
    <s v="Trần Nhớ"/>
    <x v="10"/>
    <s v="Pro - Polishing"/>
    <s v="Factory"/>
    <m/>
    <m/>
    <m/>
    <m/>
    <m/>
    <m/>
    <m/>
    <m/>
    <m/>
    <m/>
    <m/>
    <m/>
    <m/>
    <m/>
    <m/>
    <m/>
    <m/>
    <m/>
    <m/>
    <m/>
    <m/>
    <m/>
    <m/>
    <s v="Sáng - Mặn - Xưởng"/>
    <m/>
    <m/>
    <m/>
    <m/>
    <m/>
    <m/>
    <m/>
    <m/>
    <n v="1"/>
  </r>
  <r>
    <s v="Active"/>
    <m/>
    <s v="Lê Văn Tâm"/>
    <x v="10"/>
    <s v="Pro - Polishing"/>
    <s v="Factory"/>
    <m/>
    <m/>
    <m/>
    <m/>
    <m/>
    <m/>
    <m/>
    <m/>
    <m/>
    <m/>
    <m/>
    <m/>
    <m/>
    <m/>
    <m/>
    <m/>
    <m/>
    <m/>
    <m/>
    <m/>
    <m/>
    <m/>
    <m/>
    <s v="Sáng - Mặn - Xưởng"/>
    <m/>
    <m/>
    <m/>
    <m/>
    <m/>
    <m/>
    <m/>
    <m/>
    <n v="1"/>
  </r>
  <r>
    <s v="Active"/>
    <m/>
    <s v="Nguyễn Văn Tuấn"/>
    <x v="10"/>
    <s v="Pro - Polishing"/>
    <s v="Factory"/>
    <m/>
    <m/>
    <m/>
    <m/>
    <m/>
    <m/>
    <m/>
    <m/>
    <m/>
    <m/>
    <m/>
    <m/>
    <m/>
    <m/>
    <m/>
    <m/>
    <m/>
    <m/>
    <m/>
    <m/>
    <m/>
    <m/>
    <m/>
    <s v="Sáng - Mặn - Xưởng"/>
    <m/>
    <m/>
    <m/>
    <m/>
    <m/>
    <m/>
    <m/>
    <m/>
    <n v="1"/>
  </r>
  <r>
    <s v="Active"/>
    <m/>
    <s v="Trịnh Hải Nam"/>
    <x v="3"/>
    <s v="PMC - Quality"/>
    <s v="Factory"/>
    <m/>
    <m/>
    <m/>
    <m/>
    <m/>
    <m/>
    <m/>
    <m/>
    <m/>
    <m/>
    <m/>
    <m/>
    <m/>
    <m/>
    <m/>
    <m/>
    <m/>
    <m/>
    <m/>
    <m/>
    <m/>
    <m/>
    <m/>
    <s v="Sáng - Mặn - Xưởng"/>
    <m/>
    <m/>
    <m/>
    <m/>
    <m/>
    <m/>
    <m/>
    <m/>
    <n v="1"/>
  </r>
  <r>
    <s v="Active"/>
    <m/>
    <s v="Nguyễn Minh Đức"/>
    <x v="11"/>
    <s v="Pro - CNC"/>
    <s v="Factory"/>
    <m/>
    <m/>
    <m/>
    <m/>
    <m/>
    <m/>
    <m/>
    <m/>
    <m/>
    <m/>
    <m/>
    <m/>
    <m/>
    <m/>
    <m/>
    <m/>
    <m/>
    <m/>
    <m/>
    <m/>
    <m/>
    <m/>
    <m/>
    <s v="Sáng - Mặn - Xưởng"/>
    <m/>
    <m/>
    <m/>
    <m/>
    <m/>
    <m/>
    <m/>
    <m/>
    <n v="1"/>
  </r>
  <r>
    <s v="Active"/>
    <m/>
    <s v="Vũ Ngọc Đức"/>
    <x v="11"/>
    <s v="Pro - CNC"/>
    <s v="Factory"/>
    <m/>
    <m/>
    <m/>
    <m/>
    <m/>
    <m/>
    <m/>
    <m/>
    <m/>
    <m/>
    <m/>
    <m/>
    <m/>
    <m/>
    <m/>
    <m/>
    <m/>
    <m/>
    <m/>
    <m/>
    <m/>
    <m/>
    <m/>
    <s v="Sáng - Mặn - Xưởng"/>
    <m/>
    <m/>
    <m/>
    <m/>
    <m/>
    <m/>
    <m/>
    <m/>
    <n v="1"/>
  </r>
  <r>
    <s v="Active"/>
    <m/>
    <s v="Vũ Đình Duy"/>
    <x v="11"/>
    <s v="Pro - CNC"/>
    <s v="Factory"/>
    <m/>
    <m/>
    <m/>
    <m/>
    <m/>
    <m/>
    <m/>
    <m/>
    <m/>
    <m/>
    <m/>
    <m/>
    <m/>
    <m/>
    <m/>
    <m/>
    <m/>
    <m/>
    <m/>
    <m/>
    <m/>
    <m/>
    <m/>
    <s v="Sáng - Mặn - Xưởng"/>
    <m/>
    <m/>
    <m/>
    <m/>
    <m/>
    <m/>
    <m/>
    <m/>
    <n v="1"/>
  </r>
  <r>
    <s v="Active"/>
    <m/>
    <s v="Nguyễn Văn Lâm"/>
    <x v="11"/>
    <s v="Pro - CNC"/>
    <s v="Factory"/>
    <m/>
    <m/>
    <m/>
    <m/>
    <m/>
    <m/>
    <m/>
    <m/>
    <m/>
    <m/>
    <m/>
    <m/>
    <m/>
    <m/>
    <m/>
    <m/>
    <m/>
    <m/>
    <m/>
    <m/>
    <m/>
    <m/>
    <m/>
    <s v="Sáng - Mặn - Xưởng"/>
    <m/>
    <m/>
    <m/>
    <m/>
    <m/>
    <m/>
    <m/>
    <m/>
    <n v="1"/>
  </r>
  <r>
    <s v="Active"/>
    <m/>
    <s v="Sercurity"/>
    <x v="2"/>
    <s v="SubContractor"/>
    <s v="Factory"/>
    <m/>
    <m/>
    <m/>
    <m/>
    <m/>
    <m/>
    <m/>
    <m/>
    <m/>
    <m/>
    <m/>
    <m/>
    <m/>
    <m/>
    <m/>
    <m/>
    <m/>
    <m/>
    <m/>
    <m/>
    <m/>
    <m/>
    <m/>
    <s v="Sáng - Mặn - Xưởng"/>
    <m/>
    <m/>
    <m/>
    <m/>
    <m/>
    <m/>
    <m/>
    <m/>
    <n v="1"/>
  </r>
  <r>
    <s v="Active"/>
    <m/>
    <s v="Sercurity"/>
    <x v="2"/>
    <s v="SubContractor"/>
    <s v="Factory"/>
    <m/>
    <m/>
    <m/>
    <m/>
    <m/>
    <m/>
    <m/>
    <m/>
    <m/>
    <m/>
    <m/>
    <m/>
    <m/>
    <m/>
    <m/>
    <m/>
    <m/>
    <m/>
    <m/>
    <m/>
    <m/>
    <m/>
    <m/>
    <s v="Sáng - Mặn - Xưởng"/>
    <m/>
    <m/>
    <m/>
    <m/>
    <m/>
    <m/>
    <m/>
    <m/>
    <n v="1"/>
  </r>
  <r>
    <s v="Active"/>
    <m/>
    <s v="Nguyễn Minh Thi"/>
    <x v="12"/>
    <s v="Pro - Data"/>
    <s v="Factory"/>
    <m/>
    <m/>
    <m/>
    <m/>
    <m/>
    <m/>
    <m/>
    <m/>
    <m/>
    <m/>
    <m/>
    <m/>
    <m/>
    <m/>
    <m/>
    <m/>
    <m/>
    <m/>
    <m/>
    <m/>
    <m/>
    <m/>
    <m/>
    <s v="Sáng - Mặn - Xưởng"/>
    <m/>
    <m/>
    <m/>
    <m/>
    <m/>
    <m/>
    <m/>
    <m/>
    <n v="1"/>
  </r>
  <r>
    <s v="Active"/>
    <m/>
    <s v="Chu Quang Tiến"/>
    <x v="11"/>
    <s v="Pro - CNC"/>
    <s v="Factory"/>
    <m/>
    <m/>
    <m/>
    <m/>
    <m/>
    <m/>
    <m/>
    <m/>
    <m/>
    <m/>
    <m/>
    <m/>
    <m/>
    <m/>
    <m/>
    <m/>
    <m/>
    <m/>
    <m/>
    <m/>
    <m/>
    <m/>
    <m/>
    <s v="Sáng - Mặn - Xưởng"/>
    <m/>
    <m/>
    <m/>
    <m/>
    <m/>
    <m/>
    <m/>
    <m/>
    <n v="1"/>
  </r>
  <r>
    <s v="Active"/>
    <m/>
    <m/>
    <x v="6"/>
    <m/>
    <s v="Dầu Giây"/>
    <m/>
    <m/>
    <m/>
    <m/>
    <m/>
    <m/>
    <m/>
    <m/>
    <m/>
    <m/>
    <m/>
    <m/>
    <m/>
    <m/>
    <m/>
    <m/>
    <m/>
    <m/>
    <m/>
    <m/>
    <m/>
    <m/>
    <m/>
    <m/>
    <m/>
    <m/>
    <m/>
    <m/>
    <m/>
    <m/>
    <m/>
    <m/>
    <n v="0"/>
  </r>
  <r>
    <s v="Active"/>
    <m/>
    <s v="Khưu Thị Cẩm Lai"/>
    <x v="9"/>
    <s v="Pro - Packaging"/>
    <s v="Factory"/>
    <m/>
    <m/>
    <m/>
    <m/>
    <m/>
    <m/>
    <m/>
    <m/>
    <m/>
    <m/>
    <m/>
    <m/>
    <m/>
    <m/>
    <m/>
    <m/>
    <m/>
    <m/>
    <m/>
    <m/>
    <m/>
    <m/>
    <m/>
    <m/>
    <m/>
    <m/>
    <m/>
    <m/>
    <s v="Sáng - Mặn - Xưởng"/>
    <m/>
    <m/>
    <m/>
    <n v="1"/>
  </r>
  <r>
    <s v="Active"/>
    <m/>
    <s v="Trần Thị Quỳnh Như"/>
    <x v="9"/>
    <s v="Pro - Packaging"/>
    <s v="Factory"/>
    <m/>
    <m/>
    <m/>
    <m/>
    <m/>
    <m/>
    <m/>
    <m/>
    <m/>
    <m/>
    <m/>
    <m/>
    <m/>
    <m/>
    <m/>
    <m/>
    <m/>
    <m/>
    <m/>
    <m/>
    <m/>
    <m/>
    <m/>
    <m/>
    <m/>
    <m/>
    <m/>
    <m/>
    <s v="Sáng - Mặn - Xưởng"/>
    <m/>
    <m/>
    <m/>
    <n v="1"/>
  </r>
  <r>
    <s v="Active"/>
    <m/>
    <s v="Phạm Thị Ngọc Diễm"/>
    <x v="12"/>
    <s v="Pro - Data"/>
    <s v="Office"/>
    <m/>
    <m/>
    <m/>
    <m/>
    <m/>
    <m/>
    <m/>
    <m/>
    <m/>
    <m/>
    <m/>
    <m/>
    <m/>
    <m/>
    <m/>
    <m/>
    <m/>
    <m/>
    <m/>
    <m/>
    <m/>
    <m/>
    <m/>
    <m/>
    <m/>
    <m/>
    <m/>
    <m/>
    <s v="Sáng - Mặn - Xưởng"/>
    <m/>
    <m/>
    <m/>
    <n v="1"/>
  </r>
  <r>
    <s v="Active"/>
    <m/>
    <s v="Đoàn Thị Chút"/>
    <x v="9"/>
    <s v="Pro - Packaging"/>
    <s v="Factory"/>
    <m/>
    <m/>
    <m/>
    <m/>
    <m/>
    <m/>
    <m/>
    <m/>
    <m/>
    <m/>
    <m/>
    <m/>
    <m/>
    <m/>
    <m/>
    <m/>
    <m/>
    <m/>
    <m/>
    <m/>
    <m/>
    <m/>
    <m/>
    <m/>
    <m/>
    <m/>
    <m/>
    <m/>
    <s v="Sáng - Mặn - Xưởng"/>
    <m/>
    <m/>
    <m/>
    <n v="1"/>
  </r>
  <r>
    <s v="Active"/>
    <m/>
    <s v="Xu Jingang"/>
    <x v="5"/>
    <s v="Pro - Expat"/>
    <s v="Chinese"/>
    <m/>
    <m/>
    <m/>
    <m/>
    <m/>
    <m/>
    <m/>
    <m/>
    <m/>
    <m/>
    <m/>
    <m/>
    <m/>
    <m/>
    <m/>
    <m/>
    <m/>
    <m/>
    <m/>
    <m/>
    <m/>
    <m/>
    <m/>
    <m/>
    <m/>
    <m/>
    <m/>
    <m/>
    <s v="Sáng - Trung"/>
    <m/>
    <m/>
    <m/>
    <n v="1"/>
  </r>
  <r>
    <s v="Active"/>
    <m/>
    <s v="Li WenQiang"/>
    <x v="5"/>
    <s v="Pro - Expat"/>
    <s v="Chinese"/>
    <m/>
    <m/>
    <m/>
    <m/>
    <m/>
    <m/>
    <m/>
    <m/>
    <m/>
    <m/>
    <m/>
    <m/>
    <m/>
    <m/>
    <m/>
    <m/>
    <m/>
    <m/>
    <m/>
    <m/>
    <m/>
    <m/>
    <m/>
    <m/>
    <m/>
    <m/>
    <m/>
    <m/>
    <s v="Sáng - Trung"/>
    <m/>
    <m/>
    <m/>
    <n v="1"/>
  </r>
  <r>
    <s v="Active"/>
    <m/>
    <s v="Triệu Minh Tài"/>
    <x v="9"/>
    <s v="Pro - Packaging"/>
    <s v="Factory"/>
    <m/>
    <m/>
    <m/>
    <m/>
    <m/>
    <m/>
    <m/>
    <m/>
    <m/>
    <m/>
    <m/>
    <m/>
    <m/>
    <m/>
    <m/>
    <m/>
    <m/>
    <m/>
    <m/>
    <m/>
    <m/>
    <m/>
    <m/>
    <m/>
    <m/>
    <m/>
    <m/>
    <m/>
    <s v="Sáng - Mặn - Xưởng"/>
    <m/>
    <m/>
    <m/>
    <n v="1"/>
  </r>
  <r>
    <s v="Active"/>
    <m/>
    <s v="Trần Thiện Duy"/>
    <x v="9"/>
    <s v="Pro - Packaging"/>
    <s v="Factory"/>
    <m/>
    <m/>
    <m/>
    <m/>
    <m/>
    <m/>
    <m/>
    <m/>
    <m/>
    <m/>
    <m/>
    <m/>
    <m/>
    <m/>
    <m/>
    <m/>
    <m/>
    <m/>
    <m/>
    <m/>
    <m/>
    <m/>
    <m/>
    <m/>
    <m/>
    <m/>
    <m/>
    <m/>
    <s v="Sáng - Mặn - Xưởng"/>
    <m/>
    <m/>
    <m/>
    <n v="1"/>
  </r>
  <r>
    <s v="Active"/>
    <m/>
    <s v="Vũ Ngọc Thiên Nhan"/>
    <x v="3"/>
    <s v="PMC - Quality"/>
    <s v="Factory"/>
    <m/>
    <m/>
    <m/>
    <m/>
    <m/>
    <m/>
    <m/>
    <m/>
    <m/>
    <m/>
    <m/>
    <m/>
    <m/>
    <m/>
    <m/>
    <m/>
    <m/>
    <m/>
    <m/>
    <m/>
    <m/>
    <m/>
    <m/>
    <m/>
    <m/>
    <m/>
    <m/>
    <m/>
    <s v="Sáng - Mặn - Xưởng"/>
    <m/>
    <m/>
    <m/>
    <n v="1"/>
  </r>
  <r>
    <s v="Active"/>
    <m/>
    <s v="Sun Baoyong"/>
    <x v="5"/>
    <s v="Pro - Expat"/>
    <s v="Chinese"/>
    <m/>
    <m/>
    <m/>
    <m/>
    <m/>
    <m/>
    <m/>
    <m/>
    <m/>
    <m/>
    <m/>
    <m/>
    <m/>
    <m/>
    <m/>
    <m/>
    <m/>
    <m/>
    <m/>
    <m/>
    <m/>
    <m/>
    <m/>
    <m/>
    <m/>
    <m/>
    <m/>
    <m/>
    <s v="Sáng - Trung"/>
    <m/>
    <m/>
    <m/>
    <n v="1"/>
  </r>
  <r>
    <s v="Active"/>
    <m/>
    <s v="Zheng Wanjun"/>
    <x v="5"/>
    <s v="Pro - Expat"/>
    <s v="Chinese"/>
    <m/>
    <m/>
    <m/>
    <m/>
    <m/>
    <m/>
    <m/>
    <m/>
    <m/>
    <m/>
    <m/>
    <m/>
    <m/>
    <m/>
    <m/>
    <m/>
    <m/>
    <m/>
    <m/>
    <m/>
    <m/>
    <m/>
    <m/>
    <m/>
    <m/>
    <m/>
    <m/>
    <m/>
    <s v="Sáng - Trung"/>
    <m/>
    <m/>
    <m/>
    <n v="1"/>
  </r>
  <r>
    <s v="Active"/>
    <m/>
    <s v="Sun Hongjie"/>
    <x v="5"/>
    <s v="Pro - Expat"/>
    <s v="Chinese"/>
    <m/>
    <m/>
    <m/>
    <m/>
    <m/>
    <m/>
    <m/>
    <m/>
    <m/>
    <m/>
    <m/>
    <m/>
    <m/>
    <m/>
    <m/>
    <m/>
    <m/>
    <m/>
    <m/>
    <m/>
    <m/>
    <m/>
    <m/>
    <m/>
    <m/>
    <m/>
    <m/>
    <m/>
    <s v="Sáng - Trung"/>
    <m/>
    <m/>
    <m/>
    <n v="1"/>
  </r>
  <r>
    <s v="Active"/>
    <m/>
    <s v="Yang Zhengxian"/>
    <x v="5"/>
    <s v="Pro - Expat"/>
    <s v="Chinese"/>
    <m/>
    <m/>
    <m/>
    <m/>
    <m/>
    <m/>
    <m/>
    <m/>
    <m/>
    <m/>
    <m/>
    <m/>
    <m/>
    <m/>
    <m/>
    <m/>
    <m/>
    <m/>
    <m/>
    <m/>
    <m/>
    <m/>
    <m/>
    <m/>
    <m/>
    <m/>
    <m/>
    <m/>
    <s v="Sáng - Trung"/>
    <m/>
    <m/>
    <m/>
    <n v="1"/>
  </r>
  <r>
    <s v="Active"/>
    <m/>
    <s v="Ngô Thị Thùy Em"/>
    <x v="3"/>
    <s v="PMC - Quality"/>
    <s v="Factory"/>
    <m/>
    <m/>
    <m/>
    <m/>
    <m/>
    <m/>
    <m/>
    <m/>
    <m/>
    <m/>
    <m/>
    <m/>
    <m/>
    <m/>
    <m/>
    <m/>
    <m/>
    <m/>
    <m/>
    <m/>
    <m/>
    <m/>
    <m/>
    <m/>
    <m/>
    <m/>
    <m/>
    <m/>
    <s v="Sáng - Mặn - Xưởng"/>
    <m/>
    <m/>
    <m/>
    <n v="1"/>
  </r>
  <r>
    <s v="Active"/>
    <m/>
    <s v="Đỗ Thị Hạnh"/>
    <x v="3"/>
    <s v="PMC - Quality"/>
    <s v="Factory"/>
    <m/>
    <m/>
    <m/>
    <m/>
    <m/>
    <m/>
    <m/>
    <m/>
    <m/>
    <m/>
    <m/>
    <m/>
    <m/>
    <m/>
    <m/>
    <m/>
    <m/>
    <m/>
    <m/>
    <m/>
    <m/>
    <m/>
    <m/>
    <m/>
    <m/>
    <m/>
    <m/>
    <m/>
    <s v="Sáng - Mặn - Xưởng"/>
    <m/>
    <m/>
    <m/>
    <n v="1"/>
  </r>
  <r>
    <s v="Active"/>
    <m/>
    <s v="Vòng A Sình"/>
    <x v="9"/>
    <s v="Pro - Packaging"/>
    <s v="Factory"/>
    <m/>
    <m/>
    <m/>
    <m/>
    <m/>
    <m/>
    <m/>
    <m/>
    <m/>
    <m/>
    <m/>
    <m/>
    <m/>
    <m/>
    <m/>
    <m/>
    <m/>
    <m/>
    <m/>
    <m/>
    <m/>
    <m/>
    <m/>
    <m/>
    <m/>
    <m/>
    <m/>
    <m/>
    <s v="Sáng - Mặn - Xưởng"/>
    <m/>
    <m/>
    <m/>
    <n v="1"/>
  </r>
  <r>
    <s v="Active"/>
    <m/>
    <s v="Lê Thị Hồng"/>
    <x v="9"/>
    <s v="Pro - Packaging"/>
    <s v="Factory"/>
    <m/>
    <m/>
    <m/>
    <m/>
    <m/>
    <m/>
    <m/>
    <m/>
    <m/>
    <m/>
    <m/>
    <m/>
    <m/>
    <m/>
    <m/>
    <m/>
    <m/>
    <m/>
    <m/>
    <m/>
    <m/>
    <m/>
    <m/>
    <m/>
    <m/>
    <m/>
    <m/>
    <m/>
    <s v="Sáng - Mặn - Xưởng"/>
    <m/>
    <m/>
    <m/>
    <n v="1"/>
  </r>
  <r>
    <s v="Active"/>
    <m/>
    <s v="Nguyễn Thị Tuyết"/>
    <x v="9"/>
    <s v="Pro - Packaging"/>
    <s v="Factory"/>
    <m/>
    <m/>
    <m/>
    <m/>
    <m/>
    <m/>
    <m/>
    <m/>
    <m/>
    <m/>
    <m/>
    <m/>
    <m/>
    <m/>
    <m/>
    <m/>
    <m/>
    <m/>
    <m/>
    <m/>
    <m/>
    <m/>
    <m/>
    <m/>
    <m/>
    <m/>
    <m/>
    <m/>
    <s v="Sáng - Mặn - Xưởng"/>
    <m/>
    <m/>
    <m/>
    <n v="1"/>
  </r>
  <r>
    <s v="Active"/>
    <m/>
    <s v="Đỗ Thị Lộc"/>
    <x v="9"/>
    <s v="Pro - Packaging"/>
    <s v="Factory"/>
    <m/>
    <m/>
    <m/>
    <m/>
    <m/>
    <m/>
    <m/>
    <m/>
    <m/>
    <m/>
    <m/>
    <m/>
    <m/>
    <m/>
    <m/>
    <m/>
    <m/>
    <m/>
    <m/>
    <m/>
    <m/>
    <m/>
    <m/>
    <m/>
    <m/>
    <m/>
    <m/>
    <m/>
    <s v="Sáng - Mặn - Xưởng"/>
    <m/>
    <m/>
    <m/>
    <n v="1"/>
  </r>
  <r>
    <s v="Active"/>
    <m/>
    <s v="Hoàng Thị Kim Loan"/>
    <x v="9"/>
    <s v="Pro - Packaging"/>
    <s v="Factory"/>
    <m/>
    <m/>
    <m/>
    <m/>
    <m/>
    <m/>
    <m/>
    <m/>
    <m/>
    <m/>
    <m/>
    <m/>
    <m/>
    <m/>
    <m/>
    <m/>
    <m/>
    <m/>
    <m/>
    <m/>
    <m/>
    <m/>
    <m/>
    <m/>
    <m/>
    <m/>
    <m/>
    <m/>
    <s v="Sáng - Mặn - Xưởng"/>
    <m/>
    <m/>
    <m/>
    <n v="1"/>
  </r>
  <r>
    <s v="Active"/>
    <m/>
    <s v="Nông Thị Thu Trang"/>
    <x v="3"/>
    <s v="PMC - Quality"/>
    <s v="Factory"/>
    <m/>
    <m/>
    <m/>
    <m/>
    <m/>
    <m/>
    <m/>
    <m/>
    <m/>
    <m/>
    <m/>
    <m/>
    <m/>
    <m/>
    <m/>
    <m/>
    <m/>
    <m/>
    <m/>
    <m/>
    <m/>
    <m/>
    <m/>
    <m/>
    <m/>
    <m/>
    <m/>
    <m/>
    <s v="Sáng - Mặn - Xưởng"/>
    <m/>
    <m/>
    <m/>
    <n v="1"/>
  </r>
  <r>
    <s v="Active"/>
    <m/>
    <s v="Trần Thị Bến"/>
    <x v="9"/>
    <s v="Pro - Packaging"/>
    <s v="Factory"/>
    <m/>
    <m/>
    <m/>
    <m/>
    <m/>
    <m/>
    <m/>
    <m/>
    <m/>
    <m/>
    <m/>
    <m/>
    <m/>
    <m/>
    <m/>
    <m/>
    <m/>
    <m/>
    <m/>
    <m/>
    <m/>
    <m/>
    <m/>
    <m/>
    <m/>
    <m/>
    <m/>
    <m/>
    <s v="Sáng - Mặn - Xưởng"/>
    <m/>
    <m/>
    <m/>
    <n v="1"/>
  </r>
  <r>
    <s v="Active"/>
    <m/>
    <s v="Vũ Thị Huyền"/>
    <x v="9"/>
    <s v="Pro - Packaging"/>
    <s v="Factory"/>
    <m/>
    <m/>
    <m/>
    <m/>
    <m/>
    <m/>
    <m/>
    <m/>
    <m/>
    <m/>
    <m/>
    <m/>
    <m/>
    <m/>
    <m/>
    <m/>
    <m/>
    <m/>
    <m/>
    <m/>
    <m/>
    <m/>
    <m/>
    <m/>
    <m/>
    <m/>
    <m/>
    <m/>
    <s v="Sáng - Mặn - Xưởng"/>
    <m/>
    <m/>
    <m/>
    <n v="1"/>
  </r>
  <r>
    <s v="Active"/>
    <m/>
    <s v="Trương Khánh Huy"/>
    <x v="9"/>
    <s v="Pro - Packaging"/>
    <s v="Factory"/>
    <m/>
    <m/>
    <m/>
    <m/>
    <m/>
    <m/>
    <m/>
    <m/>
    <m/>
    <m/>
    <m/>
    <m/>
    <m/>
    <m/>
    <m/>
    <m/>
    <m/>
    <m/>
    <m/>
    <m/>
    <m/>
    <m/>
    <m/>
    <m/>
    <m/>
    <m/>
    <m/>
    <m/>
    <s v="Sáng - Mặn - Xưởng"/>
    <m/>
    <m/>
    <m/>
    <n v="1"/>
  </r>
  <r>
    <s v="Active"/>
    <m/>
    <s v="Nguyễn Hoàng Dũng"/>
    <x v="9"/>
    <s v="Pro - Packaging"/>
    <s v="Factory"/>
    <m/>
    <m/>
    <m/>
    <m/>
    <m/>
    <m/>
    <m/>
    <m/>
    <m/>
    <m/>
    <m/>
    <m/>
    <m/>
    <m/>
    <m/>
    <m/>
    <m/>
    <m/>
    <m/>
    <m/>
    <m/>
    <m/>
    <m/>
    <m/>
    <m/>
    <m/>
    <m/>
    <m/>
    <s v="Sáng - Mặn - Xưởng"/>
    <m/>
    <m/>
    <m/>
    <n v="1"/>
  </r>
  <r>
    <s v="Active"/>
    <m/>
    <s v="Nguyễn Thị Kim Oanh"/>
    <x v="9"/>
    <s v="Pro - Packaging"/>
    <s v="Factory"/>
    <m/>
    <m/>
    <m/>
    <m/>
    <m/>
    <m/>
    <m/>
    <m/>
    <m/>
    <m/>
    <m/>
    <m/>
    <m/>
    <m/>
    <m/>
    <m/>
    <m/>
    <m/>
    <m/>
    <m/>
    <m/>
    <m/>
    <m/>
    <m/>
    <m/>
    <m/>
    <m/>
    <m/>
    <s v="Sáng - Mặn - Xưởng"/>
    <m/>
    <m/>
    <m/>
    <n v="1"/>
  </r>
  <r>
    <s v="Active"/>
    <m/>
    <s v="Bùi Thị Kim Thoa"/>
    <x v="9"/>
    <s v="Pro - Packaging"/>
    <s v="Factory"/>
    <m/>
    <m/>
    <m/>
    <m/>
    <m/>
    <m/>
    <m/>
    <m/>
    <m/>
    <m/>
    <m/>
    <m/>
    <m/>
    <m/>
    <m/>
    <m/>
    <m/>
    <m/>
    <m/>
    <m/>
    <m/>
    <m/>
    <m/>
    <m/>
    <m/>
    <m/>
    <m/>
    <m/>
    <s v="Sáng - Mặn - Xưởng"/>
    <m/>
    <m/>
    <m/>
    <n v="1"/>
  </r>
  <r>
    <s v="Active"/>
    <m/>
    <s v="Nguyễn Thị Hồng Hiền"/>
    <x v="9"/>
    <s v="Pro - Packaging"/>
    <s v="Factory"/>
    <m/>
    <m/>
    <m/>
    <m/>
    <m/>
    <m/>
    <m/>
    <m/>
    <m/>
    <m/>
    <m/>
    <m/>
    <m/>
    <m/>
    <m/>
    <m/>
    <m/>
    <m/>
    <m/>
    <m/>
    <m/>
    <m/>
    <m/>
    <m/>
    <m/>
    <m/>
    <m/>
    <m/>
    <s v="Sáng - Mặn - Xưởng"/>
    <m/>
    <m/>
    <m/>
    <n v="1"/>
  </r>
  <r>
    <s v="Active"/>
    <m/>
    <s v="Nguyễn Thị Minh Hồng"/>
    <x v="9"/>
    <s v="Pro - Packaging"/>
    <s v="Factory"/>
    <m/>
    <m/>
    <m/>
    <m/>
    <m/>
    <m/>
    <m/>
    <m/>
    <m/>
    <m/>
    <m/>
    <m/>
    <m/>
    <m/>
    <m/>
    <m/>
    <m/>
    <m/>
    <m/>
    <m/>
    <m/>
    <m/>
    <m/>
    <m/>
    <m/>
    <m/>
    <m/>
    <m/>
    <s v="Sáng - Mặn - Xưởng"/>
    <m/>
    <m/>
    <m/>
    <n v="1"/>
  </r>
  <r>
    <s v="Active"/>
    <m/>
    <s v="Ngô Thị Ngọc Thanh"/>
    <x v="9"/>
    <s v="Pro - Packaging"/>
    <s v="Factory"/>
    <m/>
    <m/>
    <m/>
    <m/>
    <m/>
    <m/>
    <m/>
    <m/>
    <m/>
    <m/>
    <m/>
    <m/>
    <m/>
    <m/>
    <m/>
    <m/>
    <m/>
    <m/>
    <m/>
    <m/>
    <m/>
    <m/>
    <m/>
    <m/>
    <m/>
    <m/>
    <m/>
    <m/>
    <s v="Sáng - Mặn - Xưởng"/>
    <m/>
    <m/>
    <m/>
    <n v="1"/>
  </r>
  <r>
    <s v="Active"/>
    <m/>
    <s v="Nguyễn Viết Hưng"/>
    <x v="9"/>
    <s v="Pro - Packaging"/>
    <s v="Factory"/>
    <m/>
    <m/>
    <m/>
    <m/>
    <m/>
    <m/>
    <m/>
    <m/>
    <m/>
    <m/>
    <m/>
    <m/>
    <m/>
    <m/>
    <m/>
    <m/>
    <m/>
    <m/>
    <m/>
    <m/>
    <m/>
    <m/>
    <m/>
    <m/>
    <m/>
    <m/>
    <m/>
    <m/>
    <s v="Sáng - Mặn - Xưởng"/>
    <m/>
    <m/>
    <m/>
    <n v="1"/>
  </r>
  <r>
    <s v="Active"/>
    <m/>
    <s v="Lầm Siu Hà"/>
    <x v="9"/>
    <s v="Pro - Packaging"/>
    <s v="Factory"/>
    <m/>
    <m/>
    <m/>
    <m/>
    <m/>
    <m/>
    <m/>
    <m/>
    <m/>
    <m/>
    <m/>
    <m/>
    <m/>
    <m/>
    <m/>
    <m/>
    <m/>
    <m/>
    <m/>
    <m/>
    <m/>
    <m/>
    <m/>
    <m/>
    <m/>
    <m/>
    <m/>
    <m/>
    <s v="Sáng - Mặn - Xưởng"/>
    <m/>
    <m/>
    <m/>
    <n v="1"/>
  </r>
  <r>
    <s v="Active"/>
    <m/>
    <s v="Hoàng Thị Dung"/>
    <x v="9"/>
    <s v="Pro - Packaging"/>
    <s v="Factory"/>
    <m/>
    <m/>
    <m/>
    <m/>
    <m/>
    <m/>
    <m/>
    <m/>
    <m/>
    <m/>
    <m/>
    <m/>
    <m/>
    <m/>
    <m/>
    <m/>
    <m/>
    <m/>
    <m/>
    <m/>
    <m/>
    <m/>
    <m/>
    <m/>
    <m/>
    <m/>
    <m/>
    <m/>
    <s v="Sáng - Mặn - Xưởng"/>
    <m/>
    <m/>
    <m/>
    <n v="1"/>
  </r>
  <r>
    <s v="Active"/>
    <m/>
    <s v="Chắng A Dưỡng"/>
    <x v="9"/>
    <s v="Pro - Packaging"/>
    <s v="Factory"/>
    <m/>
    <m/>
    <m/>
    <m/>
    <m/>
    <m/>
    <m/>
    <m/>
    <m/>
    <m/>
    <m/>
    <m/>
    <m/>
    <m/>
    <m/>
    <m/>
    <m/>
    <m/>
    <m/>
    <m/>
    <m/>
    <m/>
    <m/>
    <m/>
    <m/>
    <m/>
    <m/>
    <m/>
    <s v="Sáng - Mặn - Xưởng"/>
    <m/>
    <m/>
    <m/>
    <n v="1"/>
  </r>
  <r>
    <s v="Active"/>
    <m/>
    <s v="Nguyễn Văn Hoài"/>
    <x v="9"/>
    <s v="Pro - Packaging"/>
    <s v="Factory"/>
    <m/>
    <m/>
    <m/>
    <m/>
    <m/>
    <m/>
    <m/>
    <m/>
    <m/>
    <m/>
    <m/>
    <m/>
    <m/>
    <m/>
    <m/>
    <m/>
    <m/>
    <m/>
    <m/>
    <m/>
    <m/>
    <m/>
    <m/>
    <m/>
    <m/>
    <m/>
    <m/>
    <m/>
    <s v="Sáng - Mặn - Xưởng"/>
    <m/>
    <m/>
    <m/>
    <n v="1"/>
  </r>
  <r>
    <s v="Active"/>
    <m/>
    <s v="Hoàng Nữ Duyên Mai"/>
    <x v="9"/>
    <s v="Pro - Packaging"/>
    <s v="Factory"/>
    <m/>
    <m/>
    <m/>
    <m/>
    <m/>
    <m/>
    <m/>
    <m/>
    <m/>
    <m/>
    <m/>
    <m/>
    <m/>
    <m/>
    <m/>
    <m/>
    <m/>
    <m/>
    <m/>
    <m/>
    <m/>
    <m/>
    <m/>
    <m/>
    <m/>
    <m/>
    <m/>
    <m/>
    <s v="Sáng - Mặn - Xưởng"/>
    <m/>
    <m/>
    <m/>
    <n v="1"/>
  </r>
  <r>
    <s v="Active"/>
    <m/>
    <s v="Nguyễn Thị Kim Phương"/>
    <x v="9"/>
    <s v="Pro - Packaging"/>
    <s v="Factory"/>
    <m/>
    <m/>
    <m/>
    <m/>
    <m/>
    <m/>
    <m/>
    <m/>
    <m/>
    <m/>
    <m/>
    <m/>
    <m/>
    <m/>
    <m/>
    <m/>
    <m/>
    <m/>
    <m/>
    <m/>
    <m/>
    <m/>
    <m/>
    <m/>
    <m/>
    <m/>
    <m/>
    <m/>
    <s v="Sáng - Mặn - Xưởng"/>
    <m/>
    <m/>
    <m/>
    <n v="1"/>
  </r>
  <r>
    <s v="Active"/>
    <m/>
    <s v="Nguyễn Minh Khánh"/>
    <x v="9"/>
    <s v="Pro - Packaging"/>
    <s v="Factory"/>
    <m/>
    <m/>
    <m/>
    <m/>
    <m/>
    <m/>
    <m/>
    <m/>
    <m/>
    <m/>
    <m/>
    <m/>
    <m/>
    <m/>
    <m/>
    <m/>
    <m/>
    <m/>
    <m/>
    <m/>
    <m/>
    <m/>
    <m/>
    <m/>
    <m/>
    <m/>
    <m/>
    <m/>
    <s v="Sáng - Mặn - Xưởng"/>
    <m/>
    <m/>
    <m/>
    <n v="1"/>
  </r>
  <r>
    <s v="Active"/>
    <m/>
    <s v="Nguyễn Hoàng Gia Bảo"/>
    <x v="9"/>
    <s v="Pro - Packaging"/>
    <s v="Factory"/>
    <m/>
    <m/>
    <m/>
    <m/>
    <m/>
    <m/>
    <m/>
    <m/>
    <m/>
    <m/>
    <m/>
    <m/>
    <m/>
    <m/>
    <m/>
    <m/>
    <m/>
    <m/>
    <m/>
    <m/>
    <m/>
    <m/>
    <m/>
    <m/>
    <m/>
    <m/>
    <m/>
    <m/>
    <s v="Sáng - Mặn - Xưởng"/>
    <m/>
    <m/>
    <m/>
    <n v="1"/>
  </r>
  <r>
    <s v="Active"/>
    <m/>
    <s v="Nguyễn Gia Bảo"/>
    <x v="9"/>
    <s v="Pro - Packaging"/>
    <s v="Factory"/>
    <m/>
    <m/>
    <m/>
    <m/>
    <m/>
    <m/>
    <m/>
    <m/>
    <m/>
    <m/>
    <m/>
    <m/>
    <m/>
    <m/>
    <m/>
    <m/>
    <m/>
    <m/>
    <m/>
    <m/>
    <m/>
    <m/>
    <m/>
    <m/>
    <m/>
    <m/>
    <m/>
    <m/>
    <s v="Sáng - Mặn - Xưởng"/>
    <m/>
    <m/>
    <m/>
    <n v="1"/>
  </r>
  <r>
    <s v="Active"/>
    <m/>
    <s v="Lê Trọng Tiến"/>
    <x v="9"/>
    <s v="Pro - Packaging"/>
    <s v="Factory"/>
    <m/>
    <m/>
    <m/>
    <m/>
    <m/>
    <m/>
    <m/>
    <m/>
    <m/>
    <m/>
    <m/>
    <m/>
    <m/>
    <m/>
    <m/>
    <m/>
    <m/>
    <m/>
    <m/>
    <m/>
    <m/>
    <m/>
    <m/>
    <m/>
    <m/>
    <m/>
    <m/>
    <m/>
    <s v="Sáng - Mặn - Xưởng"/>
    <m/>
    <m/>
    <m/>
    <n v="1"/>
  </r>
  <r>
    <s v="Active"/>
    <m/>
    <s v="Kha Thanh Tuyen"/>
    <x v="9"/>
    <s v="Pro - Packaging"/>
    <s v="Factory"/>
    <m/>
    <m/>
    <m/>
    <m/>
    <m/>
    <m/>
    <m/>
    <m/>
    <m/>
    <m/>
    <m/>
    <m/>
    <m/>
    <m/>
    <m/>
    <m/>
    <m/>
    <m/>
    <m/>
    <m/>
    <m/>
    <m/>
    <m/>
    <m/>
    <m/>
    <m/>
    <m/>
    <m/>
    <s v="Sáng - Mặn - Xưởng"/>
    <m/>
    <m/>
    <m/>
    <n v="1"/>
  </r>
  <r>
    <s v="Active"/>
    <m/>
    <s v="Võ Thị Dân"/>
    <x v="9"/>
    <s v="Pro - Packaging"/>
    <s v="Factory"/>
    <m/>
    <m/>
    <m/>
    <m/>
    <m/>
    <m/>
    <m/>
    <m/>
    <m/>
    <m/>
    <m/>
    <m/>
    <m/>
    <m/>
    <m/>
    <m/>
    <m/>
    <m/>
    <m/>
    <m/>
    <m/>
    <m/>
    <m/>
    <m/>
    <m/>
    <m/>
    <m/>
    <m/>
    <s v="Sáng - Mặn - Xưởng"/>
    <m/>
    <m/>
    <m/>
    <n v="1"/>
  </r>
  <r>
    <s v="Active"/>
    <m/>
    <s v="Lương Linh Tý"/>
    <x v="9"/>
    <s v="Pro - Packaging"/>
    <s v="Factory"/>
    <m/>
    <m/>
    <m/>
    <m/>
    <m/>
    <m/>
    <m/>
    <m/>
    <m/>
    <m/>
    <m/>
    <m/>
    <m/>
    <m/>
    <m/>
    <m/>
    <m/>
    <m/>
    <m/>
    <m/>
    <m/>
    <m/>
    <m/>
    <m/>
    <m/>
    <m/>
    <m/>
    <m/>
    <s v="Sáng - Mặn - Xưởng"/>
    <m/>
    <m/>
    <m/>
    <n v="1"/>
  </r>
  <r>
    <s v="Active"/>
    <m/>
    <s v="Phạm Thanh Minh"/>
    <x v="9"/>
    <s v="Pro - Packaging"/>
    <s v="Factory"/>
    <m/>
    <m/>
    <m/>
    <m/>
    <m/>
    <m/>
    <m/>
    <m/>
    <m/>
    <m/>
    <m/>
    <m/>
    <m/>
    <m/>
    <m/>
    <m/>
    <m/>
    <m/>
    <m/>
    <m/>
    <m/>
    <m/>
    <m/>
    <m/>
    <m/>
    <m/>
    <m/>
    <m/>
    <s v="Sáng - Mặn - Xưởng"/>
    <m/>
    <m/>
    <m/>
    <n v="1"/>
  </r>
  <r>
    <s v="Active"/>
    <m/>
    <s v="Phạm Tiến Đạt"/>
    <x v="9"/>
    <s v="Pro - Packaging"/>
    <s v="Factory"/>
    <m/>
    <m/>
    <m/>
    <m/>
    <m/>
    <m/>
    <m/>
    <m/>
    <m/>
    <m/>
    <m/>
    <m/>
    <m/>
    <m/>
    <m/>
    <m/>
    <m/>
    <m/>
    <m/>
    <m/>
    <m/>
    <m/>
    <m/>
    <m/>
    <m/>
    <m/>
    <m/>
    <m/>
    <s v="Sáng - Mặn - Xưởng"/>
    <m/>
    <m/>
    <m/>
    <n v="1"/>
  </r>
  <r>
    <s v="Active"/>
    <m/>
    <s v="Mike"/>
    <x v="5"/>
    <s v="Pro - Expat"/>
    <s v="Chinese"/>
    <m/>
    <m/>
    <m/>
    <m/>
    <m/>
    <m/>
    <m/>
    <m/>
    <m/>
    <m/>
    <m/>
    <m/>
    <m/>
    <m/>
    <m/>
    <m/>
    <m/>
    <m/>
    <m/>
    <m/>
    <m/>
    <m/>
    <m/>
    <m/>
    <m/>
    <m/>
    <m/>
    <m/>
    <s v="Sáng - Trung"/>
    <m/>
    <m/>
    <m/>
    <n v="1"/>
  </r>
  <r>
    <s v="Active"/>
    <m/>
    <s v="Vincent"/>
    <x v="5"/>
    <s v="Pro - Expat"/>
    <s v="Chinese"/>
    <m/>
    <m/>
    <m/>
    <m/>
    <m/>
    <m/>
    <m/>
    <m/>
    <m/>
    <m/>
    <m/>
    <m/>
    <m/>
    <m/>
    <m/>
    <m/>
    <m/>
    <m/>
    <m/>
    <m/>
    <m/>
    <m/>
    <m/>
    <m/>
    <m/>
    <m/>
    <m/>
    <m/>
    <s v="Sáng - Trung"/>
    <m/>
    <m/>
    <m/>
    <n v="1"/>
  </r>
  <r>
    <s v="Active"/>
    <m/>
    <s v="Nguyễn Lê Phương Dung"/>
    <x v="9"/>
    <s v="Pro - Packaging"/>
    <s v="Factory"/>
    <m/>
    <m/>
    <m/>
    <m/>
    <m/>
    <m/>
    <m/>
    <m/>
    <m/>
    <m/>
    <m/>
    <m/>
    <m/>
    <m/>
    <m/>
    <m/>
    <m/>
    <m/>
    <m/>
    <m/>
    <m/>
    <m/>
    <m/>
    <m/>
    <m/>
    <m/>
    <m/>
    <m/>
    <s v="Sáng - Mặn - Xưởng"/>
    <m/>
    <m/>
    <m/>
    <n v="1"/>
  </r>
  <r>
    <s v="Active"/>
    <m/>
    <s v="Worker - Packaging"/>
    <x v="9"/>
    <s v="Pro - Packaging"/>
    <s v="Factory"/>
    <m/>
    <m/>
    <m/>
    <m/>
    <m/>
    <m/>
    <m/>
    <m/>
    <m/>
    <m/>
    <m/>
    <m/>
    <m/>
    <m/>
    <m/>
    <m/>
    <m/>
    <m/>
    <m/>
    <m/>
    <m/>
    <m/>
    <m/>
    <m/>
    <m/>
    <m/>
    <m/>
    <m/>
    <s v="Sáng - Mặn - Xưởng"/>
    <m/>
    <m/>
    <m/>
    <n v="1"/>
  </r>
  <r>
    <s v="Active"/>
    <m/>
    <s v="Lê Hồ Thị Hồng Phấn"/>
    <x v="9"/>
    <s v="Pro - Packaging"/>
    <s v="Factory"/>
    <m/>
    <m/>
    <m/>
    <m/>
    <m/>
    <m/>
    <m/>
    <m/>
    <m/>
    <m/>
    <m/>
    <m/>
    <m/>
    <m/>
    <m/>
    <m/>
    <m/>
    <m/>
    <m/>
    <m/>
    <m/>
    <m/>
    <m/>
    <m/>
    <m/>
    <m/>
    <m/>
    <m/>
    <s v="Sáng - Mặn - Xưởng"/>
    <m/>
    <m/>
    <m/>
    <n v="1"/>
  </r>
  <r>
    <s v="Active"/>
    <m/>
    <s v="Mai Thị Dung"/>
    <x v="9"/>
    <s v="Pro - Packaging"/>
    <s v="Factory"/>
    <m/>
    <m/>
    <m/>
    <m/>
    <m/>
    <m/>
    <m/>
    <m/>
    <m/>
    <m/>
    <m/>
    <m/>
    <m/>
    <m/>
    <m/>
    <m/>
    <m/>
    <m/>
    <m/>
    <m/>
    <m/>
    <m/>
    <m/>
    <m/>
    <m/>
    <m/>
    <m/>
    <m/>
    <s v="Sáng - Mặn - Xưởng"/>
    <m/>
    <m/>
    <m/>
    <n v="1"/>
  </r>
  <r>
    <s v="Active"/>
    <m/>
    <s v="Trịnh Thị Nương Em"/>
    <x v="9"/>
    <s v="Pro - Packaging"/>
    <s v="Factory"/>
    <m/>
    <m/>
    <m/>
    <m/>
    <m/>
    <m/>
    <m/>
    <m/>
    <m/>
    <m/>
    <m/>
    <m/>
    <m/>
    <m/>
    <m/>
    <m/>
    <m/>
    <m/>
    <m/>
    <m/>
    <m/>
    <m/>
    <m/>
    <m/>
    <m/>
    <m/>
    <m/>
    <m/>
    <s v="Sáng - Mặn - Xưởng"/>
    <m/>
    <m/>
    <m/>
    <n v="1"/>
  </r>
  <r>
    <s v="Active"/>
    <m/>
    <s v="Nguyễn Hải Yến"/>
    <x v="9"/>
    <s v="Pro - Packaging"/>
    <s v="Factory"/>
    <m/>
    <m/>
    <m/>
    <m/>
    <m/>
    <m/>
    <m/>
    <m/>
    <m/>
    <m/>
    <m/>
    <m/>
    <m/>
    <m/>
    <m/>
    <m/>
    <m/>
    <m/>
    <m/>
    <m/>
    <m/>
    <m/>
    <m/>
    <m/>
    <m/>
    <m/>
    <m/>
    <m/>
    <s v="Sáng - Mặn - Xưởng"/>
    <m/>
    <m/>
    <m/>
    <n v="1"/>
  </r>
  <r>
    <s v="Active"/>
    <m/>
    <s v="Nguyễn Vĩnh Phúc"/>
    <x v="9"/>
    <s v="Pro - Packaging"/>
    <s v="Factory"/>
    <m/>
    <m/>
    <m/>
    <m/>
    <m/>
    <m/>
    <m/>
    <m/>
    <m/>
    <m/>
    <m/>
    <m/>
    <m/>
    <m/>
    <m/>
    <m/>
    <m/>
    <m/>
    <m/>
    <m/>
    <m/>
    <m/>
    <m/>
    <m/>
    <m/>
    <m/>
    <m/>
    <m/>
    <s v="Sáng - Mặn - Xưởng"/>
    <m/>
    <m/>
    <m/>
    <n v="1"/>
  </r>
  <r>
    <s v="Active"/>
    <m/>
    <s v="Lê Gia Đạt"/>
    <x v="9"/>
    <s v="Pro - Packaging"/>
    <s v="Factory"/>
    <m/>
    <m/>
    <m/>
    <m/>
    <m/>
    <m/>
    <m/>
    <m/>
    <m/>
    <m/>
    <m/>
    <m/>
    <m/>
    <m/>
    <m/>
    <m/>
    <m/>
    <m/>
    <m/>
    <m/>
    <m/>
    <m/>
    <m/>
    <m/>
    <m/>
    <m/>
    <m/>
    <m/>
    <s v="Sáng - Mặn - Xưởng"/>
    <m/>
    <m/>
    <m/>
    <n v="1"/>
  </r>
  <r>
    <s v="Active"/>
    <m/>
    <s v="Nguyễn Văn Thuần"/>
    <x v="3"/>
    <s v="PMC - Quality"/>
    <s v="Factory"/>
    <m/>
    <m/>
    <m/>
    <m/>
    <m/>
    <m/>
    <m/>
    <m/>
    <m/>
    <m/>
    <m/>
    <m/>
    <m/>
    <m/>
    <m/>
    <m/>
    <m/>
    <m/>
    <m/>
    <m/>
    <m/>
    <m/>
    <m/>
    <m/>
    <m/>
    <m/>
    <m/>
    <m/>
    <s v="Sáng - Mặn - Xưởng"/>
    <m/>
    <m/>
    <m/>
    <n v="1"/>
  </r>
  <r>
    <s v="Active"/>
    <m/>
    <s v="Lê Gia Bảo"/>
    <x v="9"/>
    <s v="Pro - Packaging"/>
    <s v="Factory"/>
    <m/>
    <m/>
    <m/>
    <m/>
    <m/>
    <m/>
    <m/>
    <m/>
    <m/>
    <m/>
    <m/>
    <m/>
    <m/>
    <m/>
    <m/>
    <m/>
    <m/>
    <m/>
    <m/>
    <m/>
    <m/>
    <m/>
    <m/>
    <m/>
    <m/>
    <m/>
    <m/>
    <m/>
    <s v="Sáng - Mặn - Xưởng"/>
    <m/>
    <m/>
    <m/>
    <n v="1"/>
  </r>
  <r>
    <s v="Active"/>
    <m/>
    <s v="Nguyễn Thị Hồng Dung"/>
    <x v="9"/>
    <s v="Pro - Packaging"/>
    <s v="Factory"/>
    <m/>
    <m/>
    <m/>
    <m/>
    <m/>
    <m/>
    <m/>
    <m/>
    <m/>
    <m/>
    <m/>
    <m/>
    <m/>
    <m/>
    <m/>
    <m/>
    <m/>
    <m/>
    <m/>
    <m/>
    <m/>
    <m/>
    <m/>
    <m/>
    <m/>
    <m/>
    <m/>
    <m/>
    <s v="Sáng - Mặn - Xưởng"/>
    <m/>
    <m/>
    <m/>
    <n v="1"/>
  </r>
  <r>
    <s v="Active"/>
    <m/>
    <s v="Thạch Thị Mường"/>
    <x v="9"/>
    <s v="Pro - Packaging"/>
    <s v="Factory"/>
    <m/>
    <m/>
    <m/>
    <m/>
    <m/>
    <m/>
    <m/>
    <m/>
    <m/>
    <m/>
    <m/>
    <m/>
    <m/>
    <m/>
    <m/>
    <m/>
    <m/>
    <m/>
    <m/>
    <m/>
    <m/>
    <m/>
    <m/>
    <m/>
    <m/>
    <m/>
    <m/>
    <m/>
    <s v="Sáng - Mặn - Xưởng"/>
    <m/>
    <m/>
    <m/>
    <n v="1"/>
  </r>
  <r>
    <s v="Active"/>
    <m/>
    <s v="Danh Anh Khoa"/>
    <x v="9"/>
    <s v="Pro - Packaging"/>
    <s v="Factory"/>
    <m/>
    <m/>
    <m/>
    <m/>
    <m/>
    <m/>
    <m/>
    <m/>
    <m/>
    <m/>
    <m/>
    <m/>
    <m/>
    <m/>
    <m/>
    <m/>
    <m/>
    <m/>
    <m/>
    <m/>
    <m/>
    <m/>
    <m/>
    <m/>
    <m/>
    <m/>
    <m/>
    <m/>
    <s v="Sáng - Mặn - Xưởng"/>
    <m/>
    <m/>
    <m/>
    <n v="1"/>
  </r>
  <r>
    <s v="Active"/>
    <m/>
    <s v="Nguyễn Bá Tuân"/>
    <x v="9"/>
    <s v="Pro - Packaging"/>
    <s v="Factory"/>
    <m/>
    <m/>
    <m/>
    <m/>
    <m/>
    <m/>
    <m/>
    <m/>
    <m/>
    <m/>
    <m/>
    <m/>
    <m/>
    <m/>
    <m/>
    <m/>
    <m/>
    <m/>
    <m/>
    <m/>
    <m/>
    <m/>
    <m/>
    <m/>
    <m/>
    <m/>
    <m/>
    <m/>
    <s v="Sáng - Mặn - Xưởng"/>
    <m/>
    <m/>
    <m/>
    <n v="1"/>
  </r>
  <r>
    <s v="Active"/>
    <m/>
    <s v="Nguyễn Quốc Cường"/>
    <x v="9"/>
    <s v="Pro - Packaging"/>
    <s v="Factory"/>
    <m/>
    <m/>
    <m/>
    <m/>
    <m/>
    <m/>
    <m/>
    <m/>
    <m/>
    <m/>
    <m/>
    <m/>
    <m/>
    <m/>
    <m/>
    <m/>
    <m/>
    <m/>
    <m/>
    <m/>
    <m/>
    <m/>
    <m/>
    <m/>
    <m/>
    <m/>
    <m/>
    <m/>
    <s v="Sáng - Mặn - Xưởng"/>
    <m/>
    <m/>
    <m/>
    <n v="1"/>
  </r>
  <r>
    <s v="Active"/>
    <m/>
    <s v="Phan Trọng Nhân"/>
    <x v="9"/>
    <s v="Pro - Packaging"/>
    <s v="Factory"/>
    <m/>
    <m/>
    <m/>
    <m/>
    <m/>
    <m/>
    <m/>
    <m/>
    <m/>
    <m/>
    <m/>
    <m/>
    <m/>
    <m/>
    <m/>
    <m/>
    <m/>
    <m/>
    <m/>
    <m/>
    <m/>
    <m/>
    <m/>
    <m/>
    <m/>
    <m/>
    <m/>
    <m/>
    <s v="Sáng - Mặn - Xưởng"/>
    <m/>
    <m/>
    <m/>
    <n v="1"/>
  </r>
  <r>
    <s v="Active"/>
    <m/>
    <s v="Đặng Thành Ty Hô"/>
    <x v="9"/>
    <s v="Pro - Packaging"/>
    <s v="Factory"/>
    <m/>
    <m/>
    <m/>
    <m/>
    <m/>
    <m/>
    <m/>
    <m/>
    <m/>
    <m/>
    <m/>
    <m/>
    <m/>
    <m/>
    <m/>
    <m/>
    <m/>
    <m/>
    <m/>
    <m/>
    <m/>
    <m/>
    <m/>
    <m/>
    <m/>
    <m/>
    <m/>
    <m/>
    <s v="Sáng - Mặn - Xưởng"/>
    <m/>
    <m/>
    <m/>
    <n v="1"/>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DG"/>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DG"/>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DG"/>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r>
    <s v="Active"/>
    <m/>
    <m/>
    <x v="6"/>
    <m/>
    <s v="Dầu Giây"/>
    <m/>
    <m/>
    <m/>
    <m/>
    <m/>
    <m/>
    <m/>
    <m/>
    <m/>
    <m/>
    <m/>
    <m/>
    <m/>
    <m/>
    <m/>
    <m/>
    <m/>
    <m/>
    <m/>
    <m/>
    <m/>
    <m/>
    <m/>
    <m/>
    <m/>
    <m/>
    <m/>
    <m/>
    <m/>
    <m/>
    <m/>
    <m/>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s v="Active"/>
    <n v="26000"/>
    <s v="Nguyễn Thị Ngọc Nữ"/>
    <x v="0"/>
    <m/>
    <s v="Dầu Giây"/>
    <m/>
    <m/>
    <m/>
    <m/>
    <m/>
    <m/>
    <m/>
    <m/>
    <m/>
    <m/>
    <m/>
    <m/>
    <m/>
    <m/>
    <m/>
    <m/>
    <m/>
    <m/>
    <m/>
    <m/>
    <m/>
    <m/>
    <m/>
    <m/>
    <s v="Cơm tăng ca"/>
    <m/>
    <m/>
    <m/>
    <m/>
    <s v="Cơm tăng ca"/>
    <s v="Cơm tăng ca"/>
    <s v="Cơm Tăng Ca"/>
    <n v="4"/>
  </r>
  <r>
    <s v="Active"/>
    <n v="26001"/>
    <s v="Trần Minh Thiện"/>
    <x v="0"/>
    <m/>
    <s v="Dầu Giây"/>
    <m/>
    <m/>
    <m/>
    <m/>
    <m/>
    <m/>
    <m/>
    <m/>
    <m/>
    <m/>
    <m/>
    <m/>
    <m/>
    <m/>
    <m/>
    <m/>
    <m/>
    <m/>
    <m/>
    <m/>
    <m/>
    <m/>
    <m/>
    <m/>
    <m/>
    <m/>
    <m/>
    <m/>
    <m/>
    <s v="Cơm tăng ca"/>
    <s v="Cơm tăng ca"/>
    <s v="Cơm Tăng Ca"/>
    <n v="3"/>
  </r>
  <r>
    <s v="Active"/>
    <n v="26004"/>
    <s v="Trần Thị Oanh Đào"/>
    <x v="0"/>
    <m/>
    <s v="Dầu Giây"/>
    <m/>
    <m/>
    <m/>
    <m/>
    <m/>
    <m/>
    <m/>
    <m/>
    <m/>
    <m/>
    <m/>
    <m/>
    <m/>
    <m/>
    <m/>
    <m/>
    <m/>
    <m/>
    <m/>
    <m/>
    <m/>
    <m/>
    <m/>
    <m/>
    <s v="Cơm tăng ca"/>
    <m/>
    <m/>
    <m/>
    <m/>
    <m/>
    <s v="Cơm tăng ca"/>
    <s v="Cơm Tăng Ca"/>
    <n v="3"/>
  </r>
  <r>
    <s v="Active"/>
    <n v="26005"/>
    <s v="Nguyễn Minh Lâm"/>
    <x v="0"/>
    <m/>
    <s v="Dầu Giây"/>
    <m/>
    <m/>
    <m/>
    <m/>
    <m/>
    <m/>
    <m/>
    <m/>
    <m/>
    <m/>
    <m/>
    <m/>
    <m/>
    <m/>
    <m/>
    <m/>
    <m/>
    <m/>
    <m/>
    <m/>
    <m/>
    <m/>
    <m/>
    <m/>
    <s v="Cơm tăng ca"/>
    <m/>
    <m/>
    <m/>
    <m/>
    <s v="Cơm tăng ca"/>
    <s v="Cơm tăng ca"/>
    <s v="Cơm Tăng Ca"/>
    <n v="4"/>
  </r>
  <r>
    <s v="Active"/>
    <n v="26006"/>
    <s v="Nguyễn Ngọc Quỳnh Như"/>
    <x v="0"/>
    <m/>
    <s v="Dầu Giây"/>
    <m/>
    <m/>
    <m/>
    <m/>
    <m/>
    <m/>
    <m/>
    <m/>
    <m/>
    <m/>
    <m/>
    <m/>
    <m/>
    <m/>
    <m/>
    <m/>
    <m/>
    <m/>
    <m/>
    <m/>
    <m/>
    <m/>
    <m/>
    <m/>
    <s v="Cơm tăng ca"/>
    <m/>
    <m/>
    <m/>
    <m/>
    <s v="Cơm tăng ca"/>
    <s v="Cơm tăng ca"/>
    <s v="Cơm Tăng Ca"/>
    <n v="4"/>
  </r>
  <r>
    <s v="Active"/>
    <n v="26007"/>
    <s v="Nguyễn Văn Duyên"/>
    <x v="0"/>
    <m/>
    <s v="Dầu Giây"/>
    <m/>
    <m/>
    <m/>
    <m/>
    <m/>
    <m/>
    <m/>
    <m/>
    <m/>
    <m/>
    <m/>
    <m/>
    <m/>
    <m/>
    <m/>
    <m/>
    <m/>
    <m/>
    <m/>
    <m/>
    <m/>
    <m/>
    <m/>
    <m/>
    <s v="Cơm tăng ca"/>
    <m/>
    <m/>
    <m/>
    <m/>
    <s v="Cơm tăng ca"/>
    <s v="Cơm tăng ca"/>
    <s v="Cơm Tăng Ca"/>
    <n v="4"/>
  </r>
  <r>
    <s v="Active"/>
    <n v="26009"/>
    <s v="Trần Minh Kim"/>
    <x v="0"/>
    <m/>
    <s v="Dầu Giây"/>
    <m/>
    <m/>
    <m/>
    <m/>
    <m/>
    <m/>
    <m/>
    <m/>
    <m/>
    <m/>
    <m/>
    <m/>
    <m/>
    <m/>
    <m/>
    <m/>
    <m/>
    <m/>
    <m/>
    <m/>
    <m/>
    <m/>
    <m/>
    <m/>
    <s v="Cơm tăng ca"/>
    <m/>
    <m/>
    <m/>
    <m/>
    <s v="Cơm tăng ca"/>
    <s v="Cơm tăng ca"/>
    <s v="Cơm Tăng Ca"/>
    <n v="4"/>
  </r>
  <r>
    <s v="Active"/>
    <n v="26010"/>
    <s v="Phan Huynh Ngọc Diễm"/>
    <x v="0"/>
    <m/>
    <s v="Dầu Giây"/>
    <m/>
    <m/>
    <m/>
    <m/>
    <m/>
    <m/>
    <m/>
    <m/>
    <m/>
    <m/>
    <m/>
    <m/>
    <m/>
    <m/>
    <m/>
    <m/>
    <m/>
    <m/>
    <m/>
    <m/>
    <m/>
    <m/>
    <m/>
    <m/>
    <m/>
    <m/>
    <m/>
    <m/>
    <m/>
    <s v="Cơm tăng ca"/>
    <m/>
    <s v="Cơm Tăng Ca"/>
    <n v="2"/>
  </r>
  <r>
    <s v="Active"/>
    <n v="26011"/>
    <s v="Lê Đức Quyền"/>
    <x v="0"/>
    <m/>
    <s v="Dầu Giây"/>
    <m/>
    <m/>
    <m/>
    <m/>
    <m/>
    <m/>
    <m/>
    <m/>
    <m/>
    <m/>
    <m/>
    <m/>
    <m/>
    <m/>
    <m/>
    <m/>
    <m/>
    <m/>
    <m/>
    <m/>
    <m/>
    <m/>
    <m/>
    <m/>
    <s v="Cơm tăng ca"/>
    <m/>
    <m/>
    <m/>
    <m/>
    <m/>
    <s v="Cơm tăng ca"/>
    <s v="Cơm Tăng Ca"/>
    <n v="3"/>
  </r>
  <r>
    <s v="Active"/>
    <n v="26012"/>
    <s v="Nguyễn Văn Thông"/>
    <x v="0"/>
    <m/>
    <s v="Dầu Giây"/>
    <m/>
    <m/>
    <m/>
    <m/>
    <m/>
    <m/>
    <m/>
    <m/>
    <m/>
    <m/>
    <m/>
    <m/>
    <m/>
    <m/>
    <m/>
    <m/>
    <m/>
    <m/>
    <m/>
    <m/>
    <m/>
    <m/>
    <m/>
    <m/>
    <s v="Cơm tăng ca"/>
    <m/>
    <m/>
    <m/>
    <m/>
    <m/>
    <s v="Cơm tăng ca"/>
    <s v="Cơm Tăng Ca"/>
    <n v="3"/>
  </r>
  <r>
    <s v="Active"/>
    <n v="26013"/>
    <s v="Lê Phạm Như Quỳnh"/>
    <x v="0"/>
    <m/>
    <s v="Dầu Giây"/>
    <m/>
    <m/>
    <m/>
    <m/>
    <m/>
    <m/>
    <m/>
    <m/>
    <m/>
    <m/>
    <m/>
    <m/>
    <m/>
    <m/>
    <m/>
    <m/>
    <m/>
    <m/>
    <m/>
    <m/>
    <m/>
    <m/>
    <m/>
    <m/>
    <m/>
    <m/>
    <m/>
    <m/>
    <m/>
    <s v="Cơm tăng ca"/>
    <s v="Cơm tăng ca"/>
    <s v="Cơm Tăng Ca"/>
    <n v="3"/>
  </r>
  <r>
    <s v="Active"/>
    <n v="26014"/>
    <s v="Trương Vũ Thiên Nhi"/>
    <x v="0"/>
    <m/>
    <s v="Dầu Giây"/>
    <m/>
    <m/>
    <m/>
    <m/>
    <m/>
    <m/>
    <m/>
    <m/>
    <m/>
    <m/>
    <m/>
    <m/>
    <m/>
    <m/>
    <m/>
    <m/>
    <m/>
    <m/>
    <m/>
    <m/>
    <m/>
    <m/>
    <m/>
    <m/>
    <s v="Cơm tăng ca"/>
    <m/>
    <m/>
    <m/>
    <m/>
    <s v="Cơm tăng ca"/>
    <m/>
    <s v="Cơm Tăng Ca"/>
    <n v="3"/>
  </r>
  <r>
    <s v="Active"/>
    <n v="26016"/>
    <s v="Phạm Anh Vũ"/>
    <x v="0"/>
    <m/>
    <s v="Dầu Giây"/>
    <m/>
    <m/>
    <m/>
    <m/>
    <m/>
    <m/>
    <m/>
    <m/>
    <m/>
    <m/>
    <m/>
    <m/>
    <m/>
    <m/>
    <m/>
    <m/>
    <m/>
    <m/>
    <m/>
    <m/>
    <m/>
    <m/>
    <m/>
    <m/>
    <s v="Cơm tăng ca"/>
    <m/>
    <m/>
    <m/>
    <m/>
    <s v="Cơm tăng ca"/>
    <s v="Cơm tăng ca"/>
    <s v="Cơm Tăng Ca"/>
    <n v="4"/>
  </r>
  <r>
    <s v="Active"/>
    <n v="26017"/>
    <s v="Bùi Vũ Bảo Trâm"/>
    <x v="0"/>
    <m/>
    <s v="Dầu Giây"/>
    <m/>
    <m/>
    <m/>
    <m/>
    <m/>
    <m/>
    <m/>
    <m/>
    <m/>
    <m/>
    <m/>
    <m/>
    <m/>
    <m/>
    <m/>
    <m/>
    <m/>
    <m/>
    <m/>
    <m/>
    <m/>
    <m/>
    <m/>
    <m/>
    <s v="Cơm tăng ca"/>
    <m/>
    <m/>
    <m/>
    <m/>
    <m/>
    <s v="Cơm tăng ca"/>
    <s v="Cơm Tăng Ca"/>
    <n v="3"/>
  </r>
  <r>
    <s v="Active"/>
    <n v="26003"/>
    <s v="Thòng Hoàng Long"/>
    <x v="0"/>
    <m/>
    <s v="Dầu Giây"/>
    <m/>
    <m/>
    <m/>
    <m/>
    <m/>
    <m/>
    <m/>
    <m/>
    <m/>
    <m/>
    <m/>
    <m/>
    <m/>
    <m/>
    <m/>
    <m/>
    <m/>
    <m/>
    <m/>
    <m/>
    <m/>
    <m/>
    <m/>
    <m/>
    <s v="Cơm tăng ca"/>
    <m/>
    <m/>
    <m/>
    <m/>
    <s v="Cơm tăng ca"/>
    <m/>
    <s v="Cơm Tăng Ca"/>
    <n v="3"/>
  </r>
  <r>
    <s v="Active"/>
    <n v="26002"/>
    <s v="Trần Hoài Yến Nhi"/>
    <x v="0"/>
    <m/>
    <s v="Dầu Giây"/>
    <m/>
    <m/>
    <m/>
    <m/>
    <m/>
    <m/>
    <m/>
    <m/>
    <m/>
    <m/>
    <m/>
    <m/>
    <m/>
    <m/>
    <m/>
    <m/>
    <m/>
    <m/>
    <m/>
    <m/>
    <m/>
    <m/>
    <m/>
    <m/>
    <m/>
    <m/>
    <m/>
    <m/>
    <m/>
    <m/>
    <s v="Cơm tăng ca"/>
    <m/>
    <n v="1"/>
  </r>
  <r>
    <s v="Active"/>
    <m/>
    <s v="Nguyễn Minh Phụng"/>
    <x v="0"/>
    <m/>
    <s v="Dầu Giây"/>
    <m/>
    <m/>
    <m/>
    <m/>
    <m/>
    <m/>
    <m/>
    <m/>
    <m/>
    <m/>
    <m/>
    <m/>
    <m/>
    <m/>
    <m/>
    <m/>
    <m/>
    <m/>
    <m/>
    <m/>
    <m/>
    <m/>
    <m/>
    <m/>
    <m/>
    <m/>
    <m/>
    <m/>
    <m/>
    <m/>
    <s v="Cơm tăng ca"/>
    <m/>
    <n v="1"/>
  </r>
  <r>
    <s v="Active"/>
    <m/>
    <s v="Phạm Thị Thuỳ Tiên"/>
    <x v="0"/>
    <m/>
    <s v="Dầu Giây"/>
    <m/>
    <m/>
    <m/>
    <m/>
    <m/>
    <m/>
    <m/>
    <m/>
    <m/>
    <m/>
    <m/>
    <m/>
    <m/>
    <m/>
    <m/>
    <m/>
    <m/>
    <m/>
    <m/>
    <m/>
    <m/>
    <m/>
    <m/>
    <m/>
    <m/>
    <m/>
    <m/>
    <m/>
    <m/>
    <s v="Cơm tăng ca"/>
    <s v="Cơm tăng ca"/>
    <m/>
    <n v="2"/>
  </r>
  <r>
    <s v="Active"/>
    <m/>
    <s v="Võ Minh Đạt"/>
    <x v="0"/>
    <m/>
    <s v="Dầu Giây"/>
    <m/>
    <m/>
    <m/>
    <m/>
    <m/>
    <m/>
    <m/>
    <m/>
    <m/>
    <m/>
    <m/>
    <m/>
    <m/>
    <m/>
    <m/>
    <m/>
    <m/>
    <m/>
    <m/>
    <m/>
    <m/>
    <m/>
    <m/>
    <m/>
    <s v="Cơm tăng ca"/>
    <m/>
    <m/>
    <m/>
    <m/>
    <m/>
    <m/>
    <m/>
    <n v="1"/>
  </r>
  <r>
    <s v="Active"/>
    <s v="VCV0320"/>
    <s v="Đõ Lệ Ngọc"/>
    <x v="1"/>
    <s v="PMC - WH"/>
    <s v="Dầu Giây"/>
    <m/>
    <m/>
    <m/>
    <m/>
    <m/>
    <m/>
    <m/>
    <m/>
    <m/>
    <m/>
    <m/>
    <m/>
    <m/>
    <m/>
    <m/>
    <m/>
    <m/>
    <m/>
    <m/>
    <m/>
    <m/>
    <m/>
    <m/>
    <m/>
    <m/>
    <m/>
    <m/>
    <m/>
    <m/>
    <s v="Cơm tăng ca"/>
    <m/>
    <m/>
    <n v="1"/>
  </r>
  <r>
    <s v="Active"/>
    <s v=" VCV0788"/>
    <s v="Diệu Ngọc"/>
    <x v="1"/>
    <s v="PMC - WH"/>
    <s v="Dầu Giây"/>
    <m/>
    <m/>
    <m/>
    <m/>
    <m/>
    <m/>
    <m/>
    <m/>
    <m/>
    <m/>
    <m/>
    <m/>
    <m/>
    <m/>
    <m/>
    <m/>
    <m/>
    <m/>
    <m/>
    <m/>
    <m/>
    <m/>
    <m/>
    <m/>
    <m/>
    <m/>
    <m/>
    <m/>
    <m/>
    <s v="Cơm tăng ca"/>
    <m/>
    <m/>
    <n v="1"/>
  </r>
  <r>
    <s v="Active"/>
    <s v="VCV0719"/>
    <s v="Trịnh Xuân Trường"/>
    <x v="1"/>
    <s v="PMC - WH"/>
    <s v="Dầu Giây"/>
    <m/>
    <m/>
    <m/>
    <m/>
    <m/>
    <m/>
    <m/>
    <m/>
    <m/>
    <m/>
    <m/>
    <m/>
    <m/>
    <m/>
    <m/>
    <m/>
    <m/>
    <m/>
    <m/>
    <m/>
    <m/>
    <m/>
    <m/>
    <m/>
    <m/>
    <m/>
    <m/>
    <m/>
    <m/>
    <s v="Cơm tăng ca"/>
    <m/>
    <m/>
    <n v="1"/>
  </r>
  <r>
    <s v="Active"/>
    <s v="VCV0750"/>
    <s v="Huỳnh Khánh Duy"/>
    <x v="1"/>
    <s v="PMC - WH"/>
    <s v="Dầu Giây"/>
    <m/>
    <m/>
    <m/>
    <m/>
    <m/>
    <m/>
    <m/>
    <m/>
    <m/>
    <m/>
    <m/>
    <m/>
    <m/>
    <m/>
    <m/>
    <m/>
    <m/>
    <m/>
    <m/>
    <m/>
    <m/>
    <m/>
    <m/>
    <m/>
    <m/>
    <m/>
    <m/>
    <m/>
    <m/>
    <s v="Cơm tăng ca"/>
    <m/>
    <m/>
    <n v="1"/>
  </r>
  <r>
    <s v="Active"/>
    <s v="VCV0623"/>
    <s v="Phạm Văn Tuấn"/>
    <x v="1"/>
    <s v="PMC - WH"/>
    <s v="Dầu Giây"/>
    <m/>
    <m/>
    <m/>
    <m/>
    <m/>
    <m/>
    <m/>
    <m/>
    <m/>
    <m/>
    <m/>
    <m/>
    <m/>
    <m/>
    <m/>
    <m/>
    <m/>
    <m/>
    <m/>
    <m/>
    <m/>
    <m/>
    <m/>
    <m/>
    <m/>
    <m/>
    <m/>
    <m/>
    <m/>
    <s v="Cơm tăng ca"/>
    <m/>
    <m/>
    <n v="1"/>
  </r>
  <r>
    <s v="Active"/>
    <s v="VCV0787 "/>
    <s v="Nguyễn Phúc Ân"/>
    <x v="1"/>
    <s v="PMC - WH"/>
    <s v="Dầu Giây"/>
    <m/>
    <m/>
    <m/>
    <m/>
    <m/>
    <m/>
    <m/>
    <m/>
    <m/>
    <m/>
    <m/>
    <m/>
    <m/>
    <m/>
    <m/>
    <m/>
    <m/>
    <m/>
    <m/>
    <m/>
    <m/>
    <m/>
    <m/>
    <m/>
    <m/>
    <m/>
    <m/>
    <m/>
    <m/>
    <m/>
    <m/>
    <m/>
    <n v="0"/>
  </r>
  <r>
    <s v="Active"/>
    <s v="VCV0756"/>
    <s v="Lường Chắn Hoa"/>
    <x v="1"/>
    <s v="PMC - WH"/>
    <s v="Dầu Giây"/>
    <m/>
    <m/>
    <m/>
    <m/>
    <m/>
    <m/>
    <m/>
    <m/>
    <m/>
    <m/>
    <m/>
    <m/>
    <m/>
    <m/>
    <m/>
    <m/>
    <m/>
    <m/>
    <m/>
    <m/>
    <m/>
    <m/>
    <m/>
    <m/>
    <m/>
    <m/>
    <m/>
    <m/>
    <m/>
    <s v="Cơm tăng ca"/>
    <m/>
    <m/>
    <n v="1"/>
  </r>
  <r>
    <s v="Active"/>
    <m/>
    <s v="Trần Minh Hiếu"/>
    <x v="1"/>
    <s v="PMC - WH"/>
    <s v="Dầu Giây"/>
    <m/>
    <m/>
    <m/>
    <m/>
    <m/>
    <m/>
    <m/>
    <m/>
    <m/>
    <m/>
    <m/>
    <m/>
    <m/>
    <m/>
    <m/>
    <m/>
    <m/>
    <m/>
    <m/>
    <m/>
    <m/>
    <m/>
    <m/>
    <m/>
    <m/>
    <m/>
    <m/>
    <m/>
    <m/>
    <s v="Cơm tăng ca"/>
    <m/>
    <m/>
    <n v="1"/>
  </r>
  <r>
    <s v="Active"/>
    <s v="VCV0444"/>
    <s v="Lê Doãn Hội"/>
    <x v="1"/>
    <s v="PMC - WH"/>
    <s v="Dầu Giây"/>
    <m/>
    <m/>
    <m/>
    <m/>
    <m/>
    <m/>
    <m/>
    <m/>
    <m/>
    <m/>
    <m/>
    <m/>
    <m/>
    <m/>
    <m/>
    <m/>
    <m/>
    <m/>
    <m/>
    <m/>
    <m/>
    <m/>
    <m/>
    <m/>
    <m/>
    <m/>
    <m/>
    <m/>
    <m/>
    <m/>
    <m/>
    <m/>
    <n v="0"/>
  </r>
  <r>
    <s v="Active"/>
    <s v="VCV0501"/>
    <s v="Nguyễn Văn Phước"/>
    <x v="1"/>
    <s v="PMC - WH"/>
    <s v="Dầu Giây"/>
    <m/>
    <m/>
    <m/>
    <m/>
    <m/>
    <m/>
    <m/>
    <m/>
    <m/>
    <m/>
    <m/>
    <m/>
    <m/>
    <m/>
    <m/>
    <m/>
    <m/>
    <m/>
    <m/>
    <m/>
    <m/>
    <m/>
    <m/>
    <m/>
    <m/>
    <m/>
    <m/>
    <m/>
    <m/>
    <s v="Cơm tăng ca"/>
    <m/>
    <m/>
    <n v="1"/>
  </r>
  <r>
    <s v="Active"/>
    <s v="VCV0770"/>
    <s v="Tsần Thị Hồng Linh"/>
    <x v="1"/>
    <s v="PMC - WH"/>
    <s v="Dầu Giây"/>
    <m/>
    <m/>
    <m/>
    <m/>
    <m/>
    <m/>
    <m/>
    <m/>
    <m/>
    <m/>
    <m/>
    <m/>
    <m/>
    <m/>
    <m/>
    <m/>
    <m/>
    <m/>
    <m/>
    <m/>
    <m/>
    <m/>
    <m/>
    <m/>
    <m/>
    <m/>
    <m/>
    <m/>
    <m/>
    <m/>
    <m/>
    <m/>
    <n v="0"/>
  </r>
  <r>
    <s v="Active"/>
    <s v="VCV0807"/>
    <s v="Mã Cắm Phùng"/>
    <x v="1"/>
    <s v="PMC - WH"/>
    <s v="Dầu Giây"/>
    <m/>
    <m/>
    <m/>
    <m/>
    <m/>
    <m/>
    <m/>
    <m/>
    <m/>
    <m/>
    <m/>
    <m/>
    <m/>
    <m/>
    <m/>
    <m/>
    <m/>
    <m/>
    <m/>
    <m/>
    <m/>
    <m/>
    <m/>
    <m/>
    <m/>
    <m/>
    <m/>
    <m/>
    <m/>
    <m/>
    <m/>
    <m/>
    <n v="0"/>
  </r>
  <r>
    <s v="Active"/>
    <m/>
    <s v="Phạm Song Quý"/>
    <x v="2"/>
    <s v="Driver"/>
    <s v="Dầu Giây"/>
    <m/>
    <m/>
    <m/>
    <m/>
    <m/>
    <m/>
    <m/>
    <m/>
    <m/>
    <m/>
    <m/>
    <m/>
    <m/>
    <m/>
    <m/>
    <m/>
    <m/>
    <m/>
    <m/>
    <m/>
    <m/>
    <m/>
    <m/>
    <m/>
    <m/>
    <m/>
    <m/>
    <m/>
    <m/>
    <m/>
    <m/>
    <m/>
    <n v="0"/>
  </r>
  <r>
    <s v="Active"/>
    <m/>
    <s v="Đỗ Đông Đức"/>
    <x v="2"/>
    <s v="Driver"/>
    <s v="Dầu Giây"/>
    <m/>
    <m/>
    <m/>
    <m/>
    <m/>
    <m/>
    <m/>
    <m/>
    <m/>
    <m/>
    <m/>
    <m/>
    <m/>
    <m/>
    <m/>
    <m/>
    <m/>
    <m/>
    <m/>
    <m/>
    <m/>
    <m/>
    <m/>
    <m/>
    <m/>
    <m/>
    <m/>
    <m/>
    <m/>
    <m/>
    <m/>
    <m/>
    <n v="0"/>
  </r>
  <r>
    <s v="Active"/>
    <m/>
    <s v="Nguyễn Ngân"/>
    <x v="2"/>
    <s v="Driver"/>
    <s v="Dầu Giây"/>
    <m/>
    <m/>
    <m/>
    <m/>
    <m/>
    <m/>
    <m/>
    <m/>
    <m/>
    <m/>
    <m/>
    <m/>
    <m/>
    <m/>
    <m/>
    <m/>
    <m/>
    <m/>
    <m/>
    <m/>
    <m/>
    <m/>
    <m/>
    <m/>
    <m/>
    <m/>
    <m/>
    <m/>
    <m/>
    <m/>
    <m/>
    <m/>
    <n v="0"/>
  </r>
  <r>
    <s v="Active"/>
    <m/>
    <s v="Nguyễn Đức Ân"/>
    <x v="2"/>
    <s v="Driver"/>
    <s v="Dầu Giây"/>
    <m/>
    <m/>
    <m/>
    <m/>
    <m/>
    <m/>
    <m/>
    <m/>
    <m/>
    <m/>
    <m/>
    <m/>
    <m/>
    <m/>
    <m/>
    <m/>
    <m/>
    <m/>
    <m/>
    <m/>
    <m/>
    <m/>
    <m/>
    <m/>
    <m/>
    <m/>
    <m/>
    <m/>
    <m/>
    <m/>
    <m/>
    <m/>
    <n v="0"/>
  </r>
  <r>
    <s v="Active"/>
    <m/>
    <s v="Lã Công Trung"/>
    <x v="3"/>
    <s v="PMC - Quality"/>
    <s v="Dầu Giây"/>
    <m/>
    <m/>
    <m/>
    <m/>
    <m/>
    <m/>
    <m/>
    <m/>
    <m/>
    <m/>
    <m/>
    <m/>
    <m/>
    <m/>
    <m/>
    <m/>
    <m/>
    <m/>
    <m/>
    <m/>
    <m/>
    <m/>
    <m/>
    <m/>
    <m/>
    <m/>
    <m/>
    <m/>
    <m/>
    <m/>
    <m/>
    <m/>
    <n v="0"/>
  </r>
  <r>
    <s v="Active"/>
    <m/>
    <s v="Phạm Quan Thái"/>
    <x v="4"/>
    <s v="COO - Maintenance"/>
    <s v="Dầu Giây"/>
    <m/>
    <m/>
    <m/>
    <m/>
    <m/>
    <m/>
    <m/>
    <m/>
    <m/>
    <m/>
    <m/>
    <m/>
    <m/>
    <m/>
    <m/>
    <m/>
    <m/>
    <m/>
    <m/>
    <m/>
    <m/>
    <m/>
    <m/>
    <m/>
    <m/>
    <m/>
    <m/>
    <m/>
    <m/>
    <m/>
    <m/>
    <m/>
    <n v="0"/>
  </r>
  <r>
    <s v="Active"/>
    <m/>
    <s v="Nguyễn Hoàng Khang"/>
    <x v="4"/>
    <s v="COO - Maintenance"/>
    <s v="Dầu Giây"/>
    <m/>
    <m/>
    <m/>
    <m/>
    <m/>
    <m/>
    <m/>
    <m/>
    <m/>
    <m/>
    <m/>
    <m/>
    <m/>
    <m/>
    <m/>
    <m/>
    <m/>
    <m/>
    <m/>
    <m/>
    <m/>
    <m/>
    <m/>
    <m/>
    <m/>
    <m/>
    <m/>
    <m/>
    <m/>
    <m/>
    <m/>
    <m/>
    <n v="0"/>
  </r>
  <r>
    <s v="Active"/>
    <m/>
    <s v="Đặng Văn Long"/>
    <x v="4"/>
    <s v="COO - Maintenance"/>
    <s v="Dầu Giây"/>
    <m/>
    <m/>
    <m/>
    <m/>
    <m/>
    <m/>
    <m/>
    <m/>
    <m/>
    <m/>
    <m/>
    <m/>
    <m/>
    <m/>
    <m/>
    <m/>
    <m/>
    <m/>
    <m/>
    <m/>
    <m/>
    <m/>
    <m/>
    <m/>
    <m/>
    <m/>
    <m/>
    <m/>
    <m/>
    <m/>
    <m/>
    <m/>
    <n v="0"/>
  </r>
  <r>
    <s v="Active"/>
    <m/>
    <s v="Trần Kim Hải"/>
    <x v="2"/>
    <s v="Security"/>
    <s v="Dầu Giây"/>
    <m/>
    <m/>
    <m/>
    <m/>
    <m/>
    <m/>
    <m/>
    <m/>
    <m/>
    <m/>
    <m/>
    <m/>
    <m/>
    <m/>
    <m/>
    <m/>
    <m/>
    <m/>
    <m/>
    <m/>
    <m/>
    <m/>
    <m/>
    <m/>
    <m/>
    <m/>
    <m/>
    <m/>
    <m/>
    <m/>
    <s v="Cơm tăng ca"/>
    <s v="Cơm Tăng Ca"/>
    <n v="2"/>
  </r>
  <r>
    <s v="Active"/>
    <m/>
    <s v="Lý Văn Trung"/>
    <x v="2"/>
    <s v="Security"/>
    <s v="Dầu Giây"/>
    <m/>
    <m/>
    <m/>
    <m/>
    <m/>
    <m/>
    <m/>
    <m/>
    <m/>
    <m/>
    <m/>
    <m/>
    <m/>
    <m/>
    <m/>
    <m/>
    <m/>
    <m/>
    <m/>
    <m/>
    <m/>
    <m/>
    <m/>
    <m/>
    <m/>
    <m/>
    <m/>
    <m/>
    <m/>
    <m/>
    <m/>
    <m/>
    <n v="0"/>
  </r>
  <r>
    <s v="Active"/>
    <m/>
    <s v="Shipping fee"/>
    <x v="5"/>
    <s v="Pro - Expat"/>
    <s v="Dầu Giây"/>
    <m/>
    <m/>
    <m/>
    <m/>
    <m/>
    <m/>
    <m/>
    <m/>
    <m/>
    <m/>
    <m/>
    <m/>
    <m/>
    <m/>
    <m/>
    <m/>
    <m/>
    <m/>
    <m/>
    <m/>
    <m/>
    <m/>
    <m/>
    <m/>
    <m/>
    <m/>
    <m/>
    <m/>
    <m/>
    <m/>
    <m/>
    <m/>
    <n v="0"/>
  </r>
  <r>
    <s v="Active"/>
    <m/>
    <s v="Shipping fee"/>
    <x v="5"/>
    <s v="Pro - Expat"/>
    <s v="Dầu Giây"/>
    <m/>
    <m/>
    <m/>
    <m/>
    <m/>
    <m/>
    <m/>
    <m/>
    <m/>
    <m/>
    <m/>
    <m/>
    <m/>
    <m/>
    <m/>
    <m/>
    <m/>
    <m/>
    <m/>
    <m/>
    <m/>
    <m/>
    <m/>
    <m/>
    <m/>
    <m/>
    <m/>
    <m/>
    <m/>
    <m/>
    <m/>
    <m/>
    <n v="0"/>
  </r>
  <r>
    <s v="Active"/>
    <m/>
    <s v="ZHANG LANG XING "/>
    <x v="5"/>
    <s v="Pro - Expat"/>
    <s v="Dầu Giây"/>
    <m/>
    <m/>
    <m/>
    <m/>
    <m/>
    <m/>
    <m/>
    <m/>
    <m/>
    <m/>
    <m/>
    <m/>
    <m/>
    <m/>
    <m/>
    <m/>
    <m/>
    <m/>
    <m/>
    <m/>
    <m/>
    <m/>
    <m/>
    <s v="Cơm tăng Ca - TQ"/>
    <s v="Cơm tăng Ca - TQ"/>
    <s v="Cơm tăng Ca - TQ"/>
    <m/>
    <s v="Cơm tăng Ca - TQ"/>
    <m/>
    <s v="Cơm tăng Ca - TQ"/>
    <m/>
    <m/>
    <n v="5"/>
  </r>
  <r>
    <s v="Active"/>
    <m/>
    <s v="ZHANG FANXING "/>
    <x v="5"/>
    <s v="Pro - Expat"/>
    <s v="Dầu Giây"/>
    <m/>
    <m/>
    <m/>
    <m/>
    <m/>
    <m/>
    <m/>
    <m/>
    <m/>
    <m/>
    <m/>
    <m/>
    <m/>
    <m/>
    <m/>
    <m/>
    <m/>
    <m/>
    <m/>
    <m/>
    <m/>
    <m/>
    <m/>
    <s v="Cơm tăng Ca - TQ"/>
    <s v="Cơm tăng Ca - TQ"/>
    <s v="Cơm tăng Ca - TQ"/>
    <m/>
    <s v="Cơm tăng Ca - TQ"/>
    <m/>
    <s v="Cơm tăng Ca - TQ"/>
    <m/>
    <m/>
    <n v="5"/>
  </r>
  <r>
    <s v="Active"/>
    <m/>
    <s v="ZHANG CHUMING "/>
    <x v="5"/>
    <s v="Pro - Expat"/>
    <s v="Dầu Giây"/>
    <m/>
    <m/>
    <m/>
    <m/>
    <m/>
    <m/>
    <m/>
    <m/>
    <m/>
    <m/>
    <m/>
    <m/>
    <m/>
    <m/>
    <m/>
    <m/>
    <m/>
    <m/>
    <m/>
    <m/>
    <m/>
    <m/>
    <m/>
    <s v="Cơm tăng Ca - TQ"/>
    <s v="Cơm tăng Ca - TQ"/>
    <s v="Cơm tăng Ca - TQ"/>
    <m/>
    <s v="Cơm tăng Ca - TQ"/>
    <m/>
    <s v="Cơm tăng Ca - TQ"/>
    <s v="Cơm tăng Ca - TQ"/>
    <s v="Cơm tăng Ca - TQ"/>
    <n v="7"/>
  </r>
  <r>
    <s v="Active"/>
    <m/>
    <s v="ZHANG WEXING "/>
    <x v="5"/>
    <s v="Pro - Expat"/>
    <s v="Dầu Giây"/>
    <m/>
    <m/>
    <m/>
    <m/>
    <m/>
    <m/>
    <m/>
    <m/>
    <m/>
    <m/>
    <m/>
    <m/>
    <m/>
    <m/>
    <m/>
    <m/>
    <m/>
    <m/>
    <m/>
    <m/>
    <m/>
    <m/>
    <m/>
    <s v="Cơm tăng Ca - TQ"/>
    <s v="Cơm tăng Ca - TQ"/>
    <s v="Cơm tăng Ca - TQ"/>
    <m/>
    <s v="Cơm tăng Ca - TQ"/>
    <m/>
    <s v="Cơm tăng Ca - TQ"/>
    <s v="Cơm tăng Ca - TQ"/>
    <s v="Cơm tăng Ca - TQ"/>
    <n v="7"/>
  </r>
  <r>
    <s v="Active"/>
    <m/>
    <s v="MA JIANJIE "/>
    <x v="5"/>
    <s v="Pro - Expat"/>
    <s v="Dầu Giây"/>
    <m/>
    <m/>
    <m/>
    <m/>
    <m/>
    <m/>
    <m/>
    <m/>
    <m/>
    <m/>
    <m/>
    <m/>
    <m/>
    <m/>
    <m/>
    <m/>
    <m/>
    <m/>
    <m/>
    <m/>
    <m/>
    <m/>
    <m/>
    <s v="Cơm tăng Ca - TQ"/>
    <s v="Cơm tăng Ca - TQ"/>
    <s v="Cơm tăng Ca - TQ"/>
    <m/>
    <s v="Cơm tăng Ca - TQ"/>
    <m/>
    <s v="Cơm tăng Ca - TQ"/>
    <s v="Cơm tăng Ca - TQ"/>
    <s v="Cơm tăng Ca - TQ"/>
    <n v="7"/>
  </r>
  <r>
    <s v="Active"/>
    <m/>
    <s v="WANG GUANRONG "/>
    <x v="5"/>
    <s v="Pro - Expat"/>
    <s v="Dầu Giây"/>
    <m/>
    <m/>
    <m/>
    <m/>
    <m/>
    <m/>
    <m/>
    <m/>
    <m/>
    <m/>
    <m/>
    <m/>
    <m/>
    <m/>
    <m/>
    <m/>
    <m/>
    <m/>
    <m/>
    <m/>
    <m/>
    <m/>
    <m/>
    <s v="Cơm tăng Ca - TQ"/>
    <s v="Cơm tăng Ca - TQ"/>
    <s v="Cơm tăng Ca - TQ"/>
    <m/>
    <s v="Cơm tăng Ca - TQ"/>
    <m/>
    <s v="Cơm tăng Ca - TQ"/>
    <s v="Cơm tăng Ca - TQ"/>
    <s v="Cơm tăng Ca - TQ"/>
    <n v="7"/>
  </r>
  <r>
    <s v="Active"/>
    <m/>
    <s v="HU ZONG "/>
    <x v="5"/>
    <s v="Pro - Expat"/>
    <s v="Dầu Giây"/>
    <m/>
    <m/>
    <m/>
    <m/>
    <m/>
    <m/>
    <m/>
    <m/>
    <m/>
    <m/>
    <m/>
    <m/>
    <m/>
    <m/>
    <m/>
    <m/>
    <m/>
    <m/>
    <m/>
    <m/>
    <m/>
    <m/>
    <m/>
    <m/>
    <m/>
    <m/>
    <m/>
    <m/>
    <m/>
    <m/>
    <m/>
    <m/>
    <n v="0"/>
  </r>
  <r>
    <s v="Active"/>
    <m/>
    <s v="LU CHANG XI "/>
    <x v="5"/>
    <s v="Pro - Expat"/>
    <s v="Dầu Giây"/>
    <m/>
    <m/>
    <m/>
    <m/>
    <m/>
    <m/>
    <m/>
    <m/>
    <m/>
    <m/>
    <m/>
    <m/>
    <m/>
    <m/>
    <m/>
    <m/>
    <m/>
    <m/>
    <m/>
    <m/>
    <m/>
    <m/>
    <m/>
    <s v="Cơm tăng Ca - TQ"/>
    <s v="Cơm tăng Ca - TQ"/>
    <s v="Cơm tăng Ca - TQ"/>
    <m/>
    <s v="Cơm tăng Ca - TQ"/>
    <s v="Cơm tăng Ca - TQ"/>
    <s v="Cơm tăng Ca - TQ"/>
    <s v="Cơm tăng Ca - TQ"/>
    <s v="Cơm tăng Ca - TQ"/>
    <n v="8"/>
  </r>
  <r>
    <s v="Active"/>
    <m/>
    <s v="Pro - Expat"/>
    <x v="5"/>
    <s v="Pro - Expat"/>
    <s v="Dầu Giây"/>
    <m/>
    <m/>
    <m/>
    <m/>
    <m/>
    <m/>
    <m/>
    <m/>
    <m/>
    <m/>
    <m/>
    <m/>
    <m/>
    <m/>
    <m/>
    <m/>
    <m/>
    <m/>
    <m/>
    <m/>
    <m/>
    <m/>
    <m/>
    <s v="Cơm tăng Ca - TQ"/>
    <s v="Cơm tăng Ca - TQ"/>
    <s v="Cơm tăng Ca - TQ"/>
    <m/>
    <s v="Cơm tăng Ca - TQ"/>
    <s v="Cơm tăng Ca - TQ"/>
    <s v="Cơm tăng Ca - TQ"/>
    <s v="Cơm tăng Ca - TQ"/>
    <m/>
    <n v="7"/>
  </r>
  <r>
    <s v="Active"/>
    <m/>
    <s v="Pro - Expat"/>
    <x v="5"/>
    <s v="Pro - Expat"/>
    <s v="Dầu Giây"/>
    <m/>
    <m/>
    <m/>
    <m/>
    <m/>
    <m/>
    <m/>
    <m/>
    <m/>
    <m/>
    <m/>
    <m/>
    <m/>
    <m/>
    <m/>
    <m/>
    <m/>
    <m/>
    <m/>
    <m/>
    <m/>
    <m/>
    <m/>
    <s v="Cơm tăng Ca - TQ"/>
    <s v="Cơm tăng Ca - TQ"/>
    <s v="Cơm tăng Ca - TQ"/>
    <m/>
    <s v="Cơm tăng Ca - TQ"/>
    <s v="Cơm tăng Ca - TQ"/>
    <s v="Cơm tăng Ca - TQ"/>
    <s v="Cơm tăng Ca - TQ"/>
    <m/>
    <n v="7"/>
  </r>
  <r>
    <s v="Active"/>
    <m/>
    <s v="Pro - Expat"/>
    <x v="5"/>
    <s v="Pro - Expat"/>
    <s v="Dầu Giây"/>
    <m/>
    <m/>
    <m/>
    <m/>
    <m/>
    <m/>
    <m/>
    <m/>
    <m/>
    <m/>
    <m/>
    <m/>
    <m/>
    <m/>
    <m/>
    <m/>
    <m/>
    <m/>
    <m/>
    <m/>
    <m/>
    <m/>
    <m/>
    <s v="Cơm tăng Ca - TQ"/>
    <s v="Cơm tăng Ca - TQ"/>
    <s v="Cơm tăng Ca - TQ"/>
    <m/>
    <s v="Cơm tăng Ca - TQ"/>
    <s v="Cơm tăng Ca - TQ"/>
    <s v="Cơm tăng Ca - TQ"/>
    <s v="Cơm tăng Ca - TQ"/>
    <m/>
    <n v="7"/>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r>
    <s v="Active"/>
    <m/>
    <m/>
    <x v="6"/>
    <m/>
    <m/>
    <m/>
    <m/>
    <m/>
    <m/>
    <m/>
    <m/>
    <m/>
    <m/>
    <m/>
    <m/>
    <m/>
    <m/>
    <m/>
    <m/>
    <m/>
    <m/>
    <m/>
    <m/>
    <m/>
    <m/>
    <m/>
    <m/>
    <m/>
    <m/>
    <m/>
    <m/>
    <m/>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442A14-6C58-4168-8481-7263A1CAF45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7" firstHeaderRow="1" firstDataRow="1" firstDataCol="1"/>
  <pivotFields count="39">
    <pivotField showAll="0"/>
    <pivotField showAll="0"/>
    <pivotField showAll="0"/>
    <pivotField axis="axisRow" showAll="0">
      <items count="14">
        <item x="4"/>
        <item x="0"/>
        <item x="3"/>
        <item x="1"/>
        <item x="2"/>
        <item x="6"/>
        <item x="5"/>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Total meals per day"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51B0E4-D1A8-40FD-9B63-20970CFAE4E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23" firstHeaderRow="1" firstDataRow="1" firstDataCol="1"/>
  <pivotFields count="39">
    <pivotField showAll="0"/>
    <pivotField showAll="0"/>
    <pivotField showAll="0"/>
    <pivotField axis="axisRow" showAll="0">
      <items count="21">
        <item x="12"/>
        <item x="17"/>
        <item x="8"/>
        <item x="13"/>
        <item x="1"/>
        <item x="10"/>
        <item x="7"/>
        <item x="11"/>
        <item x="6"/>
        <item x="14"/>
        <item x="9"/>
        <item x="16"/>
        <item x="0"/>
        <item x="2"/>
        <item x="5"/>
        <item x="3"/>
        <item x="4"/>
        <item x="15"/>
        <item m="1" x="19"/>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20">
    <i>
      <x/>
    </i>
    <i>
      <x v="1"/>
    </i>
    <i>
      <x v="2"/>
    </i>
    <i>
      <x v="3"/>
    </i>
    <i>
      <x v="4"/>
    </i>
    <i>
      <x v="5"/>
    </i>
    <i>
      <x v="6"/>
    </i>
    <i>
      <x v="7"/>
    </i>
    <i>
      <x v="8"/>
    </i>
    <i>
      <x v="9"/>
    </i>
    <i>
      <x v="10"/>
    </i>
    <i>
      <x v="11"/>
    </i>
    <i>
      <x v="12"/>
    </i>
    <i>
      <x v="13"/>
    </i>
    <i>
      <x v="14"/>
    </i>
    <i>
      <x v="15"/>
    </i>
    <i>
      <x v="16"/>
    </i>
    <i>
      <x v="17"/>
    </i>
    <i>
      <x v="19"/>
    </i>
    <i t="grand">
      <x/>
    </i>
  </rowItems>
  <colItems count="1">
    <i/>
  </colItems>
  <dataFields count="1">
    <dataField name="Sum of Total meals per day"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3FEB9E-4169-4A2F-AA85-737C371EE7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39">
    <pivotField showAll="0"/>
    <pivotField showAll="0"/>
    <pivotField showAll="0"/>
    <pivotField axis="axisRow" showAll="0">
      <items count="31">
        <item x="5"/>
        <item x="14"/>
        <item x="9"/>
        <item x="6"/>
        <item x="7"/>
        <item x="18"/>
        <item x="24"/>
        <item x="23"/>
        <item x="20"/>
        <item x="3"/>
        <item x="8"/>
        <item x="4"/>
        <item x="22"/>
        <item x="27"/>
        <item x="2"/>
        <item x="26"/>
        <item x="15"/>
        <item x="11"/>
        <item x="13"/>
        <item x="19"/>
        <item x="21"/>
        <item x="16"/>
        <item x="1"/>
        <item x="17"/>
        <item x="12"/>
        <item x="10"/>
        <item x="25"/>
        <item x="28"/>
        <item x="0"/>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 meals per day"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7FAFB7-52C7-4C98-98B1-2D08B4DD209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5:H33" firstHeaderRow="1" firstDataRow="1" firstDataCol="1"/>
  <pivotFields count="39">
    <pivotField showAll="0"/>
    <pivotField showAll="0"/>
    <pivotField showAll="0"/>
    <pivotField axis="axisRow" showAll="0">
      <items count="8">
        <item x="4"/>
        <item x="0"/>
        <item x="3"/>
        <item x="1"/>
        <item x="5"/>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 meals per day"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H40"/>
  <sheetViews>
    <sheetView zoomScale="80" zoomScaleNormal="80" workbookViewId="0">
      <selection activeCell="H41" sqref="H41"/>
    </sheetView>
  </sheetViews>
  <sheetFormatPr defaultColWidth="9" defaultRowHeight="14.25" x14ac:dyDescent="0.2"/>
  <cols>
    <col min="1" max="1" width="19.25" bestFit="1" customWidth="1"/>
    <col min="2" max="2" width="25.625" bestFit="1" customWidth="1"/>
    <col min="4" max="4" width="20.75" bestFit="1" customWidth="1"/>
    <col min="5" max="5" width="25.625" bestFit="1" customWidth="1"/>
    <col min="7" max="7" width="18" bestFit="1" customWidth="1"/>
    <col min="8" max="8" width="25.625" bestFit="1" customWidth="1"/>
  </cols>
  <sheetData>
    <row r="2" spans="1:8" ht="15" x14ac:dyDescent="0.25">
      <c r="A2" s="46" t="s">
        <v>1048</v>
      </c>
      <c r="D2" s="46" t="s">
        <v>1049</v>
      </c>
      <c r="G2" s="82" t="s">
        <v>1046</v>
      </c>
      <c r="H2" s="82"/>
    </row>
    <row r="3" spans="1:8" x14ac:dyDescent="0.2">
      <c r="A3" s="47" t="s">
        <v>0</v>
      </c>
      <c r="B3" t="s">
        <v>1</v>
      </c>
      <c r="D3" s="47" t="s">
        <v>0</v>
      </c>
      <c r="E3" t="s">
        <v>1</v>
      </c>
      <c r="G3" s="47" t="s">
        <v>0</v>
      </c>
      <c r="H3" t="s">
        <v>1</v>
      </c>
    </row>
    <row r="4" spans="1:8" x14ac:dyDescent="0.2">
      <c r="A4" s="4" t="s">
        <v>2</v>
      </c>
      <c r="B4">
        <v>23</v>
      </c>
      <c r="D4" s="4" t="s">
        <v>3</v>
      </c>
      <c r="E4">
        <v>51</v>
      </c>
      <c r="G4" s="4" t="s">
        <v>3</v>
      </c>
      <c r="H4">
        <v>13</v>
      </c>
    </row>
    <row r="5" spans="1:8" x14ac:dyDescent="0.2">
      <c r="A5" s="4" t="s">
        <v>4</v>
      </c>
      <c r="B5">
        <v>23</v>
      </c>
      <c r="D5" s="4" t="s">
        <v>5</v>
      </c>
      <c r="E5">
        <v>3</v>
      </c>
      <c r="G5" s="4" t="s">
        <v>1044</v>
      </c>
      <c r="H5">
        <v>131</v>
      </c>
    </row>
    <row r="6" spans="1:8" x14ac:dyDescent="0.2">
      <c r="A6" s="4" t="s">
        <v>6</v>
      </c>
      <c r="B6">
        <v>39</v>
      </c>
      <c r="D6" s="4" t="s">
        <v>8</v>
      </c>
      <c r="E6">
        <v>124</v>
      </c>
      <c r="G6" s="4" t="s">
        <v>8</v>
      </c>
      <c r="H6">
        <v>12</v>
      </c>
    </row>
    <row r="7" spans="1:8" x14ac:dyDescent="0.2">
      <c r="A7" s="4" t="s">
        <v>3</v>
      </c>
      <c r="B7">
        <v>70</v>
      </c>
      <c r="D7" s="4" t="s">
        <v>10</v>
      </c>
      <c r="E7">
        <v>103</v>
      </c>
      <c r="G7" s="4" t="s">
        <v>10</v>
      </c>
      <c r="H7">
        <v>72</v>
      </c>
    </row>
    <row r="8" spans="1:8" x14ac:dyDescent="0.2">
      <c r="A8" s="4" t="s">
        <v>9</v>
      </c>
      <c r="B8">
        <v>71</v>
      </c>
      <c r="D8" s="4" t="s">
        <v>11</v>
      </c>
      <c r="E8">
        <v>768</v>
      </c>
      <c r="G8" s="4" t="s">
        <v>32</v>
      </c>
      <c r="H8">
        <v>19</v>
      </c>
    </row>
    <row r="9" spans="1:8" x14ac:dyDescent="0.2">
      <c r="A9" s="4" t="s">
        <v>5</v>
      </c>
      <c r="B9">
        <v>23</v>
      </c>
      <c r="D9" s="4" t="s">
        <v>13</v>
      </c>
      <c r="E9">
        <v>44</v>
      </c>
      <c r="G9" s="4" t="s">
        <v>1012</v>
      </c>
      <c r="H9">
        <v>0</v>
      </c>
    </row>
    <row r="10" spans="1:8" x14ac:dyDescent="0.2">
      <c r="A10" s="4" t="s">
        <v>12</v>
      </c>
      <c r="B10">
        <v>24</v>
      </c>
      <c r="D10" s="4" t="s">
        <v>14</v>
      </c>
      <c r="E10">
        <v>341</v>
      </c>
      <c r="G10" s="4" t="s">
        <v>16</v>
      </c>
      <c r="H10">
        <v>107</v>
      </c>
    </row>
    <row r="11" spans="1:8" x14ac:dyDescent="0.2">
      <c r="A11" s="4" t="s">
        <v>7</v>
      </c>
      <c r="B11">
        <v>112</v>
      </c>
      <c r="D11" s="4" t="s">
        <v>28</v>
      </c>
      <c r="E11">
        <v>84</v>
      </c>
      <c r="G11" s="4" t="s">
        <v>11</v>
      </c>
      <c r="H11">
        <v>2</v>
      </c>
    </row>
    <row r="12" spans="1:8" x14ac:dyDescent="0.2">
      <c r="A12" s="4" t="s">
        <v>15</v>
      </c>
      <c r="B12">
        <v>148</v>
      </c>
      <c r="D12" s="4" t="s">
        <v>18</v>
      </c>
      <c r="E12">
        <v>167</v>
      </c>
      <c r="G12" s="4" t="s">
        <v>22</v>
      </c>
      <c r="H12">
        <v>1</v>
      </c>
    </row>
    <row r="13" spans="1:8" x14ac:dyDescent="0.2">
      <c r="A13" s="4" t="s">
        <v>17</v>
      </c>
      <c r="B13">
        <v>92</v>
      </c>
      <c r="D13" s="4" t="s">
        <v>19</v>
      </c>
      <c r="E13">
        <v>13</v>
      </c>
      <c r="G13" s="4" t="s">
        <v>21</v>
      </c>
      <c r="H13">
        <v>52</v>
      </c>
    </row>
    <row r="14" spans="1:8" x14ac:dyDescent="0.2">
      <c r="A14" s="4" t="s">
        <v>20</v>
      </c>
      <c r="B14">
        <v>46</v>
      </c>
      <c r="D14" s="4" t="s">
        <v>29</v>
      </c>
      <c r="E14">
        <v>29</v>
      </c>
      <c r="G14" s="4" t="s">
        <v>23</v>
      </c>
      <c r="H14">
        <v>8</v>
      </c>
    </row>
    <row r="15" spans="1:8" x14ac:dyDescent="0.2">
      <c r="A15" s="4" t="s">
        <v>8</v>
      </c>
      <c r="B15">
        <v>487</v>
      </c>
      <c r="D15" s="4" t="s">
        <v>933</v>
      </c>
      <c r="E15">
        <v>13</v>
      </c>
      <c r="G15" s="4" t="s">
        <v>14</v>
      </c>
      <c r="H15">
        <v>11</v>
      </c>
    </row>
    <row r="16" spans="1:8" x14ac:dyDescent="0.2">
      <c r="A16" s="4" t="s">
        <v>10</v>
      </c>
      <c r="B16">
        <v>451</v>
      </c>
      <c r="D16" s="4" t="s">
        <v>21</v>
      </c>
      <c r="E16">
        <v>1256</v>
      </c>
      <c r="G16" s="4" t="s">
        <v>28</v>
      </c>
      <c r="H16">
        <v>2</v>
      </c>
    </row>
    <row r="17" spans="1:8" x14ac:dyDescent="0.2">
      <c r="A17" s="4" t="s">
        <v>24</v>
      </c>
      <c r="B17">
        <v>48</v>
      </c>
      <c r="D17" s="4" t="s">
        <v>22</v>
      </c>
      <c r="E17">
        <v>152</v>
      </c>
      <c r="G17" s="4" t="s">
        <v>30</v>
      </c>
      <c r="H17">
        <v>430</v>
      </c>
    </row>
    <row r="18" spans="1:8" x14ac:dyDescent="0.2">
      <c r="A18" s="4" t="s">
        <v>11</v>
      </c>
      <c r="B18">
        <v>1828</v>
      </c>
      <c r="D18" s="4" t="s">
        <v>23</v>
      </c>
      <c r="E18">
        <v>169</v>
      </c>
    </row>
    <row r="19" spans="1:8" x14ac:dyDescent="0.2">
      <c r="A19" s="4" t="s">
        <v>13</v>
      </c>
      <c r="B19">
        <v>69</v>
      </c>
      <c r="D19" s="4" t="s">
        <v>25</v>
      </c>
      <c r="E19">
        <v>99</v>
      </c>
    </row>
    <row r="20" spans="1:8" x14ac:dyDescent="0.2">
      <c r="A20" s="4" t="s">
        <v>14</v>
      </c>
      <c r="B20">
        <v>216</v>
      </c>
      <c r="D20" s="4" t="s">
        <v>26</v>
      </c>
      <c r="E20">
        <v>6</v>
      </c>
    </row>
    <row r="21" spans="1:8" x14ac:dyDescent="0.2">
      <c r="A21" s="4" t="s">
        <v>28</v>
      </c>
      <c r="B21">
        <v>398</v>
      </c>
      <c r="D21" s="4" t="s">
        <v>27</v>
      </c>
      <c r="E21">
        <v>47</v>
      </c>
    </row>
    <row r="22" spans="1:8" x14ac:dyDescent="0.2">
      <c r="A22" s="4" t="s">
        <v>16</v>
      </c>
      <c r="B22">
        <v>619</v>
      </c>
      <c r="D22" s="4" t="s">
        <v>1012</v>
      </c>
      <c r="E22">
        <v>0</v>
      </c>
    </row>
    <row r="23" spans="1:8" x14ac:dyDescent="0.2">
      <c r="A23" s="4" t="s">
        <v>18</v>
      </c>
      <c r="B23">
        <v>324</v>
      </c>
      <c r="D23" s="4" t="s">
        <v>30</v>
      </c>
      <c r="E23">
        <v>3469</v>
      </c>
    </row>
    <row r="24" spans="1:8" ht="15" x14ac:dyDescent="0.25">
      <c r="A24" s="4" t="s">
        <v>19</v>
      </c>
      <c r="B24">
        <v>607</v>
      </c>
      <c r="E24" s="88"/>
      <c r="G24" s="82" t="s">
        <v>1047</v>
      </c>
      <c r="H24" s="82"/>
    </row>
    <row r="25" spans="1:8" x14ac:dyDescent="0.2">
      <c r="A25" s="4" t="s">
        <v>29</v>
      </c>
      <c r="B25">
        <v>70</v>
      </c>
      <c r="G25" s="47" t="s">
        <v>0</v>
      </c>
      <c r="H25" t="s">
        <v>1</v>
      </c>
    </row>
    <row r="26" spans="1:8" x14ac:dyDescent="0.2">
      <c r="A26" s="4" t="s">
        <v>21</v>
      </c>
      <c r="B26">
        <v>2012</v>
      </c>
      <c r="G26" s="4" t="s">
        <v>3</v>
      </c>
      <c r="H26">
        <v>0</v>
      </c>
    </row>
    <row r="27" spans="1:8" x14ac:dyDescent="0.2">
      <c r="A27" s="4" t="s">
        <v>22</v>
      </c>
      <c r="B27">
        <v>353</v>
      </c>
      <c r="G27" s="4" t="s">
        <v>1044</v>
      </c>
      <c r="H27">
        <v>55</v>
      </c>
    </row>
    <row r="28" spans="1:8" x14ac:dyDescent="0.2">
      <c r="A28" s="4" t="s">
        <v>23</v>
      </c>
      <c r="B28">
        <v>269</v>
      </c>
      <c r="G28" s="4" t="s">
        <v>8</v>
      </c>
      <c r="H28">
        <v>0</v>
      </c>
    </row>
    <row r="29" spans="1:8" x14ac:dyDescent="0.2">
      <c r="A29" s="4" t="s">
        <v>25</v>
      </c>
      <c r="B29">
        <v>176</v>
      </c>
      <c r="G29" s="4" t="s">
        <v>10</v>
      </c>
      <c r="H29">
        <v>8</v>
      </c>
    </row>
    <row r="30" spans="1:8" x14ac:dyDescent="0.2">
      <c r="A30" s="4" t="s">
        <v>26</v>
      </c>
      <c r="B30">
        <v>14</v>
      </c>
      <c r="E30" s="1"/>
      <c r="G30" s="4" t="s">
        <v>16</v>
      </c>
      <c r="H30">
        <v>67</v>
      </c>
    </row>
    <row r="31" spans="1:8" x14ac:dyDescent="0.2">
      <c r="A31" s="4" t="s">
        <v>31</v>
      </c>
      <c r="B31">
        <v>24</v>
      </c>
      <c r="G31" s="4" t="s">
        <v>32</v>
      </c>
      <c r="H31">
        <v>2</v>
      </c>
    </row>
    <row r="32" spans="1:8" x14ac:dyDescent="0.2">
      <c r="A32" s="4" t="s">
        <v>32</v>
      </c>
      <c r="B32">
        <v>176</v>
      </c>
      <c r="E32" s="81"/>
      <c r="G32" s="4" t="s">
        <v>1012</v>
      </c>
      <c r="H32">
        <v>0</v>
      </c>
    </row>
    <row r="33" spans="1:8" x14ac:dyDescent="0.2">
      <c r="A33" s="4" t="s">
        <v>1012</v>
      </c>
      <c r="B33">
        <v>0</v>
      </c>
      <c r="G33" s="4" t="s">
        <v>30</v>
      </c>
      <c r="H33">
        <v>132</v>
      </c>
    </row>
    <row r="34" spans="1:8" x14ac:dyDescent="0.2">
      <c r="A34" s="4" t="s">
        <v>30</v>
      </c>
      <c r="B34">
        <v>8812</v>
      </c>
    </row>
    <row r="35" spans="1:8" x14ac:dyDescent="0.2">
      <c r="B35" s="88"/>
    </row>
    <row r="39" spans="1:8" ht="15" x14ac:dyDescent="0.25">
      <c r="A39" s="83" t="s">
        <v>30</v>
      </c>
      <c r="B39">
        <f>GETPIVOTDATA("Total meals per day",$A$3)+GETPIVOTDATA("Total meals per day",$D$3)+GETPIVOTDATA("Total meals per day",$G$25)+GETPIVOTDATA("Total meals per day",$G$3)</f>
        <v>12843</v>
      </c>
    </row>
    <row r="40" spans="1:8" ht="15.75" x14ac:dyDescent="0.25">
      <c r="A40" s="31"/>
      <c r="B40">
        <f>GETPIVOTDATA("Total meals per day",$A$3,"Department","Pro - Expat")+GETPIVOTDATA("Total meals per day",$G$3,"Department","Pro - Expat")+GETPIVOTDATA("Total meals per day",$G$25,"Department","Pro - Expat")</f>
        <v>793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XEW848"/>
  <sheetViews>
    <sheetView zoomScale="70" zoomScaleNormal="70" workbookViewId="0">
      <selection activeCell="G242" sqref="G242"/>
    </sheetView>
  </sheetViews>
  <sheetFormatPr defaultColWidth="9.125" defaultRowHeight="15.75" x14ac:dyDescent="0.25"/>
  <cols>
    <col min="1" max="1" width="8.25" style="26" customWidth="1"/>
    <col min="2" max="2" width="9.625" style="28" customWidth="1"/>
    <col min="3" max="3" width="23.375" style="26" customWidth="1"/>
    <col min="4" max="4" width="19.625" style="26" customWidth="1"/>
    <col min="5" max="5" width="19.75" style="26" customWidth="1"/>
    <col min="6" max="6" width="7.625" style="26" customWidth="1"/>
    <col min="7" max="7" width="26" style="22" customWidth="1"/>
    <col min="8" max="8" width="22" style="22" customWidth="1"/>
    <col min="9" max="9" width="13.125" style="29" hidden="1" customWidth="1"/>
    <col min="10" max="11" width="14.75" style="29" hidden="1" customWidth="1"/>
    <col min="12" max="12" width="17.25" style="29" hidden="1" customWidth="1"/>
    <col min="13" max="13" width="15.375" style="29" hidden="1" customWidth="1"/>
    <col min="14" max="19" width="17.25" style="29" hidden="1" customWidth="1"/>
    <col min="20" max="20" width="14.375" style="29" hidden="1" customWidth="1"/>
    <col min="21" max="21" width="14.75" style="29" hidden="1" customWidth="1"/>
    <col min="22" max="22" width="17.25" style="29" hidden="1" customWidth="1"/>
    <col min="23" max="23" width="13.375" style="29" hidden="1" customWidth="1"/>
    <col min="24" max="24" width="17.25" style="29" hidden="1" customWidth="1"/>
    <col min="25" max="25" width="10.375" style="29" hidden="1" customWidth="1"/>
    <col min="26" max="26" width="17.25" style="29" hidden="1" customWidth="1"/>
    <col min="27" max="27" width="13.125" style="29" hidden="1" customWidth="1"/>
    <col min="28" max="33" width="13.25" style="29" hidden="1" customWidth="1"/>
    <col min="34" max="34" width="16.75" style="29" hidden="1" customWidth="1"/>
    <col min="35" max="35" width="17.25" style="22" customWidth="1"/>
    <col min="36" max="36" width="14.75" style="22" customWidth="1"/>
    <col min="37" max="38" width="19.125" style="22" customWidth="1"/>
    <col min="39" max="39" width="25.625" style="22" customWidth="1"/>
    <col min="40" max="16384" width="9.125" style="22"/>
  </cols>
  <sheetData>
    <row r="1" spans="1:39" x14ac:dyDescent="0.25">
      <c r="I1" s="7">
        <v>46266</v>
      </c>
      <c r="J1" s="7">
        <v>46267</v>
      </c>
      <c r="K1" s="7">
        <v>46268</v>
      </c>
      <c r="L1" s="7">
        <v>46269</v>
      </c>
      <c r="M1" s="7">
        <v>46270</v>
      </c>
      <c r="N1" s="7">
        <v>46271</v>
      </c>
      <c r="O1" s="7">
        <v>46272</v>
      </c>
      <c r="P1" s="7">
        <v>46273</v>
      </c>
      <c r="Q1" s="7">
        <v>46274</v>
      </c>
      <c r="R1" s="7">
        <v>46275</v>
      </c>
      <c r="S1" s="7">
        <v>46276</v>
      </c>
      <c r="T1" s="7">
        <v>46277</v>
      </c>
      <c r="U1" s="7">
        <v>46278</v>
      </c>
      <c r="V1" s="7">
        <v>46279</v>
      </c>
      <c r="W1" s="7">
        <v>46280</v>
      </c>
      <c r="X1" s="7">
        <v>46281</v>
      </c>
      <c r="Y1" s="7">
        <v>46282</v>
      </c>
      <c r="Z1" s="7">
        <v>46283</v>
      </c>
      <c r="AA1" s="7">
        <v>46284</v>
      </c>
      <c r="AB1" s="7">
        <v>46285</v>
      </c>
      <c r="AC1" s="7">
        <v>46286</v>
      </c>
      <c r="AD1" s="7">
        <v>46287</v>
      </c>
      <c r="AE1" s="7">
        <v>46288</v>
      </c>
      <c r="AF1" s="7">
        <v>46289</v>
      </c>
      <c r="AG1" s="7">
        <v>46290</v>
      </c>
      <c r="AH1" s="7">
        <v>46291</v>
      </c>
      <c r="AI1" s="7">
        <v>46292</v>
      </c>
      <c r="AJ1" s="7">
        <v>46293</v>
      </c>
      <c r="AK1" s="7">
        <v>46294</v>
      </c>
      <c r="AL1" s="7">
        <v>46295</v>
      </c>
    </row>
    <row r="2" spans="1:39" x14ac:dyDescent="0.25">
      <c r="G2" s="30" t="s">
        <v>33</v>
      </c>
      <c r="H2" s="30" t="s">
        <v>34</v>
      </c>
      <c r="I2" s="9">
        <f t="shared" ref="I2:AA2" si="0">SUM(I3:I7)</f>
        <v>361</v>
      </c>
      <c r="J2" s="9">
        <f t="shared" si="0"/>
        <v>0</v>
      </c>
      <c r="K2" s="9">
        <f t="shared" si="0"/>
        <v>0</v>
      </c>
      <c r="L2" s="9">
        <f t="shared" si="0"/>
        <v>358</v>
      </c>
      <c r="M2" s="9">
        <f t="shared" si="0"/>
        <v>363</v>
      </c>
      <c r="N2" s="9">
        <f t="shared" si="0"/>
        <v>72</v>
      </c>
      <c r="O2" s="9">
        <f t="shared" si="0"/>
        <v>370</v>
      </c>
      <c r="P2" s="9">
        <f t="shared" si="0"/>
        <v>329</v>
      </c>
      <c r="Q2" s="9">
        <f t="shared" si="0"/>
        <v>329</v>
      </c>
      <c r="R2" s="9">
        <f t="shared" si="0"/>
        <v>342</v>
      </c>
      <c r="S2" s="9">
        <f t="shared" si="0"/>
        <v>315</v>
      </c>
      <c r="T2" s="9">
        <f t="shared" si="0"/>
        <v>311</v>
      </c>
      <c r="U2" s="9">
        <f t="shared" si="0"/>
        <v>0</v>
      </c>
      <c r="V2" s="9">
        <f t="shared" si="0"/>
        <v>367</v>
      </c>
      <c r="W2" s="9">
        <f t="shared" si="0"/>
        <v>370</v>
      </c>
      <c r="X2" s="9">
        <f t="shared" si="0"/>
        <v>371</v>
      </c>
      <c r="Y2" s="9">
        <f t="shared" si="0"/>
        <v>375</v>
      </c>
      <c r="Z2" s="9">
        <f t="shared" si="0"/>
        <v>377</v>
      </c>
      <c r="AA2" s="9">
        <f t="shared" si="0"/>
        <v>363</v>
      </c>
      <c r="AB2" s="9">
        <f t="shared" ref="AB2:AL2" si="1">SUM(AB3:AB7)</f>
        <v>73</v>
      </c>
      <c r="AC2" s="9">
        <f t="shared" si="1"/>
        <v>361</v>
      </c>
      <c r="AD2" s="9">
        <f t="shared" si="1"/>
        <v>377</v>
      </c>
      <c r="AE2" s="9">
        <f t="shared" si="1"/>
        <v>367</v>
      </c>
      <c r="AF2" s="9">
        <f t="shared" si="1"/>
        <v>368</v>
      </c>
      <c r="AG2" s="9">
        <f t="shared" si="1"/>
        <v>370</v>
      </c>
      <c r="AH2" s="9">
        <f t="shared" si="1"/>
        <v>359</v>
      </c>
      <c r="AI2" s="9">
        <f t="shared" si="1"/>
        <v>69</v>
      </c>
      <c r="AJ2" s="9">
        <f t="shared" si="1"/>
        <v>362</v>
      </c>
      <c r="AK2" s="9">
        <f t="shared" si="1"/>
        <v>369</v>
      </c>
      <c r="AL2" s="9">
        <f t="shared" si="1"/>
        <v>364</v>
      </c>
    </row>
    <row r="3" spans="1:39" x14ac:dyDescent="0.25">
      <c r="C3" s="31"/>
      <c r="G3" s="22" t="s">
        <v>35</v>
      </c>
      <c r="H3" s="31" t="s">
        <v>36</v>
      </c>
      <c r="I3" s="32">
        <f t="shared" ref="I3:R5" si="2">COUNTIFS(I$13:I$663,$H3)</f>
        <v>25</v>
      </c>
      <c r="J3" s="32">
        <f t="shared" si="2"/>
        <v>0</v>
      </c>
      <c r="K3" s="32">
        <f t="shared" si="2"/>
        <v>0</v>
      </c>
      <c r="L3" s="32">
        <f t="shared" si="2"/>
        <v>25</v>
      </c>
      <c r="M3" s="32">
        <f t="shared" si="2"/>
        <v>24</v>
      </c>
      <c r="N3" s="32">
        <f t="shared" si="2"/>
        <v>5</v>
      </c>
      <c r="O3" s="32">
        <f t="shared" si="2"/>
        <v>25</v>
      </c>
      <c r="P3" s="32">
        <f t="shared" si="2"/>
        <v>25</v>
      </c>
      <c r="Q3" s="32">
        <f t="shared" si="2"/>
        <v>23</v>
      </c>
      <c r="R3" s="32">
        <f t="shared" si="2"/>
        <v>26</v>
      </c>
      <c r="S3" s="32">
        <f t="shared" ref="S3:AB5" si="3">COUNTIFS(S$13:S$663,$H3)</f>
        <v>25</v>
      </c>
      <c r="T3" s="32">
        <f t="shared" si="3"/>
        <v>23</v>
      </c>
      <c r="U3" s="32">
        <f t="shared" si="3"/>
        <v>0</v>
      </c>
      <c r="V3" s="32">
        <f t="shared" si="3"/>
        <v>27</v>
      </c>
      <c r="W3" s="32">
        <f t="shared" si="3"/>
        <v>27</v>
      </c>
      <c r="X3" s="32">
        <f t="shared" si="3"/>
        <v>26</v>
      </c>
      <c r="Y3" s="32">
        <f t="shared" si="3"/>
        <v>25</v>
      </c>
      <c r="Z3" s="32">
        <f t="shared" si="3"/>
        <v>24</v>
      </c>
      <c r="AA3" s="32">
        <f t="shared" si="3"/>
        <v>22</v>
      </c>
      <c r="AB3" s="32">
        <f t="shared" si="3"/>
        <v>6</v>
      </c>
      <c r="AC3" s="32">
        <f t="shared" ref="AC3:AL5" si="4">COUNTIFS(AC$13:AC$663,$H3)</f>
        <v>25</v>
      </c>
      <c r="AD3" s="32">
        <f t="shared" si="4"/>
        <v>26</v>
      </c>
      <c r="AE3" s="32">
        <f t="shared" si="4"/>
        <v>26</v>
      </c>
      <c r="AF3" s="32">
        <f t="shared" si="4"/>
        <v>26</v>
      </c>
      <c r="AG3" s="32">
        <f t="shared" si="4"/>
        <v>25</v>
      </c>
      <c r="AH3" s="32">
        <f t="shared" si="4"/>
        <v>25</v>
      </c>
      <c r="AI3" s="32">
        <f t="shared" si="4"/>
        <v>9</v>
      </c>
      <c r="AJ3" s="32">
        <f t="shared" si="4"/>
        <v>24</v>
      </c>
      <c r="AK3" s="32">
        <f t="shared" si="4"/>
        <v>25</v>
      </c>
      <c r="AL3" s="32">
        <f t="shared" si="4"/>
        <v>25</v>
      </c>
    </row>
    <row r="4" spans="1:39" x14ac:dyDescent="0.25">
      <c r="C4" s="57"/>
      <c r="D4" s="26" t="s">
        <v>1060</v>
      </c>
      <c r="E4" s="26">
        <v>1</v>
      </c>
      <c r="G4" s="33" t="s">
        <v>37</v>
      </c>
      <c r="H4" s="33" t="s">
        <v>38</v>
      </c>
      <c r="I4" s="34">
        <f t="shared" si="2"/>
        <v>28</v>
      </c>
      <c r="J4" s="34">
        <f t="shared" si="2"/>
        <v>0</v>
      </c>
      <c r="K4" s="34">
        <f t="shared" si="2"/>
        <v>0</v>
      </c>
      <c r="L4" s="34">
        <f t="shared" si="2"/>
        <v>29</v>
      </c>
      <c r="M4" s="34">
        <f t="shared" si="2"/>
        <v>29</v>
      </c>
      <c r="N4" s="34">
        <f t="shared" si="2"/>
        <v>0</v>
      </c>
      <c r="O4" s="34">
        <f t="shared" si="2"/>
        <v>32</v>
      </c>
      <c r="P4" s="34">
        <f t="shared" si="2"/>
        <v>30</v>
      </c>
      <c r="Q4" s="34">
        <f t="shared" si="2"/>
        <v>29</v>
      </c>
      <c r="R4" s="34">
        <f t="shared" si="2"/>
        <v>30</v>
      </c>
      <c r="S4" s="34">
        <f t="shared" si="3"/>
        <v>30</v>
      </c>
      <c r="T4" s="34">
        <f t="shared" si="3"/>
        <v>26</v>
      </c>
      <c r="U4" s="34">
        <f t="shared" si="3"/>
        <v>0</v>
      </c>
      <c r="V4" s="34">
        <f t="shared" si="3"/>
        <v>29</v>
      </c>
      <c r="W4" s="34">
        <f t="shared" si="3"/>
        <v>30</v>
      </c>
      <c r="X4" s="34">
        <f t="shared" si="3"/>
        <v>26</v>
      </c>
      <c r="Y4" s="34">
        <f t="shared" si="3"/>
        <v>26</v>
      </c>
      <c r="Z4" s="34">
        <f t="shared" si="3"/>
        <v>29</v>
      </c>
      <c r="AA4" s="34">
        <f t="shared" si="3"/>
        <v>27</v>
      </c>
      <c r="AB4" s="34">
        <f t="shared" si="3"/>
        <v>0</v>
      </c>
      <c r="AC4" s="34">
        <f t="shared" si="4"/>
        <v>28</v>
      </c>
      <c r="AD4" s="34">
        <f t="shared" si="4"/>
        <v>28</v>
      </c>
      <c r="AE4" s="34">
        <f t="shared" si="4"/>
        <v>27</v>
      </c>
      <c r="AF4" s="34">
        <f t="shared" si="4"/>
        <v>27</v>
      </c>
      <c r="AG4" s="34">
        <f t="shared" si="4"/>
        <v>27</v>
      </c>
      <c r="AH4" s="34">
        <f t="shared" si="4"/>
        <v>25</v>
      </c>
      <c r="AI4" s="34">
        <f t="shared" si="4"/>
        <v>0</v>
      </c>
      <c r="AJ4" s="34">
        <f t="shared" si="4"/>
        <v>27</v>
      </c>
      <c r="AK4" s="34">
        <f t="shared" si="4"/>
        <v>30</v>
      </c>
      <c r="AL4" s="34">
        <f t="shared" si="4"/>
        <v>29</v>
      </c>
    </row>
    <row r="5" spans="1:39" x14ac:dyDescent="0.25">
      <c r="C5" s="33"/>
      <c r="G5" s="33" t="s">
        <v>39</v>
      </c>
      <c r="H5" s="33" t="s">
        <v>40</v>
      </c>
      <c r="I5" s="34">
        <f t="shared" si="2"/>
        <v>2</v>
      </c>
      <c r="J5" s="34">
        <f t="shared" si="2"/>
        <v>0</v>
      </c>
      <c r="K5" s="34">
        <f t="shared" si="2"/>
        <v>0</v>
      </c>
      <c r="L5" s="34">
        <f t="shared" si="2"/>
        <v>6</v>
      </c>
      <c r="M5" s="34">
        <f t="shared" si="2"/>
        <v>4</v>
      </c>
      <c r="N5" s="34">
        <f t="shared" si="2"/>
        <v>0</v>
      </c>
      <c r="O5" s="34">
        <f t="shared" si="2"/>
        <v>4</v>
      </c>
      <c r="P5" s="34">
        <f t="shared" si="2"/>
        <v>4</v>
      </c>
      <c r="Q5" s="34">
        <f t="shared" si="2"/>
        <v>6</v>
      </c>
      <c r="R5" s="34">
        <f t="shared" si="2"/>
        <v>5</v>
      </c>
      <c r="S5" s="34">
        <f t="shared" si="3"/>
        <v>4</v>
      </c>
      <c r="T5" s="34">
        <f t="shared" si="3"/>
        <v>4</v>
      </c>
      <c r="U5" s="34">
        <f t="shared" si="3"/>
        <v>0</v>
      </c>
      <c r="V5" s="34">
        <f t="shared" si="3"/>
        <v>4</v>
      </c>
      <c r="W5" s="34">
        <f t="shared" si="3"/>
        <v>4</v>
      </c>
      <c r="X5" s="34">
        <f t="shared" si="3"/>
        <v>6</v>
      </c>
      <c r="Y5" s="34">
        <f t="shared" si="3"/>
        <v>5</v>
      </c>
      <c r="Z5" s="34">
        <f t="shared" si="3"/>
        <v>4</v>
      </c>
      <c r="AA5" s="34">
        <f t="shared" si="3"/>
        <v>4</v>
      </c>
      <c r="AB5" s="34">
        <f t="shared" si="3"/>
        <v>0</v>
      </c>
      <c r="AC5" s="34">
        <f t="shared" si="4"/>
        <v>4</v>
      </c>
      <c r="AD5" s="34">
        <f t="shared" si="4"/>
        <v>5</v>
      </c>
      <c r="AE5" s="34">
        <f t="shared" si="4"/>
        <v>6</v>
      </c>
      <c r="AF5" s="34">
        <f t="shared" si="4"/>
        <v>5</v>
      </c>
      <c r="AG5" s="34">
        <f t="shared" si="4"/>
        <v>5</v>
      </c>
      <c r="AH5" s="34">
        <f t="shared" si="4"/>
        <v>4</v>
      </c>
      <c r="AI5" s="34">
        <f t="shared" si="4"/>
        <v>0</v>
      </c>
      <c r="AJ5" s="34">
        <f t="shared" si="4"/>
        <v>5</v>
      </c>
      <c r="AK5" s="34">
        <f t="shared" si="4"/>
        <v>4</v>
      </c>
      <c r="AL5" s="34">
        <f t="shared" si="4"/>
        <v>5</v>
      </c>
      <c r="AM5" s="37"/>
    </row>
    <row r="6" spans="1:39" x14ac:dyDescent="0.25">
      <c r="C6" s="22"/>
      <c r="G6" s="22" t="s">
        <v>41</v>
      </c>
      <c r="H6" s="22" t="s">
        <v>42</v>
      </c>
      <c r="I6" s="35">
        <f t="shared" ref="I6:AL6" si="5">COUNTIFS(I$13:I$663,$H6)-I7</f>
        <v>253</v>
      </c>
      <c r="J6" s="35">
        <f t="shared" si="5"/>
        <v>0</v>
      </c>
      <c r="K6" s="35">
        <f t="shared" si="5"/>
        <v>0</v>
      </c>
      <c r="L6" s="35">
        <f t="shared" si="5"/>
        <v>254</v>
      </c>
      <c r="M6" s="35">
        <f t="shared" si="5"/>
        <v>263</v>
      </c>
      <c r="N6" s="35">
        <f t="shared" si="5"/>
        <v>67</v>
      </c>
      <c r="O6" s="35">
        <f t="shared" si="5"/>
        <v>269</v>
      </c>
      <c r="P6" s="35">
        <f t="shared" si="5"/>
        <v>238</v>
      </c>
      <c r="Q6" s="35">
        <f t="shared" si="5"/>
        <v>242</v>
      </c>
      <c r="R6" s="35">
        <f t="shared" si="5"/>
        <v>250</v>
      </c>
      <c r="S6" s="35">
        <f t="shared" si="5"/>
        <v>218</v>
      </c>
      <c r="T6" s="35">
        <f t="shared" si="5"/>
        <v>245</v>
      </c>
      <c r="U6" s="35">
        <f t="shared" si="5"/>
        <v>0</v>
      </c>
      <c r="V6" s="35">
        <f t="shared" si="5"/>
        <v>268</v>
      </c>
      <c r="W6" s="35">
        <f t="shared" si="5"/>
        <v>273</v>
      </c>
      <c r="X6" s="35">
        <f t="shared" si="5"/>
        <v>275</v>
      </c>
      <c r="Y6" s="35">
        <f t="shared" si="5"/>
        <v>280</v>
      </c>
      <c r="Z6" s="35">
        <f t="shared" si="5"/>
        <v>280</v>
      </c>
      <c r="AA6" s="35">
        <f t="shared" si="5"/>
        <v>260</v>
      </c>
      <c r="AB6" s="35">
        <f t="shared" si="5"/>
        <v>57</v>
      </c>
      <c r="AC6" s="35">
        <f t="shared" si="5"/>
        <v>266</v>
      </c>
      <c r="AD6" s="35">
        <f t="shared" si="5"/>
        <v>279</v>
      </c>
      <c r="AE6" s="35">
        <f t="shared" si="5"/>
        <v>271</v>
      </c>
      <c r="AF6" s="35">
        <f t="shared" si="5"/>
        <v>271</v>
      </c>
      <c r="AG6" s="35">
        <f t="shared" si="5"/>
        <v>272</v>
      </c>
      <c r="AH6" s="35">
        <f t="shared" si="5"/>
        <v>267</v>
      </c>
      <c r="AI6" s="35">
        <f t="shared" si="5"/>
        <v>52</v>
      </c>
      <c r="AJ6" s="35">
        <f t="shared" si="5"/>
        <v>270</v>
      </c>
      <c r="AK6" s="35">
        <f t="shared" si="5"/>
        <v>273</v>
      </c>
      <c r="AL6" s="35">
        <f t="shared" si="5"/>
        <v>268</v>
      </c>
      <c r="AM6" s="37"/>
    </row>
    <row r="7" spans="1:39" x14ac:dyDescent="0.25">
      <c r="C7" s="22"/>
      <c r="G7" s="22" t="s">
        <v>43</v>
      </c>
      <c r="H7" s="22" t="s">
        <v>44</v>
      </c>
      <c r="I7" s="35">
        <f>3+1+37+12</f>
        <v>53</v>
      </c>
      <c r="J7" s="35"/>
      <c r="K7" s="35"/>
      <c r="L7" s="35">
        <f>1+3+28+12</f>
        <v>44</v>
      </c>
      <c r="M7" s="35">
        <f>1+12+28+2</f>
        <v>43</v>
      </c>
      <c r="N7" s="35"/>
      <c r="O7" s="35">
        <f>10+27+1+2</f>
        <v>40</v>
      </c>
      <c r="P7" s="35">
        <v>32</v>
      </c>
      <c r="Q7" s="35">
        <f>3+13+1+12</f>
        <v>29</v>
      </c>
      <c r="R7" s="35">
        <f>14+2+14+1</f>
        <v>31</v>
      </c>
      <c r="S7" s="35">
        <f>2+1+22+13</f>
        <v>38</v>
      </c>
      <c r="T7" s="35">
        <f>12+1</f>
        <v>13</v>
      </c>
      <c r="U7" s="36"/>
      <c r="V7" s="35">
        <f>2+10+26+1</f>
        <v>39</v>
      </c>
      <c r="W7" s="35">
        <f>23+2+10+1</f>
        <v>36</v>
      </c>
      <c r="X7" s="35">
        <f>1+10+2+25</f>
        <v>38</v>
      </c>
      <c r="Y7" s="35">
        <f>39</f>
        <v>39</v>
      </c>
      <c r="Z7" s="35">
        <f>2+24+1+13</f>
        <v>40</v>
      </c>
      <c r="AA7" s="35">
        <f>35+12+1+2</f>
        <v>50</v>
      </c>
      <c r="AB7" s="35">
        <f>10</f>
        <v>10</v>
      </c>
      <c r="AC7" s="35">
        <f>1+11+2+24</f>
        <v>38</v>
      </c>
      <c r="AD7" s="35">
        <f>1+12+2+24</f>
        <v>39</v>
      </c>
      <c r="AE7" s="35">
        <f>11+2+23+1</f>
        <v>37</v>
      </c>
      <c r="AF7" s="35">
        <f>1+24+2+12</f>
        <v>39</v>
      </c>
      <c r="AG7" s="35">
        <f>12+1+26+2</f>
        <v>41</v>
      </c>
      <c r="AH7" s="35">
        <f>10+1+2+25</f>
        <v>38</v>
      </c>
      <c r="AI7" s="22">
        <f>8</f>
        <v>8</v>
      </c>
      <c r="AJ7" s="22">
        <f>2+11+23</f>
        <v>36</v>
      </c>
      <c r="AK7" s="22">
        <f>11+1+1+24</f>
        <v>37</v>
      </c>
      <c r="AL7" s="22">
        <f>25+1+1+10</f>
        <v>37</v>
      </c>
    </row>
    <row r="8" spans="1:39" x14ac:dyDescent="0.25">
      <c r="E8" s="37">
        <f>SUM(I8:AL8)</f>
        <v>8812</v>
      </c>
      <c r="G8" s="30"/>
      <c r="H8" s="30"/>
      <c r="I8" s="9">
        <f>SUM(I9:I10)</f>
        <v>361</v>
      </c>
      <c r="J8" s="9">
        <f>SUM(J9:J10)</f>
        <v>0</v>
      </c>
      <c r="K8" s="9">
        <f t="shared" ref="K8:AL8" si="6">SUM(K9:K10)</f>
        <v>0</v>
      </c>
      <c r="L8" s="9">
        <f t="shared" si="6"/>
        <v>358</v>
      </c>
      <c r="M8" s="9">
        <f t="shared" si="6"/>
        <v>363</v>
      </c>
      <c r="N8" s="9">
        <f t="shared" si="6"/>
        <v>72</v>
      </c>
      <c r="O8" s="9">
        <f t="shared" si="6"/>
        <v>370</v>
      </c>
      <c r="P8" s="9">
        <f t="shared" si="6"/>
        <v>329</v>
      </c>
      <c r="Q8" s="9">
        <f t="shared" si="6"/>
        <v>329</v>
      </c>
      <c r="R8" s="9">
        <f t="shared" si="6"/>
        <v>342</v>
      </c>
      <c r="S8" s="9">
        <f t="shared" si="6"/>
        <v>315</v>
      </c>
      <c r="T8" s="9">
        <f t="shared" si="6"/>
        <v>311</v>
      </c>
      <c r="U8" s="9">
        <f t="shared" si="6"/>
        <v>0</v>
      </c>
      <c r="V8" s="9">
        <f t="shared" si="6"/>
        <v>367</v>
      </c>
      <c r="W8" s="9">
        <f t="shared" si="6"/>
        <v>370</v>
      </c>
      <c r="X8" s="9">
        <f t="shared" si="6"/>
        <v>371</v>
      </c>
      <c r="Y8" s="9">
        <f t="shared" si="6"/>
        <v>375</v>
      </c>
      <c r="Z8" s="9">
        <f t="shared" si="6"/>
        <v>377</v>
      </c>
      <c r="AA8" s="9">
        <f t="shared" si="6"/>
        <v>363</v>
      </c>
      <c r="AB8" s="9">
        <f t="shared" si="6"/>
        <v>73</v>
      </c>
      <c r="AC8" s="9">
        <f t="shared" si="6"/>
        <v>361</v>
      </c>
      <c r="AD8" s="9">
        <f t="shared" si="6"/>
        <v>377</v>
      </c>
      <c r="AE8" s="9">
        <f t="shared" si="6"/>
        <v>367</v>
      </c>
      <c r="AF8" s="9">
        <f t="shared" si="6"/>
        <v>368</v>
      </c>
      <c r="AG8" s="9">
        <f t="shared" si="6"/>
        <v>370</v>
      </c>
      <c r="AH8" s="9">
        <f t="shared" si="6"/>
        <v>359</v>
      </c>
      <c r="AI8" s="9">
        <f t="shared" si="6"/>
        <v>69</v>
      </c>
      <c r="AJ8" s="9">
        <f t="shared" si="6"/>
        <v>362</v>
      </c>
      <c r="AK8" s="9">
        <f t="shared" si="6"/>
        <v>369</v>
      </c>
      <c r="AL8" s="9">
        <f t="shared" si="6"/>
        <v>364</v>
      </c>
    </row>
    <row r="9" spans="1:39" x14ac:dyDescent="0.25">
      <c r="E9" s="37">
        <f>SUM(I9:AL9)</f>
        <v>619</v>
      </c>
      <c r="G9" s="31" t="s">
        <v>45</v>
      </c>
      <c r="I9" s="32">
        <f>I3</f>
        <v>25</v>
      </c>
      <c r="J9" s="32">
        <f t="shared" ref="J9:AL9" si="7">J3</f>
        <v>0</v>
      </c>
      <c r="K9" s="32">
        <f t="shared" si="7"/>
        <v>0</v>
      </c>
      <c r="L9" s="32">
        <f t="shared" si="7"/>
        <v>25</v>
      </c>
      <c r="M9" s="32">
        <f t="shared" si="7"/>
        <v>24</v>
      </c>
      <c r="N9" s="32">
        <f t="shared" si="7"/>
        <v>5</v>
      </c>
      <c r="O9" s="32">
        <f t="shared" si="7"/>
        <v>25</v>
      </c>
      <c r="P9" s="32">
        <f t="shared" si="7"/>
        <v>25</v>
      </c>
      <c r="Q9" s="32">
        <f t="shared" si="7"/>
        <v>23</v>
      </c>
      <c r="R9" s="32">
        <f t="shared" si="7"/>
        <v>26</v>
      </c>
      <c r="S9" s="32">
        <f t="shared" si="7"/>
        <v>25</v>
      </c>
      <c r="T9" s="32">
        <f t="shared" si="7"/>
        <v>23</v>
      </c>
      <c r="U9" s="32">
        <f t="shared" si="7"/>
        <v>0</v>
      </c>
      <c r="V9" s="32">
        <f t="shared" si="7"/>
        <v>27</v>
      </c>
      <c r="W9" s="32">
        <f t="shared" si="7"/>
        <v>27</v>
      </c>
      <c r="X9" s="32">
        <f t="shared" si="7"/>
        <v>26</v>
      </c>
      <c r="Y9" s="32">
        <f t="shared" si="7"/>
        <v>25</v>
      </c>
      <c r="Z9" s="32">
        <f t="shared" si="7"/>
        <v>24</v>
      </c>
      <c r="AA9" s="32">
        <f t="shared" si="7"/>
        <v>22</v>
      </c>
      <c r="AB9" s="32">
        <f t="shared" si="7"/>
        <v>6</v>
      </c>
      <c r="AC9" s="32">
        <f t="shared" si="7"/>
        <v>25</v>
      </c>
      <c r="AD9" s="32">
        <f t="shared" si="7"/>
        <v>26</v>
      </c>
      <c r="AE9" s="32">
        <f t="shared" si="7"/>
        <v>26</v>
      </c>
      <c r="AF9" s="32">
        <f t="shared" si="7"/>
        <v>26</v>
      </c>
      <c r="AG9" s="32">
        <f t="shared" si="7"/>
        <v>25</v>
      </c>
      <c r="AH9" s="32">
        <f t="shared" si="7"/>
        <v>25</v>
      </c>
      <c r="AI9" s="32">
        <f t="shared" si="7"/>
        <v>9</v>
      </c>
      <c r="AJ9" s="32">
        <f t="shared" si="7"/>
        <v>24</v>
      </c>
      <c r="AK9" s="32">
        <f t="shared" si="7"/>
        <v>25</v>
      </c>
      <c r="AL9" s="32">
        <f t="shared" si="7"/>
        <v>25</v>
      </c>
    </row>
    <row r="10" spans="1:39" x14ac:dyDescent="0.25">
      <c r="E10" s="37">
        <f>SUM(I10:AL10)</f>
        <v>8193</v>
      </c>
      <c r="G10" s="31" t="s">
        <v>46</v>
      </c>
      <c r="I10" s="32">
        <f>I2-I3</f>
        <v>336</v>
      </c>
      <c r="J10" s="32">
        <f t="shared" ref="J10:AL10" si="8">J2-J3</f>
        <v>0</v>
      </c>
      <c r="K10" s="32">
        <f t="shared" si="8"/>
        <v>0</v>
      </c>
      <c r="L10" s="32">
        <f t="shared" si="8"/>
        <v>333</v>
      </c>
      <c r="M10" s="32">
        <f t="shared" si="8"/>
        <v>339</v>
      </c>
      <c r="N10" s="32">
        <f t="shared" si="8"/>
        <v>67</v>
      </c>
      <c r="O10" s="32">
        <f t="shared" si="8"/>
        <v>345</v>
      </c>
      <c r="P10" s="32">
        <f t="shared" si="8"/>
        <v>304</v>
      </c>
      <c r="Q10" s="32">
        <f t="shared" si="8"/>
        <v>306</v>
      </c>
      <c r="R10" s="32">
        <f t="shared" si="8"/>
        <v>316</v>
      </c>
      <c r="S10" s="32">
        <f t="shared" si="8"/>
        <v>290</v>
      </c>
      <c r="T10" s="32">
        <f t="shared" si="8"/>
        <v>288</v>
      </c>
      <c r="U10" s="32">
        <f t="shared" si="8"/>
        <v>0</v>
      </c>
      <c r="V10" s="32">
        <f t="shared" si="8"/>
        <v>340</v>
      </c>
      <c r="W10" s="32">
        <f t="shared" si="8"/>
        <v>343</v>
      </c>
      <c r="X10" s="32">
        <f t="shared" si="8"/>
        <v>345</v>
      </c>
      <c r="Y10" s="32">
        <f t="shared" si="8"/>
        <v>350</v>
      </c>
      <c r="Z10" s="32">
        <f t="shared" si="8"/>
        <v>353</v>
      </c>
      <c r="AA10" s="32">
        <f t="shared" si="8"/>
        <v>341</v>
      </c>
      <c r="AB10" s="32">
        <f t="shared" si="8"/>
        <v>67</v>
      </c>
      <c r="AC10" s="32">
        <f t="shared" si="8"/>
        <v>336</v>
      </c>
      <c r="AD10" s="32">
        <f t="shared" si="8"/>
        <v>351</v>
      </c>
      <c r="AE10" s="32">
        <f t="shared" si="8"/>
        <v>341</v>
      </c>
      <c r="AF10" s="32">
        <f t="shared" si="8"/>
        <v>342</v>
      </c>
      <c r="AG10" s="32">
        <f t="shared" si="8"/>
        <v>345</v>
      </c>
      <c r="AH10" s="32">
        <f t="shared" si="8"/>
        <v>334</v>
      </c>
      <c r="AI10" s="32">
        <f t="shared" si="8"/>
        <v>60</v>
      </c>
      <c r="AJ10" s="32">
        <f t="shared" si="8"/>
        <v>338</v>
      </c>
      <c r="AK10" s="32">
        <f t="shared" si="8"/>
        <v>344</v>
      </c>
      <c r="AL10" s="32">
        <f t="shared" si="8"/>
        <v>339</v>
      </c>
    </row>
    <row r="11" spans="1:39" x14ac:dyDescent="0.25">
      <c r="G11" s="30"/>
      <c r="H11" s="30"/>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9" ht="24" customHeight="1" x14ac:dyDescent="0.25">
      <c r="AM12" s="37">
        <f>E8-SUM(AM14:AM353)</f>
        <v>1825</v>
      </c>
    </row>
    <row r="13" spans="1:39" s="27" customFormat="1" x14ac:dyDescent="0.25">
      <c r="A13" s="14" t="s">
        <v>47</v>
      </c>
      <c r="B13" s="15" t="s">
        <v>48</v>
      </c>
      <c r="C13" s="14" t="s">
        <v>49</v>
      </c>
      <c r="D13" s="14" t="s">
        <v>50</v>
      </c>
      <c r="E13" s="14" t="s">
        <v>51</v>
      </c>
      <c r="F13" s="14" t="s">
        <v>52</v>
      </c>
      <c r="G13" s="16"/>
      <c r="H13" s="17" t="s">
        <v>53</v>
      </c>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t="s">
        <v>54</v>
      </c>
    </row>
    <row r="14" spans="1:39" hidden="1" x14ac:dyDescent="0.25">
      <c r="A14" s="20" t="s">
        <v>55</v>
      </c>
      <c r="B14" s="38" t="s">
        <v>56</v>
      </c>
      <c r="C14" s="20" t="s">
        <v>57</v>
      </c>
      <c r="D14" s="20" t="s">
        <v>32</v>
      </c>
      <c r="E14" s="20" t="s">
        <v>32</v>
      </c>
      <c r="F14" s="20" t="s">
        <v>58</v>
      </c>
      <c r="G14" s="39"/>
      <c r="H14" s="40"/>
      <c r="I14" s="22" t="s">
        <v>42</v>
      </c>
      <c r="L14" s="22" t="s">
        <v>42</v>
      </c>
      <c r="M14" s="22" t="s">
        <v>42</v>
      </c>
      <c r="O14" s="22" t="s">
        <v>42</v>
      </c>
      <c r="P14" s="22" t="s">
        <v>42</v>
      </c>
      <c r="Q14" s="22" t="s">
        <v>42</v>
      </c>
      <c r="R14" s="22" t="s">
        <v>42</v>
      </c>
      <c r="S14" s="22" t="s">
        <v>42</v>
      </c>
      <c r="T14" s="22" t="s">
        <v>42</v>
      </c>
      <c r="U14" s="22"/>
      <c r="V14" s="22" t="s">
        <v>42</v>
      </c>
      <c r="W14" s="22" t="s">
        <v>42</v>
      </c>
      <c r="X14" s="22" t="s">
        <v>42</v>
      </c>
      <c r="Y14" s="22" t="s">
        <v>42</v>
      </c>
      <c r="Z14" s="22" t="s">
        <v>42</v>
      </c>
      <c r="AA14" s="22" t="s">
        <v>42</v>
      </c>
      <c r="AB14" s="22"/>
      <c r="AC14" s="22" t="s">
        <v>42</v>
      </c>
      <c r="AD14" s="22" t="s">
        <v>42</v>
      </c>
      <c r="AE14" s="22" t="s">
        <v>42</v>
      </c>
      <c r="AF14" s="22" t="s">
        <v>42</v>
      </c>
      <c r="AG14" s="22" t="s">
        <v>42</v>
      </c>
      <c r="AH14" s="22" t="s">
        <v>42</v>
      </c>
      <c r="AJ14" s="22" t="s">
        <v>42</v>
      </c>
      <c r="AK14" s="22" t="s">
        <v>42</v>
      </c>
      <c r="AL14" s="22" t="s">
        <v>42</v>
      </c>
      <c r="AM14" s="22">
        <f>COUNTA(I14:AL14)-COUNTIF(I14:AL14,"CT")</f>
        <v>24</v>
      </c>
    </row>
    <row r="15" spans="1:39" hidden="1" x14ac:dyDescent="0.25">
      <c r="A15" s="20" t="s">
        <v>55</v>
      </c>
      <c r="B15" s="38" t="s">
        <v>59</v>
      </c>
      <c r="C15" s="20" t="s">
        <v>60</v>
      </c>
      <c r="D15" s="20" t="s">
        <v>32</v>
      </c>
      <c r="E15" s="20" t="s">
        <v>32</v>
      </c>
      <c r="F15" s="20" t="s">
        <v>58</v>
      </c>
      <c r="G15" s="39"/>
      <c r="H15" s="40"/>
      <c r="I15" s="22" t="s">
        <v>42</v>
      </c>
      <c r="L15" s="22" t="s">
        <v>42</v>
      </c>
      <c r="M15" s="22" t="s">
        <v>42</v>
      </c>
      <c r="O15" s="22" t="s">
        <v>42</v>
      </c>
      <c r="P15" s="22" t="s">
        <v>42</v>
      </c>
      <c r="Q15" s="22" t="s">
        <v>42</v>
      </c>
      <c r="R15" s="22" t="s">
        <v>42</v>
      </c>
      <c r="S15" s="22" t="s">
        <v>42</v>
      </c>
      <c r="T15" s="22" t="s">
        <v>42</v>
      </c>
      <c r="U15" s="22"/>
      <c r="V15" s="22" t="s">
        <v>42</v>
      </c>
      <c r="W15" s="22" t="s">
        <v>42</v>
      </c>
      <c r="X15" s="22" t="s">
        <v>42</v>
      </c>
      <c r="Y15" s="22" t="s">
        <v>42</v>
      </c>
      <c r="Z15" s="22" t="s">
        <v>42</v>
      </c>
      <c r="AA15" s="22" t="s">
        <v>42</v>
      </c>
      <c r="AB15" s="22"/>
      <c r="AC15" s="22" t="s">
        <v>42</v>
      </c>
      <c r="AD15" s="22" t="s">
        <v>42</v>
      </c>
      <c r="AE15" s="22" t="s">
        <v>42</v>
      </c>
      <c r="AF15" s="22" t="s">
        <v>42</v>
      </c>
      <c r="AG15" s="22" t="s">
        <v>42</v>
      </c>
      <c r="AH15" s="22" t="s">
        <v>42</v>
      </c>
      <c r="AK15" s="22" t="s">
        <v>42</v>
      </c>
      <c r="AL15" s="22" t="s">
        <v>42</v>
      </c>
      <c r="AM15" s="22">
        <f t="shared" ref="AM15:AM78" si="9">COUNTA(I15:AL15)-COUNTIF(I15:AL15,"CT")</f>
        <v>23</v>
      </c>
    </row>
    <row r="16" spans="1:39" hidden="1" x14ac:dyDescent="0.25">
      <c r="A16" s="20" t="s">
        <v>55</v>
      </c>
      <c r="B16" s="38" t="s">
        <v>61</v>
      </c>
      <c r="C16" s="20" t="s">
        <v>62</v>
      </c>
      <c r="D16" s="20" t="s">
        <v>32</v>
      </c>
      <c r="E16" s="20" t="s">
        <v>32</v>
      </c>
      <c r="F16" s="20" t="s">
        <v>63</v>
      </c>
      <c r="G16" s="39" t="s">
        <v>64</v>
      </c>
      <c r="H16" s="40"/>
      <c r="I16" s="33"/>
      <c r="J16" s="33"/>
      <c r="K16" s="33"/>
      <c r="L16" s="33" t="s">
        <v>40</v>
      </c>
      <c r="M16" s="33" t="s">
        <v>40</v>
      </c>
      <c r="N16" s="33"/>
      <c r="O16" s="33" t="s">
        <v>40</v>
      </c>
      <c r="P16" s="33" t="s">
        <v>40</v>
      </c>
      <c r="Q16" s="33" t="s">
        <v>40</v>
      </c>
      <c r="R16" s="33" t="s">
        <v>40</v>
      </c>
      <c r="S16" s="33" t="s">
        <v>40</v>
      </c>
      <c r="T16" s="33" t="s">
        <v>40</v>
      </c>
      <c r="U16" s="22"/>
      <c r="V16" s="33" t="s">
        <v>40</v>
      </c>
      <c r="W16" s="33" t="s">
        <v>40</v>
      </c>
      <c r="X16" s="33" t="s">
        <v>40</v>
      </c>
      <c r="Y16" s="33" t="s">
        <v>40</v>
      </c>
      <c r="Z16" s="33" t="s">
        <v>40</v>
      </c>
      <c r="AA16" s="33" t="s">
        <v>40</v>
      </c>
      <c r="AB16" s="33"/>
      <c r="AC16" s="33" t="s">
        <v>40</v>
      </c>
      <c r="AD16" s="33" t="s">
        <v>40</v>
      </c>
      <c r="AE16" s="33" t="s">
        <v>40</v>
      </c>
      <c r="AF16" s="33" t="s">
        <v>40</v>
      </c>
      <c r="AG16" s="33" t="s">
        <v>40</v>
      </c>
      <c r="AH16" s="33" t="s">
        <v>40</v>
      </c>
      <c r="AI16" s="33"/>
      <c r="AJ16" s="33" t="s">
        <v>40</v>
      </c>
      <c r="AK16" s="33" t="s">
        <v>40</v>
      </c>
      <c r="AL16" s="33" t="s">
        <v>40</v>
      </c>
      <c r="AM16" s="22">
        <f t="shared" si="9"/>
        <v>23</v>
      </c>
    </row>
    <row r="17" spans="1:39" hidden="1" x14ac:dyDescent="0.25">
      <c r="A17" s="20" t="s">
        <v>55</v>
      </c>
      <c r="B17" s="38" t="s">
        <v>65</v>
      </c>
      <c r="C17" s="20" t="s">
        <v>66</v>
      </c>
      <c r="D17" s="20" t="s">
        <v>32</v>
      </c>
      <c r="E17" s="20" t="s">
        <v>32</v>
      </c>
      <c r="F17" s="20" t="s">
        <v>58</v>
      </c>
      <c r="G17" s="39"/>
      <c r="H17" s="40"/>
      <c r="I17" s="22" t="s">
        <v>42</v>
      </c>
      <c r="L17" s="22" t="s">
        <v>42</v>
      </c>
      <c r="M17" s="22" t="s">
        <v>42</v>
      </c>
      <c r="O17" s="22" t="s">
        <v>42</v>
      </c>
      <c r="P17" s="22" t="s">
        <v>42</v>
      </c>
      <c r="Q17" s="22" t="s">
        <v>42</v>
      </c>
      <c r="R17" s="22" t="s">
        <v>42</v>
      </c>
      <c r="S17" s="22" t="s">
        <v>42</v>
      </c>
      <c r="T17" s="22" t="s">
        <v>42</v>
      </c>
      <c r="U17" s="22"/>
      <c r="V17" s="22" t="s">
        <v>42</v>
      </c>
      <c r="W17" s="22" t="s">
        <v>42</v>
      </c>
      <c r="X17" s="22" t="s">
        <v>42</v>
      </c>
      <c r="Y17" s="22" t="s">
        <v>42</v>
      </c>
      <c r="Z17" s="22" t="s">
        <v>42</v>
      </c>
      <c r="AA17" s="22" t="s">
        <v>42</v>
      </c>
      <c r="AB17" s="22"/>
      <c r="AC17" s="22" t="s">
        <v>42</v>
      </c>
      <c r="AD17" s="22" t="s">
        <v>42</v>
      </c>
      <c r="AE17" s="22" t="s">
        <v>42</v>
      </c>
      <c r="AF17" s="22" t="s">
        <v>42</v>
      </c>
      <c r="AG17" s="22" t="s">
        <v>42</v>
      </c>
      <c r="AH17" s="22" t="s">
        <v>42</v>
      </c>
      <c r="AJ17" s="22" t="s">
        <v>42</v>
      </c>
      <c r="AK17" s="22" t="s">
        <v>42</v>
      </c>
      <c r="AL17" s="22" t="s">
        <v>42</v>
      </c>
      <c r="AM17" s="22">
        <f t="shared" si="9"/>
        <v>24</v>
      </c>
    </row>
    <row r="18" spans="1:39" hidden="1" x14ac:dyDescent="0.25">
      <c r="A18" s="20" t="s">
        <v>55</v>
      </c>
      <c r="B18" s="38" t="s">
        <v>67</v>
      </c>
      <c r="C18" s="20" t="s">
        <v>68</v>
      </c>
      <c r="D18" s="20" t="s">
        <v>21</v>
      </c>
      <c r="E18" s="20" t="s">
        <v>21</v>
      </c>
      <c r="F18" s="20" t="s">
        <v>58</v>
      </c>
      <c r="G18" s="39"/>
      <c r="H18" s="40"/>
      <c r="I18" s="22" t="s">
        <v>42</v>
      </c>
      <c r="M18" s="22" t="s">
        <v>42</v>
      </c>
      <c r="R18" s="22"/>
      <c r="S18" s="22"/>
      <c r="T18" s="22"/>
      <c r="U18" s="22"/>
      <c r="V18" s="22"/>
      <c r="W18" s="22"/>
      <c r="X18" s="22"/>
      <c r="Y18" s="22"/>
      <c r="Z18" s="22"/>
      <c r="AA18" s="22"/>
      <c r="AB18" s="22"/>
      <c r="AC18" s="22"/>
      <c r="AD18" s="22"/>
      <c r="AE18" s="22"/>
      <c r="AF18" s="22"/>
      <c r="AG18" s="22"/>
      <c r="AH18" s="22"/>
      <c r="AM18" s="22">
        <f t="shared" si="9"/>
        <v>2</v>
      </c>
    </row>
    <row r="19" spans="1:39" hidden="1" x14ac:dyDescent="0.25">
      <c r="A19" s="20" t="s">
        <v>55</v>
      </c>
      <c r="B19" s="38" t="s">
        <v>89</v>
      </c>
      <c r="C19" s="20" t="s">
        <v>90</v>
      </c>
      <c r="D19" s="20" t="s">
        <v>11</v>
      </c>
      <c r="E19" s="20" t="s">
        <v>11</v>
      </c>
      <c r="F19" s="20" t="s">
        <v>58</v>
      </c>
      <c r="G19" s="39"/>
      <c r="H19" s="40"/>
      <c r="I19" s="22" t="s">
        <v>42</v>
      </c>
      <c r="M19" s="22" t="s">
        <v>42</v>
      </c>
      <c r="N19" s="22" t="s">
        <v>42</v>
      </c>
      <c r="U19" s="22"/>
      <c r="V19" s="22"/>
      <c r="W19" s="22"/>
      <c r="X19" s="22"/>
      <c r="Y19" s="22"/>
      <c r="Z19" s="22"/>
      <c r="AA19" s="22"/>
      <c r="AB19" s="22"/>
      <c r="AC19" s="22"/>
      <c r="AD19" s="22"/>
      <c r="AE19" s="22"/>
      <c r="AF19" s="22"/>
      <c r="AG19" s="22"/>
      <c r="AH19" s="22"/>
      <c r="AM19" s="22">
        <f t="shared" si="9"/>
        <v>3</v>
      </c>
    </row>
    <row r="20" spans="1:39" hidden="1" x14ac:dyDescent="0.25">
      <c r="A20" s="20" t="s">
        <v>55</v>
      </c>
      <c r="B20" s="38" t="s">
        <v>92</v>
      </c>
      <c r="C20" s="20" t="s">
        <v>93</v>
      </c>
      <c r="D20" s="20" t="s">
        <v>11</v>
      </c>
      <c r="E20" s="20" t="s">
        <v>11</v>
      </c>
      <c r="F20" s="20" t="s">
        <v>58</v>
      </c>
      <c r="G20" s="39"/>
      <c r="H20" s="40"/>
      <c r="I20" s="22" t="s">
        <v>42</v>
      </c>
      <c r="J20" s="33"/>
      <c r="R20" s="22"/>
      <c r="S20" s="22"/>
      <c r="U20" s="22"/>
      <c r="V20" s="22"/>
      <c r="W20" s="22"/>
      <c r="X20" s="22"/>
      <c r="Z20" s="22"/>
      <c r="AA20" s="22"/>
      <c r="AB20" s="22"/>
      <c r="AC20" s="22"/>
      <c r="AD20" s="22"/>
      <c r="AE20" s="22"/>
      <c r="AF20" s="22"/>
      <c r="AG20" s="22"/>
      <c r="AH20" s="22"/>
      <c r="AM20" s="22">
        <f t="shared" si="9"/>
        <v>1</v>
      </c>
    </row>
    <row r="21" spans="1:39" hidden="1" x14ac:dyDescent="0.25">
      <c r="A21" s="20" t="s">
        <v>55</v>
      </c>
      <c r="B21" s="38" t="s">
        <v>94</v>
      </c>
      <c r="C21" s="20" t="s">
        <v>95</v>
      </c>
      <c r="D21" s="20" t="s">
        <v>11</v>
      </c>
      <c r="E21" s="20" t="s">
        <v>11</v>
      </c>
      <c r="F21" s="20" t="s">
        <v>58</v>
      </c>
      <c r="G21" s="39"/>
      <c r="H21" s="40"/>
      <c r="I21" s="22" t="s">
        <v>42</v>
      </c>
      <c r="L21" s="22" t="s">
        <v>42</v>
      </c>
      <c r="M21" s="22" t="s">
        <v>42</v>
      </c>
      <c r="R21" s="22"/>
      <c r="S21" s="22"/>
      <c r="T21" s="22"/>
      <c r="U21" s="22"/>
      <c r="V21" s="22"/>
      <c r="W21" s="22"/>
      <c r="X21" s="22"/>
      <c r="Z21" s="22"/>
      <c r="AA21" s="22"/>
      <c r="AB21" s="22"/>
      <c r="AC21" s="22"/>
      <c r="AD21" s="22"/>
      <c r="AE21" s="22"/>
      <c r="AF21" s="22"/>
      <c r="AG21" s="22"/>
      <c r="AH21" s="22"/>
      <c r="AM21" s="22">
        <f t="shared" si="9"/>
        <v>3</v>
      </c>
    </row>
    <row r="22" spans="1:39" hidden="1" x14ac:dyDescent="0.25">
      <c r="A22" s="20" t="s">
        <v>55</v>
      </c>
      <c r="B22" s="38" t="s">
        <v>96</v>
      </c>
      <c r="C22" s="20" t="s">
        <v>97</v>
      </c>
      <c r="D22" s="20" t="s">
        <v>11</v>
      </c>
      <c r="E22" s="20" t="s">
        <v>11</v>
      </c>
      <c r="F22" s="20" t="s">
        <v>58</v>
      </c>
      <c r="G22" s="39"/>
      <c r="H22" s="40"/>
      <c r="I22" s="22" t="s">
        <v>42</v>
      </c>
      <c r="J22" s="33"/>
      <c r="L22" s="22" t="s">
        <v>42</v>
      </c>
      <c r="R22" s="22"/>
      <c r="S22" s="22"/>
      <c r="T22" s="22"/>
      <c r="U22" s="22"/>
      <c r="V22" s="22"/>
      <c r="W22" s="22"/>
      <c r="X22" s="22"/>
      <c r="Z22" s="22"/>
      <c r="AA22" s="22"/>
      <c r="AC22" s="22"/>
      <c r="AD22" s="22"/>
      <c r="AE22" s="22"/>
      <c r="AF22" s="22"/>
      <c r="AG22" s="22"/>
      <c r="AH22" s="22"/>
      <c r="AM22" s="22">
        <f t="shared" si="9"/>
        <v>2</v>
      </c>
    </row>
    <row r="23" spans="1:39" hidden="1" x14ac:dyDescent="0.25">
      <c r="A23" s="20" t="s">
        <v>55</v>
      </c>
      <c r="B23" s="38" t="s">
        <v>98</v>
      </c>
      <c r="C23" s="20" t="s">
        <v>99</v>
      </c>
      <c r="D23" s="20" t="s">
        <v>21</v>
      </c>
      <c r="E23" s="20" t="s">
        <v>21</v>
      </c>
      <c r="F23" s="20" t="s">
        <v>58</v>
      </c>
      <c r="G23" s="39"/>
      <c r="H23" s="40"/>
      <c r="I23" s="22" t="s">
        <v>42</v>
      </c>
      <c r="M23" s="22" t="s">
        <v>42</v>
      </c>
      <c r="N23" s="22" t="s">
        <v>42</v>
      </c>
      <c r="R23" s="22"/>
      <c r="S23" s="22"/>
      <c r="T23" s="22"/>
      <c r="U23" s="22"/>
      <c r="V23" s="22"/>
      <c r="W23" s="22"/>
      <c r="X23" s="22"/>
      <c r="Y23" s="22"/>
      <c r="Z23" s="22"/>
      <c r="AA23" s="22"/>
      <c r="AB23" s="22"/>
      <c r="AC23" s="22"/>
      <c r="AD23" s="22"/>
      <c r="AE23" s="22"/>
      <c r="AG23" s="22"/>
      <c r="AH23" s="22"/>
      <c r="AM23" s="22">
        <f t="shared" si="9"/>
        <v>3</v>
      </c>
    </row>
    <row r="24" spans="1:39" hidden="1" x14ac:dyDescent="0.25">
      <c r="A24" s="20" t="s">
        <v>55</v>
      </c>
      <c r="B24" s="38" t="s">
        <v>100</v>
      </c>
      <c r="C24" s="20" t="s">
        <v>101</v>
      </c>
      <c r="D24" s="20" t="s">
        <v>21</v>
      </c>
      <c r="E24" s="20" t="s">
        <v>21</v>
      </c>
      <c r="F24" s="20" t="s">
        <v>58</v>
      </c>
      <c r="G24" s="39"/>
      <c r="H24" s="40"/>
      <c r="I24" s="22" t="s">
        <v>42</v>
      </c>
      <c r="R24" s="22"/>
      <c r="S24" s="22"/>
      <c r="T24" s="22"/>
      <c r="U24" s="22"/>
      <c r="V24" s="22"/>
      <c r="W24" s="22"/>
      <c r="X24" s="22"/>
      <c r="Y24" s="22"/>
      <c r="Z24" s="22"/>
      <c r="AA24" s="22"/>
      <c r="AB24" s="22"/>
      <c r="AC24" s="22"/>
      <c r="AD24" s="22"/>
      <c r="AE24" s="22"/>
      <c r="AG24" s="22"/>
      <c r="AH24" s="22"/>
      <c r="AM24" s="22">
        <f t="shared" si="9"/>
        <v>1</v>
      </c>
    </row>
    <row r="25" spans="1:39" hidden="1" x14ac:dyDescent="0.25">
      <c r="A25" s="20" t="s">
        <v>55</v>
      </c>
      <c r="B25" s="38" t="s">
        <v>103</v>
      </c>
      <c r="C25" s="20" t="s">
        <v>104</v>
      </c>
      <c r="D25" s="20" t="s">
        <v>21</v>
      </c>
      <c r="E25" s="20" t="s">
        <v>21</v>
      </c>
      <c r="F25" s="20" t="s">
        <v>58</v>
      </c>
      <c r="G25" s="39"/>
      <c r="H25" s="40"/>
      <c r="I25" s="22" t="s">
        <v>42</v>
      </c>
      <c r="J25" s="33"/>
      <c r="M25" s="22" t="s">
        <v>42</v>
      </c>
      <c r="N25" s="22" t="s">
        <v>42</v>
      </c>
      <c r="R25" s="22"/>
      <c r="S25" s="22"/>
      <c r="T25" s="22"/>
      <c r="U25" s="22"/>
      <c r="V25" s="22"/>
      <c r="W25" s="22"/>
      <c r="X25" s="22"/>
      <c r="Y25" s="22"/>
      <c r="Z25" s="22"/>
      <c r="AA25" s="22"/>
      <c r="AB25" s="22"/>
      <c r="AC25" s="22"/>
      <c r="AD25" s="22"/>
      <c r="AE25" s="22"/>
      <c r="AF25" s="22"/>
      <c r="AG25" s="22"/>
      <c r="AH25" s="22"/>
      <c r="AM25" s="22">
        <f t="shared" si="9"/>
        <v>3</v>
      </c>
    </row>
    <row r="26" spans="1:39" hidden="1" x14ac:dyDescent="0.25">
      <c r="A26" s="20" t="s">
        <v>55</v>
      </c>
      <c r="B26" s="38" t="s">
        <v>938</v>
      </c>
      <c r="C26" s="20" t="s">
        <v>107</v>
      </c>
      <c r="D26" s="20" t="s">
        <v>21</v>
      </c>
      <c r="E26" s="20" t="s">
        <v>21</v>
      </c>
      <c r="F26" s="20" t="s">
        <v>58</v>
      </c>
      <c r="G26" s="39"/>
      <c r="H26" s="40"/>
      <c r="I26" s="22" t="s">
        <v>42</v>
      </c>
      <c r="L26" s="22" t="s">
        <v>42</v>
      </c>
      <c r="M26" s="22" t="s">
        <v>42</v>
      </c>
      <c r="N26" s="22" t="s">
        <v>42</v>
      </c>
      <c r="O26" s="22" t="s">
        <v>42</v>
      </c>
      <c r="P26" s="22" t="s">
        <v>42</v>
      </c>
      <c r="Q26" s="22" t="s">
        <v>42</v>
      </c>
      <c r="R26" s="22" t="s">
        <v>42</v>
      </c>
      <c r="S26" s="22" t="s">
        <v>42</v>
      </c>
      <c r="T26" s="22" t="s">
        <v>42</v>
      </c>
      <c r="U26" s="22"/>
      <c r="V26" s="22" t="s">
        <v>42</v>
      </c>
      <c r="W26" s="22" t="s">
        <v>42</v>
      </c>
      <c r="X26" s="22" t="s">
        <v>42</v>
      </c>
      <c r="Y26" s="22" t="s">
        <v>42</v>
      </c>
      <c r="Z26" s="22" t="s">
        <v>42</v>
      </c>
      <c r="AA26" s="22" t="s">
        <v>42</v>
      </c>
      <c r="AB26" s="22" t="s">
        <v>42</v>
      </c>
      <c r="AC26" s="22" t="s">
        <v>42</v>
      </c>
      <c r="AD26" s="22" t="s">
        <v>42</v>
      </c>
      <c r="AE26" s="22" t="s">
        <v>42</v>
      </c>
      <c r="AF26" s="22"/>
      <c r="AG26" s="22" t="s">
        <v>42</v>
      </c>
      <c r="AH26" s="22" t="s">
        <v>42</v>
      </c>
      <c r="AJ26" s="22" t="s">
        <v>42</v>
      </c>
      <c r="AK26" s="22" t="s">
        <v>42</v>
      </c>
      <c r="AL26" s="22" t="s">
        <v>42</v>
      </c>
      <c r="AM26" s="22">
        <f t="shared" si="9"/>
        <v>25</v>
      </c>
    </row>
    <row r="27" spans="1:39" hidden="1" x14ac:dyDescent="0.25">
      <c r="A27" s="20" t="s">
        <v>55</v>
      </c>
      <c r="B27" s="38" t="s">
        <v>937</v>
      </c>
      <c r="C27" s="20" t="s">
        <v>113</v>
      </c>
      <c r="D27" s="20" t="s">
        <v>21</v>
      </c>
      <c r="E27" s="20" t="s">
        <v>21</v>
      </c>
      <c r="F27" s="20" t="s">
        <v>58</v>
      </c>
      <c r="G27" s="39"/>
      <c r="H27" s="40"/>
      <c r="I27" s="22" t="s">
        <v>42</v>
      </c>
      <c r="L27" s="22" t="s">
        <v>42</v>
      </c>
      <c r="M27" s="22" t="s">
        <v>42</v>
      </c>
      <c r="N27" s="22" t="s">
        <v>42</v>
      </c>
      <c r="O27" s="22" t="s">
        <v>42</v>
      </c>
      <c r="P27" s="22" t="s">
        <v>42</v>
      </c>
      <c r="Q27" s="22" t="s">
        <v>42</v>
      </c>
      <c r="R27" s="22" t="s">
        <v>42</v>
      </c>
      <c r="S27" s="22" t="s">
        <v>42</v>
      </c>
      <c r="T27" s="22" t="s">
        <v>42</v>
      </c>
      <c r="U27" s="22"/>
      <c r="V27" s="22" t="s">
        <v>42</v>
      </c>
      <c r="W27" s="22" t="s">
        <v>42</v>
      </c>
      <c r="X27" s="22" t="s">
        <v>42</v>
      </c>
      <c r="Y27" s="22" t="s">
        <v>42</v>
      </c>
      <c r="Z27" s="22" t="s">
        <v>42</v>
      </c>
      <c r="AA27" s="22" t="s">
        <v>42</v>
      </c>
      <c r="AB27" s="22" t="s">
        <v>42</v>
      </c>
      <c r="AC27" s="22" t="s">
        <v>42</v>
      </c>
      <c r="AD27" s="22" t="s">
        <v>42</v>
      </c>
      <c r="AE27" s="22" t="s">
        <v>42</v>
      </c>
      <c r="AF27" s="22" t="s">
        <v>42</v>
      </c>
      <c r="AG27" s="22" t="s">
        <v>42</v>
      </c>
      <c r="AH27" s="22" t="s">
        <v>42</v>
      </c>
      <c r="AJ27" s="22" t="s">
        <v>42</v>
      </c>
      <c r="AK27" s="22" t="s">
        <v>42</v>
      </c>
      <c r="AL27" s="22" t="s">
        <v>42</v>
      </c>
      <c r="AM27" s="22">
        <f t="shared" si="9"/>
        <v>26</v>
      </c>
    </row>
    <row r="28" spans="1:39" x14ac:dyDescent="0.25">
      <c r="A28" s="20" t="s">
        <v>55</v>
      </c>
      <c r="B28" s="38" t="s">
        <v>935</v>
      </c>
      <c r="C28" s="20" t="s">
        <v>115</v>
      </c>
      <c r="D28" s="20" t="s">
        <v>21</v>
      </c>
      <c r="E28" s="20" t="s">
        <v>21</v>
      </c>
      <c r="F28" s="20" t="s">
        <v>58</v>
      </c>
      <c r="G28" s="39"/>
      <c r="H28" s="40"/>
      <c r="I28" s="22" t="s">
        <v>42</v>
      </c>
      <c r="L28" s="22" t="s">
        <v>42</v>
      </c>
      <c r="M28" s="22" t="s">
        <v>42</v>
      </c>
      <c r="N28" s="22" t="s">
        <v>42</v>
      </c>
      <c r="O28" s="22" t="s">
        <v>42</v>
      </c>
      <c r="P28" s="22" t="s">
        <v>42</v>
      </c>
      <c r="Q28" s="22" t="s">
        <v>42</v>
      </c>
      <c r="R28" s="22" t="s">
        <v>42</v>
      </c>
      <c r="S28" s="22"/>
      <c r="T28" s="22" t="s">
        <v>42</v>
      </c>
      <c r="U28" s="22"/>
      <c r="V28" s="22" t="s">
        <v>42</v>
      </c>
      <c r="W28" s="22" t="s">
        <v>42</v>
      </c>
      <c r="X28" s="22" t="s">
        <v>42</v>
      </c>
      <c r="Y28" s="22" t="s">
        <v>42</v>
      </c>
      <c r="Z28" s="22" t="s">
        <v>42</v>
      </c>
      <c r="AA28" s="22" t="s">
        <v>42</v>
      </c>
      <c r="AB28" s="22"/>
      <c r="AC28" s="22" t="s">
        <v>42</v>
      </c>
      <c r="AD28" s="22" t="s">
        <v>42</v>
      </c>
      <c r="AE28" s="22" t="s">
        <v>42</v>
      </c>
      <c r="AF28" s="22" t="s">
        <v>42</v>
      </c>
      <c r="AG28" s="22" t="s">
        <v>42</v>
      </c>
      <c r="AH28" s="22" t="s">
        <v>42</v>
      </c>
      <c r="AI28" s="22" t="s">
        <v>42</v>
      </c>
      <c r="AJ28" s="22" t="s">
        <v>42</v>
      </c>
      <c r="AK28" s="22" t="s">
        <v>42</v>
      </c>
      <c r="AL28" s="22" t="s">
        <v>42</v>
      </c>
      <c r="AM28" s="22">
        <f t="shared" si="9"/>
        <v>25</v>
      </c>
    </row>
    <row r="29" spans="1:39" hidden="1" x14ac:dyDescent="0.25">
      <c r="A29" s="20" t="s">
        <v>55</v>
      </c>
      <c r="B29" s="38" t="s">
        <v>116</v>
      </c>
      <c r="C29" s="20" t="s">
        <v>117</v>
      </c>
      <c r="D29" s="20" t="s">
        <v>11</v>
      </c>
      <c r="E29" s="20" t="s">
        <v>11</v>
      </c>
      <c r="F29" s="20" t="s">
        <v>58</v>
      </c>
      <c r="G29" s="39"/>
      <c r="H29" s="40"/>
      <c r="I29" s="22" t="s">
        <v>42</v>
      </c>
      <c r="L29" s="22" t="s">
        <v>42</v>
      </c>
      <c r="M29" s="22" t="s">
        <v>42</v>
      </c>
      <c r="R29" s="22"/>
      <c r="S29" s="22"/>
      <c r="T29" s="22"/>
      <c r="U29" s="22"/>
      <c r="V29" s="22"/>
      <c r="W29" s="22"/>
      <c r="X29" s="22"/>
      <c r="Y29" s="22"/>
      <c r="Z29" s="22"/>
      <c r="AA29" s="22"/>
      <c r="AB29" s="22"/>
      <c r="AC29" s="22"/>
      <c r="AD29" s="22"/>
      <c r="AE29" s="22"/>
      <c r="AF29" s="22"/>
      <c r="AG29" s="22"/>
      <c r="AH29" s="22"/>
      <c r="AM29" s="22">
        <f t="shared" si="9"/>
        <v>3</v>
      </c>
    </row>
    <row r="30" spans="1:39" hidden="1" x14ac:dyDescent="0.25">
      <c r="A30" s="20" t="s">
        <v>55</v>
      </c>
      <c r="B30" s="38" t="s">
        <v>118</v>
      </c>
      <c r="C30" s="20" t="s">
        <v>119</v>
      </c>
      <c r="D30" s="20" t="s">
        <v>11</v>
      </c>
      <c r="E30" s="20" t="s">
        <v>11</v>
      </c>
      <c r="F30" s="20" t="s">
        <v>58</v>
      </c>
      <c r="G30" s="39"/>
      <c r="H30" s="40"/>
      <c r="I30" s="22" t="s">
        <v>42</v>
      </c>
      <c r="L30" s="22" t="s">
        <v>42</v>
      </c>
      <c r="M30" s="22" t="s">
        <v>42</v>
      </c>
      <c r="R30" s="22"/>
      <c r="S30" s="22"/>
      <c r="T30" s="22"/>
      <c r="U30" s="22"/>
      <c r="V30" s="22"/>
      <c r="W30" s="22"/>
      <c r="X30" s="22"/>
      <c r="Y30" s="22"/>
      <c r="Z30" s="22"/>
      <c r="AA30" s="22"/>
      <c r="AB30" s="22"/>
      <c r="AC30" s="22"/>
      <c r="AD30" s="22"/>
      <c r="AE30" s="22"/>
      <c r="AF30" s="22"/>
      <c r="AG30" s="22"/>
      <c r="AH30" s="22"/>
      <c r="AM30" s="22">
        <f t="shared" si="9"/>
        <v>3</v>
      </c>
    </row>
    <row r="31" spans="1:39" x14ac:dyDescent="0.25">
      <c r="A31" s="20" t="s">
        <v>55</v>
      </c>
      <c r="B31" s="38" t="s">
        <v>936</v>
      </c>
      <c r="C31" s="20" t="s">
        <v>120</v>
      </c>
      <c r="D31" s="20" t="s">
        <v>21</v>
      </c>
      <c r="E31" s="20" t="s">
        <v>21</v>
      </c>
      <c r="F31" s="20" t="s">
        <v>58</v>
      </c>
      <c r="G31" s="39"/>
      <c r="H31" s="40"/>
      <c r="I31" s="22" t="s">
        <v>42</v>
      </c>
      <c r="L31" s="22" t="s">
        <v>42</v>
      </c>
      <c r="M31" s="22" t="s">
        <v>42</v>
      </c>
      <c r="O31" s="22" t="s">
        <v>42</v>
      </c>
      <c r="P31" s="22" t="s">
        <v>42</v>
      </c>
      <c r="Q31" s="22" t="s">
        <v>42</v>
      </c>
      <c r="R31" s="22" t="s">
        <v>42</v>
      </c>
      <c r="S31" s="22" t="s">
        <v>42</v>
      </c>
      <c r="T31" s="22" t="s">
        <v>42</v>
      </c>
      <c r="U31" s="22"/>
      <c r="V31" s="22" t="s">
        <v>42</v>
      </c>
      <c r="W31" s="22" t="s">
        <v>42</v>
      </c>
      <c r="X31" s="22" t="s">
        <v>42</v>
      </c>
      <c r="Y31" s="22" t="s">
        <v>42</v>
      </c>
      <c r="Z31" s="22" t="s">
        <v>42</v>
      </c>
      <c r="AA31" s="22" t="s">
        <v>42</v>
      </c>
      <c r="AB31" s="22"/>
      <c r="AC31" s="22" t="s">
        <v>42</v>
      </c>
      <c r="AD31" s="22" t="s">
        <v>42</v>
      </c>
      <c r="AE31" s="22" t="s">
        <v>42</v>
      </c>
      <c r="AF31" s="22" t="s">
        <v>42</v>
      </c>
      <c r="AG31" s="22" t="s">
        <v>42</v>
      </c>
      <c r="AH31" s="22" t="s">
        <v>42</v>
      </c>
      <c r="AI31" s="22" t="s">
        <v>42</v>
      </c>
      <c r="AJ31" s="22" t="s">
        <v>42</v>
      </c>
      <c r="AK31" s="22" t="s">
        <v>42</v>
      </c>
      <c r="AL31" s="22" t="s">
        <v>42</v>
      </c>
      <c r="AM31" s="22">
        <f t="shared" si="9"/>
        <v>25</v>
      </c>
    </row>
    <row r="32" spans="1:39" hidden="1" x14ac:dyDescent="0.25">
      <c r="A32" s="20" t="s">
        <v>55</v>
      </c>
      <c r="B32" s="38" t="s">
        <v>934</v>
      </c>
      <c r="C32" s="20" t="s">
        <v>122</v>
      </c>
      <c r="D32" s="20" t="s">
        <v>21</v>
      </c>
      <c r="E32" s="20" t="s">
        <v>21</v>
      </c>
      <c r="F32" s="20" t="s">
        <v>58</v>
      </c>
      <c r="G32" s="39"/>
      <c r="H32" s="40"/>
      <c r="I32" s="22" t="s">
        <v>42</v>
      </c>
      <c r="J32" s="33"/>
      <c r="L32" s="22" t="s">
        <v>42</v>
      </c>
      <c r="M32" s="22" t="s">
        <v>42</v>
      </c>
      <c r="N32" s="22" t="s">
        <v>42</v>
      </c>
      <c r="O32" s="22" t="s">
        <v>42</v>
      </c>
      <c r="P32" s="22" t="s">
        <v>42</v>
      </c>
      <c r="Q32" s="22" t="s">
        <v>42</v>
      </c>
      <c r="R32" s="22" t="s">
        <v>42</v>
      </c>
      <c r="S32" s="22"/>
      <c r="T32" s="22"/>
      <c r="U32" s="22"/>
      <c r="V32" s="22"/>
      <c r="W32" s="22"/>
      <c r="X32" s="22"/>
      <c r="Y32" s="22"/>
      <c r="Z32" s="22"/>
      <c r="AA32" s="22"/>
      <c r="AB32" s="22"/>
      <c r="AC32" s="22"/>
      <c r="AD32" s="22"/>
      <c r="AE32" s="22"/>
      <c r="AF32" s="22"/>
      <c r="AG32" s="22"/>
      <c r="AH32" s="22"/>
      <c r="AM32" s="22">
        <f t="shared" si="9"/>
        <v>8</v>
      </c>
    </row>
    <row r="33" spans="1:39" hidden="1" x14ac:dyDescent="0.25">
      <c r="A33" s="20" t="s">
        <v>55</v>
      </c>
      <c r="B33" s="38" t="s">
        <v>123</v>
      </c>
      <c r="C33" s="20" t="s">
        <v>124</v>
      </c>
      <c r="D33" s="20" t="s">
        <v>21</v>
      </c>
      <c r="E33" s="20" t="s">
        <v>21</v>
      </c>
      <c r="F33" s="20" t="s">
        <v>58</v>
      </c>
      <c r="G33" s="39"/>
      <c r="H33" s="40"/>
      <c r="I33" s="22" t="s">
        <v>42</v>
      </c>
      <c r="M33" s="22" t="s">
        <v>42</v>
      </c>
      <c r="N33" s="22" t="s">
        <v>42</v>
      </c>
      <c r="U33" s="22"/>
      <c r="V33" s="22"/>
      <c r="W33" s="22"/>
      <c r="X33" s="22"/>
      <c r="Y33" s="22"/>
      <c r="Z33" s="22"/>
      <c r="AA33" s="22"/>
      <c r="AB33" s="22"/>
      <c r="AC33" s="22"/>
      <c r="AD33" s="22"/>
      <c r="AE33" s="22"/>
      <c r="AF33" s="22"/>
      <c r="AG33" s="22"/>
      <c r="AH33" s="22"/>
      <c r="AM33" s="22">
        <f t="shared" si="9"/>
        <v>3</v>
      </c>
    </row>
    <row r="34" spans="1:39" hidden="1" x14ac:dyDescent="0.25">
      <c r="A34" s="20" t="s">
        <v>55</v>
      </c>
      <c r="B34" s="38" t="s">
        <v>127</v>
      </c>
      <c r="C34" s="20" t="s">
        <v>128</v>
      </c>
      <c r="D34" s="20" t="s">
        <v>17</v>
      </c>
      <c r="E34" s="20" t="s">
        <v>17</v>
      </c>
      <c r="F34" s="20" t="s">
        <v>58</v>
      </c>
      <c r="G34" s="39"/>
      <c r="H34" s="40"/>
      <c r="I34" s="22" t="s">
        <v>42</v>
      </c>
      <c r="L34" s="22" t="s">
        <v>42</v>
      </c>
      <c r="M34" s="22" t="s">
        <v>42</v>
      </c>
      <c r="O34" s="22" t="s">
        <v>42</v>
      </c>
      <c r="P34" s="22" t="s">
        <v>42</v>
      </c>
      <c r="Q34" s="22" t="s">
        <v>42</v>
      </c>
      <c r="R34" s="22" t="s">
        <v>42</v>
      </c>
      <c r="S34" s="22" t="s">
        <v>42</v>
      </c>
      <c r="T34" s="22" t="s">
        <v>42</v>
      </c>
      <c r="U34" s="22"/>
      <c r="V34" s="22" t="s">
        <v>42</v>
      </c>
      <c r="W34" s="22" t="s">
        <v>42</v>
      </c>
      <c r="X34" s="22" t="s">
        <v>42</v>
      </c>
      <c r="Y34" s="22" t="s">
        <v>42</v>
      </c>
      <c r="Z34" s="22" t="s">
        <v>42</v>
      </c>
      <c r="AA34" s="22" t="s">
        <v>42</v>
      </c>
      <c r="AB34" s="22"/>
      <c r="AC34" s="22" t="s">
        <v>42</v>
      </c>
      <c r="AD34" s="22" t="s">
        <v>42</v>
      </c>
      <c r="AE34" s="22" t="s">
        <v>42</v>
      </c>
      <c r="AF34" s="22" t="s">
        <v>42</v>
      </c>
      <c r="AG34" s="22" t="s">
        <v>42</v>
      </c>
      <c r="AH34" s="22" t="s">
        <v>42</v>
      </c>
      <c r="AJ34" s="22" t="s">
        <v>42</v>
      </c>
      <c r="AK34" s="22" t="s">
        <v>42</v>
      </c>
      <c r="AL34" s="22" t="s">
        <v>42</v>
      </c>
      <c r="AM34" s="22">
        <f t="shared" si="9"/>
        <v>24</v>
      </c>
    </row>
    <row r="35" spans="1:39" hidden="1" x14ac:dyDescent="0.25">
      <c r="A35" s="20" t="s">
        <v>55</v>
      </c>
      <c r="B35" s="38" t="s">
        <v>911</v>
      </c>
      <c r="C35" s="20" t="s">
        <v>907</v>
      </c>
      <c r="D35" s="20" t="s">
        <v>17</v>
      </c>
      <c r="E35" s="20" t="s">
        <v>17</v>
      </c>
      <c r="F35" s="20" t="s">
        <v>63</v>
      </c>
      <c r="G35" s="39"/>
      <c r="H35" s="40"/>
      <c r="I35" s="33" t="s">
        <v>38</v>
      </c>
      <c r="L35" s="33" t="s">
        <v>38</v>
      </c>
      <c r="M35" s="33" t="s">
        <v>38</v>
      </c>
      <c r="O35" s="33" t="s">
        <v>38</v>
      </c>
      <c r="Q35" s="33" t="s">
        <v>38</v>
      </c>
      <c r="R35" s="33" t="s">
        <v>38</v>
      </c>
      <c r="S35" s="33" t="s">
        <v>38</v>
      </c>
      <c r="T35" s="33" t="s">
        <v>38</v>
      </c>
      <c r="V35" s="33" t="s">
        <v>38</v>
      </c>
      <c r="W35" s="33" t="s">
        <v>38</v>
      </c>
      <c r="X35" s="33" t="s">
        <v>38</v>
      </c>
      <c r="Y35" s="33" t="s">
        <v>38</v>
      </c>
      <c r="Z35" s="33" t="s">
        <v>38</v>
      </c>
      <c r="AA35" s="33" t="s">
        <v>38</v>
      </c>
      <c r="AC35" s="33" t="s">
        <v>38</v>
      </c>
      <c r="AD35" s="33" t="s">
        <v>38</v>
      </c>
      <c r="AE35" s="33" t="s">
        <v>38</v>
      </c>
      <c r="AF35" s="33" t="s">
        <v>38</v>
      </c>
      <c r="AG35" s="33" t="s">
        <v>38</v>
      </c>
      <c r="AH35" s="33" t="s">
        <v>38</v>
      </c>
      <c r="AJ35" s="33" t="s">
        <v>38</v>
      </c>
      <c r="AK35" s="33" t="s">
        <v>38</v>
      </c>
      <c r="AL35" s="33" t="s">
        <v>38</v>
      </c>
      <c r="AM35" s="22">
        <f t="shared" si="9"/>
        <v>23</v>
      </c>
    </row>
    <row r="36" spans="1:39" hidden="1" x14ac:dyDescent="0.25">
      <c r="A36" s="20" t="s">
        <v>55</v>
      </c>
      <c r="B36" s="38" t="s">
        <v>129</v>
      </c>
      <c r="C36" s="20" t="s">
        <v>130</v>
      </c>
      <c r="D36" s="20" t="s">
        <v>8</v>
      </c>
      <c r="E36" s="20" t="s">
        <v>8</v>
      </c>
      <c r="F36" s="20" t="s">
        <v>58</v>
      </c>
      <c r="G36" s="39"/>
      <c r="H36" s="40"/>
      <c r="I36" s="33"/>
      <c r="J36" s="33"/>
      <c r="K36" s="33"/>
      <c r="L36" s="33"/>
      <c r="M36" s="33"/>
      <c r="N36" s="33"/>
      <c r="O36" s="33" t="s">
        <v>38</v>
      </c>
      <c r="P36" s="33"/>
      <c r="Q36" s="33" t="s">
        <v>38</v>
      </c>
      <c r="R36" s="33" t="s">
        <v>38</v>
      </c>
      <c r="S36" s="33" t="s">
        <v>38</v>
      </c>
      <c r="T36" s="33" t="s">
        <v>38</v>
      </c>
      <c r="U36" s="33"/>
      <c r="V36" s="33" t="s">
        <v>38</v>
      </c>
      <c r="W36" s="33" t="s">
        <v>38</v>
      </c>
      <c r="X36" s="22" t="s">
        <v>42</v>
      </c>
      <c r="Y36" s="22" t="s">
        <v>42</v>
      </c>
      <c r="Z36" s="22" t="s">
        <v>42</v>
      </c>
      <c r="AA36" s="22" t="s">
        <v>42</v>
      </c>
      <c r="AB36" s="33"/>
      <c r="AC36" s="22" t="s">
        <v>42</v>
      </c>
      <c r="AD36" s="22" t="s">
        <v>42</v>
      </c>
      <c r="AE36" s="22" t="s">
        <v>42</v>
      </c>
      <c r="AF36" s="22" t="s">
        <v>42</v>
      </c>
      <c r="AG36" s="22" t="s">
        <v>42</v>
      </c>
      <c r="AH36" s="22" t="s">
        <v>42</v>
      </c>
      <c r="AI36" s="33"/>
      <c r="AJ36" s="22" t="s">
        <v>42</v>
      </c>
      <c r="AK36" s="22" t="s">
        <v>42</v>
      </c>
      <c r="AL36" s="33" t="s">
        <v>147</v>
      </c>
      <c r="AM36" s="22">
        <f t="shared" si="9"/>
        <v>19</v>
      </c>
    </row>
    <row r="37" spans="1:39" hidden="1" x14ac:dyDescent="0.25">
      <c r="A37" s="20" t="s">
        <v>55</v>
      </c>
      <c r="B37" s="38" t="s">
        <v>131</v>
      </c>
      <c r="C37" s="20" t="s">
        <v>132</v>
      </c>
      <c r="D37" s="20" t="s">
        <v>2</v>
      </c>
      <c r="E37" s="20" t="s">
        <v>7</v>
      </c>
      <c r="F37" s="20" t="s">
        <v>63</v>
      </c>
      <c r="G37" s="39"/>
      <c r="H37" s="40"/>
      <c r="I37" s="33" t="s">
        <v>38</v>
      </c>
      <c r="J37" s="33"/>
      <c r="K37" s="33"/>
      <c r="L37" s="33" t="s">
        <v>38</v>
      </c>
      <c r="M37" s="33" t="s">
        <v>38</v>
      </c>
      <c r="N37" s="33"/>
      <c r="O37" s="33" t="s">
        <v>38</v>
      </c>
      <c r="P37" s="33" t="s">
        <v>38</v>
      </c>
      <c r="Q37" s="33"/>
      <c r="R37" s="33" t="s">
        <v>38</v>
      </c>
      <c r="S37" s="33" t="s">
        <v>38</v>
      </c>
      <c r="T37" s="33" t="s">
        <v>38</v>
      </c>
      <c r="U37" s="33"/>
      <c r="V37" s="33" t="s">
        <v>38</v>
      </c>
      <c r="W37" s="33" t="s">
        <v>38</v>
      </c>
      <c r="X37" s="33" t="s">
        <v>38</v>
      </c>
      <c r="Y37" s="33" t="s">
        <v>38</v>
      </c>
      <c r="Z37" s="33" t="s">
        <v>38</v>
      </c>
      <c r="AA37" s="33" t="s">
        <v>38</v>
      </c>
      <c r="AB37" s="33"/>
      <c r="AC37" s="33" t="s">
        <v>38</v>
      </c>
      <c r="AD37" s="33" t="s">
        <v>38</v>
      </c>
      <c r="AE37" s="33" t="s">
        <v>38</v>
      </c>
      <c r="AF37" s="33" t="s">
        <v>38</v>
      </c>
      <c r="AG37" s="33" t="s">
        <v>38</v>
      </c>
      <c r="AH37" s="33" t="s">
        <v>38</v>
      </c>
      <c r="AI37" s="33"/>
      <c r="AJ37" s="33" t="s">
        <v>38</v>
      </c>
      <c r="AK37" s="33" t="s">
        <v>38</v>
      </c>
      <c r="AL37" s="33" t="s">
        <v>38</v>
      </c>
      <c r="AM37" s="22">
        <f t="shared" si="9"/>
        <v>23</v>
      </c>
    </row>
    <row r="38" spans="1:39" hidden="1" x14ac:dyDescent="0.25">
      <c r="A38" s="20" t="s">
        <v>55</v>
      </c>
      <c r="B38" s="38" t="s">
        <v>133</v>
      </c>
      <c r="C38" s="20" t="s">
        <v>134</v>
      </c>
      <c r="D38" s="20" t="s">
        <v>3</v>
      </c>
      <c r="E38" s="20" t="s">
        <v>7</v>
      </c>
      <c r="F38" s="20" t="s">
        <v>58</v>
      </c>
      <c r="G38" s="39"/>
      <c r="H38" s="40"/>
      <c r="I38" s="22" t="s">
        <v>42</v>
      </c>
      <c r="L38" s="22" t="s">
        <v>42</v>
      </c>
      <c r="M38" s="22" t="s">
        <v>42</v>
      </c>
      <c r="O38" s="22" t="s">
        <v>42</v>
      </c>
      <c r="P38" s="22" t="s">
        <v>42</v>
      </c>
      <c r="Q38" s="22" t="s">
        <v>42</v>
      </c>
      <c r="R38" s="22" t="s">
        <v>42</v>
      </c>
      <c r="S38" s="22" t="s">
        <v>42</v>
      </c>
      <c r="T38" s="22" t="s">
        <v>42</v>
      </c>
      <c r="U38" s="22"/>
      <c r="V38" s="22" t="s">
        <v>42</v>
      </c>
      <c r="W38" s="22" t="s">
        <v>42</v>
      </c>
      <c r="X38" s="22" t="s">
        <v>42</v>
      </c>
      <c r="Y38" s="22" t="s">
        <v>42</v>
      </c>
      <c r="Z38" s="22" t="s">
        <v>42</v>
      </c>
      <c r="AA38" s="22" t="s">
        <v>42</v>
      </c>
      <c r="AB38" s="22"/>
      <c r="AC38" s="22" t="s">
        <v>42</v>
      </c>
      <c r="AD38" s="22" t="s">
        <v>42</v>
      </c>
      <c r="AE38" s="22"/>
      <c r="AF38" s="22" t="s">
        <v>42</v>
      </c>
      <c r="AG38" s="22" t="s">
        <v>42</v>
      </c>
      <c r="AH38" s="22" t="s">
        <v>42</v>
      </c>
      <c r="AJ38" s="22" t="s">
        <v>42</v>
      </c>
      <c r="AK38" s="22" t="s">
        <v>42</v>
      </c>
      <c r="AL38" s="22" t="s">
        <v>42</v>
      </c>
      <c r="AM38" s="22">
        <f t="shared" si="9"/>
        <v>23</v>
      </c>
    </row>
    <row r="39" spans="1:39" hidden="1" x14ac:dyDescent="0.25">
      <c r="A39" s="20" t="s">
        <v>55</v>
      </c>
      <c r="B39" s="38" t="s">
        <v>135</v>
      </c>
      <c r="C39" s="20" t="s">
        <v>136</v>
      </c>
      <c r="D39" s="20" t="s">
        <v>9</v>
      </c>
      <c r="E39" s="20" t="s">
        <v>7</v>
      </c>
      <c r="F39" s="20" t="s">
        <v>58</v>
      </c>
      <c r="G39" s="39"/>
      <c r="H39" s="40"/>
      <c r="I39" s="22" t="s">
        <v>42</v>
      </c>
      <c r="L39" s="22" t="s">
        <v>42</v>
      </c>
      <c r="M39" s="22" t="s">
        <v>42</v>
      </c>
      <c r="O39" s="22" t="s">
        <v>42</v>
      </c>
      <c r="P39" s="22" t="s">
        <v>42</v>
      </c>
      <c r="Q39" s="22" t="s">
        <v>42</v>
      </c>
      <c r="R39" s="22" t="s">
        <v>42</v>
      </c>
      <c r="S39" s="22" t="s">
        <v>42</v>
      </c>
      <c r="T39" s="22" t="s">
        <v>42</v>
      </c>
      <c r="U39" s="22"/>
      <c r="V39" s="22" t="s">
        <v>42</v>
      </c>
      <c r="W39" s="22" t="s">
        <v>42</v>
      </c>
      <c r="X39" s="22" t="s">
        <v>42</v>
      </c>
      <c r="Y39" s="22" t="s">
        <v>42</v>
      </c>
      <c r="Z39" s="22" t="s">
        <v>42</v>
      </c>
      <c r="AA39" s="22" t="s">
        <v>42</v>
      </c>
      <c r="AB39" s="22"/>
      <c r="AC39" s="22" t="s">
        <v>42</v>
      </c>
      <c r="AD39" s="22" t="s">
        <v>42</v>
      </c>
      <c r="AE39" s="22" t="s">
        <v>42</v>
      </c>
      <c r="AF39" s="22" t="s">
        <v>42</v>
      </c>
      <c r="AG39" s="22" t="s">
        <v>42</v>
      </c>
      <c r="AH39" s="22" t="s">
        <v>42</v>
      </c>
      <c r="AJ39" s="22" t="s">
        <v>42</v>
      </c>
      <c r="AK39" s="22" t="s">
        <v>42</v>
      </c>
      <c r="AL39" s="22" t="s">
        <v>42</v>
      </c>
      <c r="AM39" s="22">
        <f t="shared" si="9"/>
        <v>24</v>
      </c>
    </row>
    <row r="40" spans="1:39" hidden="1" x14ac:dyDescent="0.25">
      <c r="A40" s="20" t="s">
        <v>55</v>
      </c>
      <c r="B40" s="38" t="s">
        <v>137</v>
      </c>
      <c r="C40" s="20" t="s">
        <v>138</v>
      </c>
      <c r="D40" s="20" t="s">
        <v>20</v>
      </c>
      <c r="E40" s="20" t="s">
        <v>20</v>
      </c>
      <c r="F40" s="20" t="s">
        <v>63</v>
      </c>
      <c r="G40" s="39"/>
      <c r="H40" s="40"/>
      <c r="I40" s="33" t="s">
        <v>38</v>
      </c>
      <c r="J40" s="33"/>
      <c r="K40" s="33"/>
      <c r="L40" s="33" t="s">
        <v>38</v>
      </c>
      <c r="M40" s="33" t="s">
        <v>38</v>
      </c>
      <c r="N40" s="33"/>
      <c r="O40" s="33" t="s">
        <v>38</v>
      </c>
      <c r="P40" s="33" t="s">
        <v>38</v>
      </c>
      <c r="Q40" s="33" t="s">
        <v>38</v>
      </c>
      <c r="R40" s="33" t="s">
        <v>38</v>
      </c>
      <c r="S40" s="33" t="s">
        <v>38</v>
      </c>
      <c r="T40" s="33" t="s">
        <v>38</v>
      </c>
      <c r="U40" s="33"/>
      <c r="V40" s="33" t="s">
        <v>38</v>
      </c>
      <c r="W40" s="33" t="s">
        <v>38</v>
      </c>
      <c r="X40" s="33" t="s">
        <v>38</v>
      </c>
      <c r="Y40" s="33" t="s">
        <v>38</v>
      </c>
      <c r="Z40" s="33" t="s">
        <v>38</v>
      </c>
      <c r="AA40" s="33"/>
      <c r="AB40" s="33"/>
      <c r="AC40" s="33" t="s">
        <v>38</v>
      </c>
      <c r="AD40" s="33" t="s">
        <v>38</v>
      </c>
      <c r="AE40" s="33" t="s">
        <v>38</v>
      </c>
      <c r="AF40" s="33" t="s">
        <v>38</v>
      </c>
      <c r="AG40" s="33" t="s">
        <v>38</v>
      </c>
      <c r="AH40" s="33" t="s">
        <v>38</v>
      </c>
      <c r="AI40" s="33"/>
      <c r="AJ40" s="33"/>
      <c r="AK40" s="33" t="s">
        <v>38</v>
      </c>
      <c r="AL40" s="33" t="s">
        <v>38</v>
      </c>
      <c r="AM40" s="22">
        <f t="shared" si="9"/>
        <v>22</v>
      </c>
    </row>
    <row r="41" spans="1:39" hidden="1" x14ac:dyDescent="0.25">
      <c r="A41" s="20" t="s">
        <v>55</v>
      </c>
      <c r="B41" s="38" t="s">
        <v>139</v>
      </c>
      <c r="C41" s="20" t="s">
        <v>140</v>
      </c>
      <c r="D41" s="20" t="s">
        <v>6</v>
      </c>
      <c r="E41" s="20" t="s">
        <v>7</v>
      </c>
      <c r="F41" s="22" t="s">
        <v>58</v>
      </c>
      <c r="G41" s="39"/>
      <c r="H41" s="40"/>
      <c r="J41" s="33"/>
      <c r="M41" s="22" t="s">
        <v>42</v>
      </c>
      <c r="O41" s="22" t="s">
        <v>42</v>
      </c>
      <c r="P41" s="22" t="s">
        <v>42</v>
      </c>
      <c r="Q41" s="22" t="s">
        <v>42</v>
      </c>
      <c r="R41" s="22" t="s">
        <v>42</v>
      </c>
      <c r="S41" s="22" t="s">
        <v>42</v>
      </c>
      <c r="T41" s="22" t="s">
        <v>42</v>
      </c>
      <c r="U41" s="22"/>
      <c r="V41" s="22"/>
      <c r="W41" s="22" t="s">
        <v>42</v>
      </c>
      <c r="X41" s="22" t="s">
        <v>42</v>
      </c>
      <c r="Y41" s="22" t="s">
        <v>42</v>
      </c>
      <c r="Z41" s="22"/>
      <c r="AA41" s="22" t="s">
        <v>42</v>
      </c>
      <c r="AB41" s="22"/>
      <c r="AC41" s="22" t="s">
        <v>42</v>
      </c>
      <c r="AD41" s="22" t="s">
        <v>42</v>
      </c>
      <c r="AE41" s="22" t="s">
        <v>42</v>
      </c>
      <c r="AF41" s="33" t="s">
        <v>38</v>
      </c>
      <c r="AG41" s="33" t="s">
        <v>38</v>
      </c>
      <c r="AH41" s="22" t="s">
        <v>42</v>
      </c>
      <c r="AJ41" s="33" t="s">
        <v>38</v>
      </c>
      <c r="AK41" s="33" t="s">
        <v>38</v>
      </c>
      <c r="AL41" s="33" t="s">
        <v>38</v>
      </c>
      <c r="AM41" s="22">
        <f t="shared" si="9"/>
        <v>20</v>
      </c>
    </row>
    <row r="42" spans="1:39" hidden="1" x14ac:dyDescent="0.25">
      <c r="A42" s="20" t="s">
        <v>55</v>
      </c>
      <c r="B42" s="38" t="s">
        <v>141</v>
      </c>
      <c r="C42" s="20" t="s">
        <v>142</v>
      </c>
      <c r="D42" s="20" t="s">
        <v>25</v>
      </c>
      <c r="E42" s="20" t="s">
        <v>25</v>
      </c>
      <c r="F42" s="20" t="s">
        <v>58</v>
      </c>
      <c r="G42" s="39"/>
      <c r="H42" s="40"/>
      <c r="I42" s="22" t="s">
        <v>42</v>
      </c>
      <c r="L42" s="22" t="s">
        <v>42</v>
      </c>
      <c r="M42" s="22" t="s">
        <v>42</v>
      </c>
      <c r="O42" s="22" t="s">
        <v>42</v>
      </c>
      <c r="P42" s="22" t="s">
        <v>42</v>
      </c>
      <c r="Q42" s="22" t="s">
        <v>42</v>
      </c>
      <c r="R42" s="22" t="s">
        <v>42</v>
      </c>
      <c r="S42" s="22" t="s">
        <v>42</v>
      </c>
      <c r="T42" s="22" t="s">
        <v>42</v>
      </c>
      <c r="U42" s="22"/>
      <c r="V42" s="22" t="s">
        <v>42</v>
      </c>
      <c r="W42" s="22" t="s">
        <v>42</v>
      </c>
      <c r="X42" s="22" t="s">
        <v>42</v>
      </c>
      <c r="Y42" s="22" t="s">
        <v>42</v>
      </c>
      <c r="Z42" s="22" t="s">
        <v>42</v>
      </c>
      <c r="AA42" s="22" t="s">
        <v>42</v>
      </c>
      <c r="AB42" s="22"/>
      <c r="AC42" s="22" t="s">
        <v>42</v>
      </c>
      <c r="AD42" s="22" t="s">
        <v>42</v>
      </c>
      <c r="AE42" s="22" t="s">
        <v>42</v>
      </c>
      <c r="AF42" s="22" t="s">
        <v>42</v>
      </c>
      <c r="AG42" s="22" t="s">
        <v>42</v>
      </c>
      <c r="AH42" s="22" t="s">
        <v>42</v>
      </c>
      <c r="AJ42" s="22" t="s">
        <v>42</v>
      </c>
      <c r="AK42" s="22" t="s">
        <v>42</v>
      </c>
      <c r="AL42" s="22" t="s">
        <v>42</v>
      </c>
      <c r="AM42" s="22">
        <f t="shared" si="9"/>
        <v>24</v>
      </c>
    </row>
    <row r="43" spans="1:39" hidden="1" x14ac:dyDescent="0.25">
      <c r="A43" s="20" t="s">
        <v>55</v>
      </c>
      <c r="B43" s="38" t="s">
        <v>143</v>
      </c>
      <c r="C43" s="20" t="s">
        <v>144</v>
      </c>
      <c r="D43" s="20" t="s">
        <v>25</v>
      </c>
      <c r="E43" s="20" t="s">
        <v>25</v>
      </c>
      <c r="F43" s="20" t="s">
        <v>58</v>
      </c>
      <c r="G43" s="39"/>
      <c r="H43" s="40"/>
      <c r="I43" s="22" t="s">
        <v>42</v>
      </c>
      <c r="L43" s="22" t="s">
        <v>42</v>
      </c>
      <c r="M43" s="22" t="s">
        <v>42</v>
      </c>
      <c r="O43" s="22" t="s">
        <v>42</v>
      </c>
      <c r="P43" s="22" t="s">
        <v>42</v>
      </c>
      <c r="Q43" s="22" t="s">
        <v>42</v>
      </c>
      <c r="R43" s="22" t="s">
        <v>42</v>
      </c>
      <c r="S43" s="22" t="s">
        <v>42</v>
      </c>
      <c r="T43" s="22" t="s">
        <v>42</v>
      </c>
      <c r="U43" s="22"/>
      <c r="V43" s="22" t="s">
        <v>42</v>
      </c>
      <c r="W43" s="22" t="s">
        <v>42</v>
      </c>
      <c r="X43" s="22" t="s">
        <v>42</v>
      </c>
      <c r="Y43" s="22" t="s">
        <v>42</v>
      </c>
      <c r="Z43" s="22" t="s">
        <v>42</v>
      </c>
      <c r="AA43" s="22" t="s">
        <v>42</v>
      </c>
      <c r="AB43" s="22"/>
      <c r="AC43" s="22" t="s">
        <v>42</v>
      </c>
      <c r="AD43" s="22" t="s">
        <v>42</v>
      </c>
      <c r="AE43" s="22" t="s">
        <v>42</v>
      </c>
      <c r="AF43" s="22" t="s">
        <v>42</v>
      </c>
      <c r="AG43" s="22"/>
      <c r="AH43" s="22" t="s">
        <v>42</v>
      </c>
      <c r="AJ43" s="22" t="s">
        <v>42</v>
      </c>
      <c r="AK43" s="22" t="s">
        <v>42</v>
      </c>
      <c r="AL43" s="22" t="s">
        <v>42</v>
      </c>
      <c r="AM43" s="22">
        <f t="shared" si="9"/>
        <v>23</v>
      </c>
    </row>
    <row r="44" spans="1:39" hidden="1" x14ac:dyDescent="0.25">
      <c r="A44" s="20" t="s">
        <v>55</v>
      </c>
      <c r="B44" s="38" t="s">
        <v>145</v>
      </c>
      <c r="C44" s="20" t="s">
        <v>146</v>
      </c>
      <c r="D44" s="20" t="s">
        <v>8</v>
      </c>
      <c r="E44" s="20" t="s">
        <v>8</v>
      </c>
      <c r="F44" s="20" t="s">
        <v>58</v>
      </c>
      <c r="G44" s="39"/>
      <c r="H44" s="40"/>
      <c r="I44" s="22" t="s">
        <v>42</v>
      </c>
      <c r="L44" s="29" t="s">
        <v>147</v>
      </c>
      <c r="M44" s="29" t="s">
        <v>147</v>
      </c>
      <c r="O44" s="22" t="s">
        <v>42</v>
      </c>
      <c r="P44" s="22" t="s">
        <v>42</v>
      </c>
      <c r="Q44" s="22" t="s">
        <v>42</v>
      </c>
      <c r="R44" s="22" t="s">
        <v>147</v>
      </c>
      <c r="S44" s="22"/>
      <c r="T44" s="22" t="s">
        <v>147</v>
      </c>
      <c r="U44" s="22"/>
      <c r="V44" s="22" t="s">
        <v>147</v>
      </c>
      <c r="W44" s="22" t="s">
        <v>147</v>
      </c>
      <c r="X44" s="22" t="s">
        <v>147</v>
      </c>
      <c r="Y44" s="22" t="s">
        <v>147</v>
      </c>
      <c r="Z44" s="22" t="s">
        <v>147</v>
      </c>
      <c r="AA44" s="22" t="s">
        <v>147</v>
      </c>
      <c r="AB44" s="22"/>
      <c r="AC44" s="22" t="s">
        <v>147</v>
      </c>
      <c r="AD44" s="22" t="s">
        <v>147</v>
      </c>
      <c r="AE44" s="22" t="s">
        <v>147</v>
      </c>
      <c r="AF44" s="22" t="s">
        <v>147</v>
      </c>
      <c r="AG44" s="22" t="s">
        <v>147</v>
      </c>
      <c r="AH44" s="22" t="s">
        <v>147</v>
      </c>
      <c r="AJ44" s="22" t="s">
        <v>147</v>
      </c>
      <c r="AK44" s="22" t="s">
        <v>147</v>
      </c>
      <c r="AL44" s="22" t="s">
        <v>42</v>
      </c>
      <c r="AM44" s="22">
        <f t="shared" si="9"/>
        <v>5</v>
      </c>
    </row>
    <row r="45" spans="1:39" x14ac:dyDescent="0.25">
      <c r="A45" s="20" t="s">
        <v>55</v>
      </c>
      <c r="B45" s="38" t="s">
        <v>148</v>
      </c>
      <c r="C45" s="20" t="s">
        <v>149</v>
      </c>
      <c r="D45" s="20" t="s">
        <v>28</v>
      </c>
      <c r="E45" s="20" t="s">
        <v>28</v>
      </c>
      <c r="F45" s="20" t="s">
        <v>63</v>
      </c>
      <c r="G45" s="39"/>
      <c r="H45" s="40"/>
      <c r="I45" s="33" t="s">
        <v>38</v>
      </c>
      <c r="J45" s="33"/>
      <c r="K45" s="33"/>
      <c r="L45" s="33" t="s">
        <v>38</v>
      </c>
      <c r="M45" s="33" t="s">
        <v>38</v>
      </c>
      <c r="N45" s="33"/>
      <c r="O45" s="33" t="s">
        <v>38</v>
      </c>
      <c r="P45" s="33" t="s">
        <v>38</v>
      </c>
      <c r="Q45" s="33" t="s">
        <v>38</v>
      </c>
      <c r="R45" s="33" t="s">
        <v>38</v>
      </c>
      <c r="S45" s="33" t="s">
        <v>38</v>
      </c>
      <c r="T45" s="33" t="s">
        <v>38</v>
      </c>
      <c r="U45" s="33"/>
      <c r="V45" s="33" t="s">
        <v>38</v>
      </c>
      <c r="W45" s="33" t="s">
        <v>38</v>
      </c>
      <c r="X45" s="33" t="s">
        <v>38</v>
      </c>
      <c r="Y45" s="33" t="s">
        <v>38</v>
      </c>
      <c r="Z45" s="33" t="s">
        <v>38</v>
      </c>
      <c r="AA45" s="33" t="s">
        <v>38</v>
      </c>
      <c r="AB45" s="33"/>
      <c r="AC45" s="33" t="s">
        <v>38</v>
      </c>
      <c r="AD45" s="33" t="s">
        <v>38</v>
      </c>
      <c r="AE45" s="33"/>
      <c r="AF45" s="33" t="s">
        <v>38</v>
      </c>
      <c r="AG45" s="33" t="s">
        <v>38</v>
      </c>
      <c r="AH45" s="33" t="s">
        <v>38</v>
      </c>
      <c r="AI45" s="22" t="s">
        <v>42</v>
      </c>
      <c r="AJ45" s="33" t="s">
        <v>38</v>
      </c>
      <c r="AK45" s="33" t="s">
        <v>38</v>
      </c>
      <c r="AL45" s="33" t="s">
        <v>38</v>
      </c>
      <c r="AM45" s="22">
        <f t="shared" si="9"/>
        <v>24</v>
      </c>
    </row>
    <row r="46" spans="1:39" hidden="1" x14ac:dyDescent="0.25">
      <c r="A46" s="20" t="s">
        <v>55</v>
      </c>
      <c r="B46" s="38" t="s">
        <v>150</v>
      </c>
      <c r="C46" s="20" t="s">
        <v>151</v>
      </c>
      <c r="D46" s="20" t="s">
        <v>23</v>
      </c>
      <c r="E46" s="20" t="s">
        <v>23</v>
      </c>
      <c r="F46" s="20" t="s">
        <v>58</v>
      </c>
      <c r="G46" s="39"/>
      <c r="H46" s="40"/>
      <c r="I46" s="22" t="s">
        <v>42</v>
      </c>
      <c r="J46" s="33"/>
      <c r="L46" s="22" t="s">
        <v>42</v>
      </c>
      <c r="M46" s="22" t="s">
        <v>42</v>
      </c>
      <c r="O46" s="22" t="s">
        <v>42</v>
      </c>
      <c r="P46" s="22" t="s">
        <v>42</v>
      </c>
      <c r="Q46" s="22" t="s">
        <v>42</v>
      </c>
      <c r="R46" s="22" t="s">
        <v>42</v>
      </c>
      <c r="S46" s="22" t="s">
        <v>42</v>
      </c>
      <c r="T46" s="22" t="s">
        <v>42</v>
      </c>
      <c r="U46" s="22"/>
      <c r="V46" s="22" t="s">
        <v>42</v>
      </c>
      <c r="W46" s="22" t="s">
        <v>42</v>
      </c>
      <c r="X46" s="22"/>
      <c r="Y46" s="22"/>
      <c r="Z46" s="22"/>
      <c r="AA46" s="22"/>
      <c r="AB46" s="22"/>
      <c r="AD46" s="22"/>
      <c r="AE46" s="22"/>
      <c r="AF46" s="22"/>
      <c r="AG46" s="22"/>
      <c r="AH46" s="22"/>
      <c r="AM46" s="22">
        <f t="shared" si="9"/>
        <v>11</v>
      </c>
    </row>
    <row r="47" spans="1:39" x14ac:dyDescent="0.25">
      <c r="A47" s="20" t="s">
        <v>55</v>
      </c>
      <c r="B47" s="38" t="s">
        <v>152</v>
      </c>
      <c r="C47" s="20" t="s">
        <v>153</v>
      </c>
      <c r="D47" s="20" t="s">
        <v>21</v>
      </c>
      <c r="E47" s="20" t="s">
        <v>21</v>
      </c>
      <c r="F47" s="20" t="s">
        <v>58</v>
      </c>
      <c r="G47" s="39"/>
      <c r="H47" s="40"/>
      <c r="I47" s="22" t="s">
        <v>42</v>
      </c>
      <c r="L47" s="22" t="s">
        <v>42</v>
      </c>
      <c r="M47" s="22" t="s">
        <v>42</v>
      </c>
      <c r="N47" s="22" t="s">
        <v>42</v>
      </c>
      <c r="O47" s="22" t="s">
        <v>42</v>
      </c>
      <c r="P47" s="22" t="s">
        <v>42</v>
      </c>
      <c r="Q47" s="22" t="s">
        <v>42</v>
      </c>
      <c r="R47" s="22" t="s">
        <v>42</v>
      </c>
      <c r="S47" s="22" t="s">
        <v>42</v>
      </c>
      <c r="T47" s="22" t="s">
        <v>42</v>
      </c>
      <c r="U47" s="22"/>
      <c r="V47" s="22" t="s">
        <v>42</v>
      </c>
      <c r="W47" s="22" t="s">
        <v>42</v>
      </c>
      <c r="X47" s="22" t="s">
        <v>42</v>
      </c>
      <c r="Y47" s="22" t="s">
        <v>42</v>
      </c>
      <c r="Z47" s="22" t="s">
        <v>42</v>
      </c>
      <c r="AA47" s="22" t="s">
        <v>42</v>
      </c>
      <c r="AB47" s="22" t="s">
        <v>42</v>
      </c>
      <c r="AC47" s="22" t="s">
        <v>42</v>
      </c>
      <c r="AD47" s="22" t="s">
        <v>42</v>
      </c>
      <c r="AE47" s="22" t="s">
        <v>42</v>
      </c>
      <c r="AF47" s="22" t="s">
        <v>42</v>
      </c>
      <c r="AG47" s="22" t="s">
        <v>42</v>
      </c>
      <c r="AH47" s="22" t="s">
        <v>42</v>
      </c>
      <c r="AI47" s="22" t="s">
        <v>42</v>
      </c>
      <c r="AJ47" s="22" t="s">
        <v>42</v>
      </c>
      <c r="AK47" s="22" t="s">
        <v>42</v>
      </c>
      <c r="AL47" s="22" t="s">
        <v>42</v>
      </c>
      <c r="AM47" s="22">
        <f t="shared" si="9"/>
        <v>27</v>
      </c>
    </row>
    <row r="48" spans="1:39" hidden="1" x14ac:dyDescent="0.25">
      <c r="A48" s="20" t="s">
        <v>55</v>
      </c>
      <c r="B48" s="38" t="s">
        <v>156</v>
      </c>
      <c r="C48" s="20" t="s">
        <v>157</v>
      </c>
      <c r="D48" s="20" t="s">
        <v>11</v>
      </c>
      <c r="E48" s="20" t="s">
        <v>11</v>
      </c>
      <c r="F48" s="20" t="s">
        <v>58</v>
      </c>
      <c r="G48" s="39"/>
      <c r="H48" s="40"/>
      <c r="I48" s="22" t="s">
        <v>42</v>
      </c>
      <c r="L48" s="22" t="s">
        <v>42</v>
      </c>
      <c r="M48" s="22" t="s">
        <v>42</v>
      </c>
      <c r="O48" s="22" t="s">
        <v>42</v>
      </c>
      <c r="R48" s="22"/>
      <c r="S48" s="22"/>
      <c r="T48" s="22" t="s">
        <v>42</v>
      </c>
      <c r="U48" s="22"/>
      <c r="V48" s="22" t="s">
        <v>42</v>
      </c>
      <c r="W48" s="22" t="s">
        <v>42</v>
      </c>
      <c r="X48" s="22" t="s">
        <v>42</v>
      </c>
      <c r="Y48" s="22" t="s">
        <v>42</v>
      </c>
      <c r="Z48" s="22" t="s">
        <v>42</v>
      </c>
      <c r="AA48" s="22" t="s">
        <v>42</v>
      </c>
      <c r="AB48" s="22"/>
      <c r="AC48" s="22" t="s">
        <v>42</v>
      </c>
      <c r="AD48" s="22" t="s">
        <v>42</v>
      </c>
      <c r="AE48" s="22" t="s">
        <v>42</v>
      </c>
      <c r="AF48" s="22" t="s">
        <v>42</v>
      </c>
      <c r="AG48" s="22" t="s">
        <v>42</v>
      </c>
      <c r="AH48" s="22" t="s">
        <v>42</v>
      </c>
      <c r="AJ48" s="22" t="s">
        <v>42</v>
      </c>
      <c r="AK48" s="22" t="s">
        <v>42</v>
      </c>
      <c r="AL48" s="22" t="s">
        <v>42</v>
      </c>
      <c r="AM48" s="22">
        <f t="shared" si="9"/>
        <v>20</v>
      </c>
    </row>
    <row r="49" spans="1:39" hidden="1" x14ac:dyDescent="0.25">
      <c r="A49" s="20" t="s">
        <v>55</v>
      </c>
      <c r="B49" s="38" t="s">
        <v>158</v>
      </c>
      <c r="C49" s="20" t="s">
        <v>159</v>
      </c>
      <c r="D49" s="20" t="s">
        <v>11</v>
      </c>
      <c r="E49" s="20" t="s">
        <v>11</v>
      </c>
      <c r="F49" s="20" t="s">
        <v>58</v>
      </c>
      <c r="G49" s="39"/>
      <c r="H49" s="40"/>
      <c r="I49" s="22" t="s">
        <v>42</v>
      </c>
      <c r="L49" s="22" t="s">
        <v>42</v>
      </c>
      <c r="M49" s="22" t="s">
        <v>42</v>
      </c>
      <c r="O49" s="22" t="s">
        <v>42</v>
      </c>
      <c r="P49" s="22" t="s">
        <v>42</v>
      </c>
      <c r="Q49" s="22" t="s">
        <v>42</v>
      </c>
      <c r="R49" s="22" t="s">
        <v>42</v>
      </c>
      <c r="S49" s="22"/>
      <c r="T49" s="22"/>
      <c r="U49" s="22"/>
      <c r="V49" s="22" t="s">
        <v>42</v>
      </c>
      <c r="W49" s="22" t="s">
        <v>42</v>
      </c>
      <c r="X49" s="22" t="s">
        <v>42</v>
      </c>
      <c r="Y49" s="22" t="s">
        <v>42</v>
      </c>
      <c r="Z49" s="22" t="s">
        <v>42</v>
      </c>
      <c r="AA49" s="22" t="s">
        <v>42</v>
      </c>
      <c r="AB49" s="22"/>
      <c r="AC49" s="22" t="s">
        <v>42</v>
      </c>
      <c r="AD49" s="22" t="s">
        <v>42</v>
      </c>
      <c r="AE49" s="22" t="s">
        <v>42</v>
      </c>
      <c r="AF49" s="22" t="s">
        <v>42</v>
      </c>
      <c r="AG49" s="22" t="s">
        <v>42</v>
      </c>
      <c r="AH49" s="22" t="s">
        <v>42</v>
      </c>
      <c r="AJ49" s="22" t="s">
        <v>42</v>
      </c>
      <c r="AK49" s="22" t="s">
        <v>42</v>
      </c>
      <c r="AL49" s="22" t="s">
        <v>42</v>
      </c>
      <c r="AM49" s="22">
        <f t="shared" si="9"/>
        <v>22</v>
      </c>
    </row>
    <row r="50" spans="1:39" hidden="1" x14ac:dyDescent="0.25">
      <c r="A50" s="20" t="s">
        <v>55</v>
      </c>
      <c r="B50" s="38" t="s">
        <v>160</v>
      </c>
      <c r="C50" s="20" t="s">
        <v>161</v>
      </c>
      <c r="D50" s="20" t="s">
        <v>11</v>
      </c>
      <c r="E50" s="20" t="s">
        <v>11</v>
      </c>
      <c r="F50" s="20" t="s">
        <v>58</v>
      </c>
      <c r="G50" s="39"/>
      <c r="H50" s="40"/>
      <c r="I50" s="22" t="s">
        <v>42</v>
      </c>
      <c r="J50" s="33"/>
      <c r="L50" s="22" t="s">
        <v>42</v>
      </c>
      <c r="M50" s="22" t="s">
        <v>42</v>
      </c>
      <c r="O50" s="22" t="s">
        <v>42</v>
      </c>
      <c r="P50" s="22" t="s">
        <v>42</v>
      </c>
      <c r="Q50" s="22" t="s">
        <v>42</v>
      </c>
      <c r="R50" s="22" t="s">
        <v>42</v>
      </c>
      <c r="S50" s="22"/>
      <c r="T50" s="22"/>
      <c r="U50" s="22"/>
      <c r="V50" s="22" t="s">
        <v>42</v>
      </c>
      <c r="W50" s="22" t="s">
        <v>42</v>
      </c>
      <c r="X50" s="22" t="s">
        <v>42</v>
      </c>
      <c r="Y50" s="22" t="s">
        <v>42</v>
      </c>
      <c r="Z50" s="22" t="s">
        <v>42</v>
      </c>
      <c r="AA50" s="22" t="s">
        <v>42</v>
      </c>
      <c r="AB50" s="22"/>
      <c r="AC50" s="22" t="s">
        <v>42</v>
      </c>
      <c r="AD50" s="22" t="s">
        <v>42</v>
      </c>
      <c r="AE50" s="22" t="s">
        <v>42</v>
      </c>
      <c r="AF50" s="22"/>
      <c r="AG50" s="22" t="s">
        <v>42</v>
      </c>
      <c r="AH50" s="22" t="s">
        <v>42</v>
      </c>
      <c r="AJ50" s="22" t="s">
        <v>42</v>
      </c>
      <c r="AK50" s="22" t="s">
        <v>42</v>
      </c>
      <c r="AL50" s="22" t="s">
        <v>42</v>
      </c>
      <c r="AM50" s="22">
        <f t="shared" si="9"/>
        <v>21</v>
      </c>
    </row>
    <row r="51" spans="1:39" hidden="1" x14ac:dyDescent="0.25">
      <c r="A51" s="20" t="s">
        <v>55</v>
      </c>
      <c r="B51" s="38" t="s">
        <v>164</v>
      </c>
      <c r="C51" s="20" t="s">
        <v>165</v>
      </c>
      <c r="D51" s="20" t="s">
        <v>11</v>
      </c>
      <c r="E51" s="20" t="s">
        <v>11</v>
      </c>
      <c r="F51" s="20" t="s">
        <v>58</v>
      </c>
      <c r="G51" s="39"/>
      <c r="H51" s="40"/>
      <c r="I51" s="22" t="s">
        <v>42</v>
      </c>
      <c r="L51" s="22" t="s">
        <v>42</v>
      </c>
      <c r="M51" s="22" t="s">
        <v>42</v>
      </c>
      <c r="O51" s="22" t="s">
        <v>42</v>
      </c>
      <c r="R51" s="22"/>
      <c r="S51" s="22" t="s">
        <v>42</v>
      </c>
      <c r="T51" s="22" t="s">
        <v>42</v>
      </c>
      <c r="U51" s="22"/>
      <c r="V51" s="22" t="s">
        <v>42</v>
      </c>
      <c r="W51" s="22" t="s">
        <v>42</v>
      </c>
      <c r="X51" s="22" t="s">
        <v>42</v>
      </c>
      <c r="Y51" s="22" t="s">
        <v>42</v>
      </c>
      <c r="Z51" s="22" t="s">
        <v>42</v>
      </c>
      <c r="AA51" s="22" t="s">
        <v>42</v>
      </c>
      <c r="AB51" s="22"/>
      <c r="AC51" s="22" t="s">
        <v>42</v>
      </c>
      <c r="AD51" s="22" t="s">
        <v>42</v>
      </c>
      <c r="AE51" s="22" t="s">
        <v>42</v>
      </c>
      <c r="AF51" s="22"/>
      <c r="AG51" s="22" t="s">
        <v>42</v>
      </c>
      <c r="AH51" s="22" t="s">
        <v>42</v>
      </c>
      <c r="AJ51" s="22" t="s">
        <v>42</v>
      </c>
      <c r="AK51" s="22" t="s">
        <v>42</v>
      </c>
      <c r="AL51" s="22" t="s">
        <v>42</v>
      </c>
      <c r="AM51" s="22">
        <f t="shared" si="9"/>
        <v>20</v>
      </c>
    </row>
    <row r="52" spans="1:39" hidden="1" x14ac:dyDescent="0.25">
      <c r="A52" s="20" t="s">
        <v>55</v>
      </c>
      <c r="B52" s="38" t="s">
        <v>166</v>
      </c>
      <c r="C52" s="20" t="s">
        <v>167</v>
      </c>
      <c r="D52" s="20" t="s">
        <v>11</v>
      </c>
      <c r="E52" s="20" t="s">
        <v>11</v>
      </c>
      <c r="F52" s="20" t="s">
        <v>58</v>
      </c>
      <c r="G52" s="39"/>
      <c r="H52" s="40"/>
      <c r="I52" s="22" t="s">
        <v>42</v>
      </c>
      <c r="L52" s="22" t="s">
        <v>42</v>
      </c>
      <c r="M52" s="22" t="s">
        <v>42</v>
      </c>
      <c r="O52" s="22" t="s">
        <v>42</v>
      </c>
      <c r="R52" s="22"/>
      <c r="S52" s="22" t="s">
        <v>42</v>
      </c>
      <c r="T52" s="22" t="s">
        <v>42</v>
      </c>
      <c r="U52" s="22"/>
      <c r="V52" s="22" t="s">
        <v>42</v>
      </c>
      <c r="W52" s="22" t="s">
        <v>42</v>
      </c>
      <c r="X52" s="22" t="s">
        <v>42</v>
      </c>
      <c r="Y52" s="22" t="s">
        <v>42</v>
      </c>
      <c r="Z52" s="22" t="s">
        <v>42</v>
      </c>
      <c r="AA52" s="22" t="s">
        <v>42</v>
      </c>
      <c r="AB52" s="22"/>
      <c r="AC52" s="22" t="s">
        <v>42</v>
      </c>
      <c r="AD52" s="22" t="s">
        <v>42</v>
      </c>
      <c r="AE52" s="22" t="s">
        <v>42</v>
      </c>
      <c r="AF52" s="22"/>
      <c r="AG52" s="22" t="s">
        <v>42</v>
      </c>
      <c r="AH52" s="22" t="s">
        <v>42</v>
      </c>
      <c r="AJ52" s="22" t="s">
        <v>42</v>
      </c>
      <c r="AK52" s="22" t="s">
        <v>42</v>
      </c>
      <c r="AL52" s="22" t="s">
        <v>42</v>
      </c>
      <c r="AM52" s="22">
        <f t="shared" si="9"/>
        <v>20</v>
      </c>
    </row>
    <row r="53" spans="1:39" hidden="1" x14ac:dyDescent="0.25">
      <c r="A53" s="20" t="s">
        <v>55</v>
      </c>
      <c r="B53" s="38" t="s">
        <v>168</v>
      </c>
      <c r="C53" s="20" t="s">
        <v>169</v>
      </c>
      <c r="D53" s="20" t="s">
        <v>16</v>
      </c>
      <c r="E53" s="20" t="s">
        <v>16</v>
      </c>
      <c r="F53" s="20" t="s">
        <v>170</v>
      </c>
      <c r="G53" s="39"/>
      <c r="H53" s="40"/>
      <c r="I53" s="31" t="s">
        <v>36</v>
      </c>
      <c r="J53" s="31"/>
      <c r="K53" s="31"/>
      <c r="L53" s="31" t="s">
        <v>36</v>
      </c>
      <c r="M53" s="31" t="s">
        <v>36</v>
      </c>
      <c r="N53" s="31" t="s">
        <v>36</v>
      </c>
      <c r="O53" s="31" t="s">
        <v>36</v>
      </c>
      <c r="P53" s="31" t="s">
        <v>36</v>
      </c>
      <c r="Q53" s="31" t="s">
        <v>36</v>
      </c>
      <c r="R53" s="31" t="s">
        <v>36</v>
      </c>
      <c r="S53" s="31" t="s">
        <v>36</v>
      </c>
      <c r="T53" s="31" t="s">
        <v>36</v>
      </c>
      <c r="U53" s="31"/>
      <c r="V53" s="31" t="s">
        <v>36</v>
      </c>
      <c r="W53" s="31" t="s">
        <v>36</v>
      </c>
      <c r="X53" s="31" t="s">
        <v>36</v>
      </c>
      <c r="Y53" s="31" t="s">
        <v>36</v>
      </c>
      <c r="Z53" s="31" t="s">
        <v>36</v>
      </c>
      <c r="AA53" s="31" t="s">
        <v>36</v>
      </c>
      <c r="AB53" s="31" t="s">
        <v>36</v>
      </c>
      <c r="AC53" s="31" t="s">
        <v>36</v>
      </c>
      <c r="AD53" s="31" t="s">
        <v>36</v>
      </c>
      <c r="AE53" s="31" t="s">
        <v>36</v>
      </c>
      <c r="AF53" s="31" t="s">
        <v>36</v>
      </c>
      <c r="AG53" s="31" t="s">
        <v>36</v>
      </c>
      <c r="AH53" s="31" t="s">
        <v>36</v>
      </c>
      <c r="AI53" s="31"/>
      <c r="AJ53" s="31" t="s">
        <v>36</v>
      </c>
      <c r="AK53" s="31" t="s">
        <v>36</v>
      </c>
      <c r="AL53" s="31" t="s">
        <v>36</v>
      </c>
      <c r="AM53" s="22">
        <f t="shared" si="9"/>
        <v>26</v>
      </c>
    </row>
    <row r="54" spans="1:39" hidden="1" x14ac:dyDescent="0.25">
      <c r="A54" s="20" t="s">
        <v>55</v>
      </c>
      <c r="B54" s="38" t="s">
        <v>171</v>
      </c>
      <c r="C54" s="20" t="s">
        <v>172</v>
      </c>
      <c r="D54" s="20" t="s">
        <v>16</v>
      </c>
      <c r="E54" s="20" t="s">
        <v>16</v>
      </c>
      <c r="F54" s="20" t="s">
        <v>170</v>
      </c>
      <c r="G54" s="39"/>
      <c r="H54" s="40"/>
      <c r="I54" s="31"/>
      <c r="J54" s="31"/>
      <c r="K54" s="31"/>
      <c r="L54" s="31"/>
      <c r="M54" s="31"/>
      <c r="N54" s="31" t="s">
        <v>36</v>
      </c>
      <c r="P54" s="31"/>
      <c r="Q54" s="31"/>
      <c r="R54" s="31"/>
      <c r="S54" s="31"/>
      <c r="T54" s="31"/>
      <c r="U54" s="31"/>
      <c r="V54" s="22"/>
      <c r="W54" s="31" t="s">
        <v>36</v>
      </c>
      <c r="X54" s="31" t="s">
        <v>36</v>
      </c>
      <c r="Y54" s="31" t="s">
        <v>36</v>
      </c>
      <c r="Z54" s="31" t="s">
        <v>36</v>
      </c>
      <c r="AA54" s="31" t="s">
        <v>36</v>
      </c>
      <c r="AB54" s="31"/>
      <c r="AC54" s="31" t="s">
        <v>36</v>
      </c>
      <c r="AD54" s="31" t="s">
        <v>36</v>
      </c>
      <c r="AE54" s="31" t="s">
        <v>36</v>
      </c>
      <c r="AF54" s="31" t="s">
        <v>36</v>
      </c>
      <c r="AG54" s="31" t="s">
        <v>36</v>
      </c>
      <c r="AH54" s="31" t="s">
        <v>36</v>
      </c>
      <c r="AI54" s="31"/>
      <c r="AJ54" s="31" t="s">
        <v>36</v>
      </c>
      <c r="AK54" s="31" t="s">
        <v>36</v>
      </c>
      <c r="AL54" s="31" t="s">
        <v>36</v>
      </c>
      <c r="AM54" s="22">
        <f t="shared" si="9"/>
        <v>15</v>
      </c>
    </row>
    <row r="55" spans="1:39" hidden="1" x14ac:dyDescent="0.25">
      <c r="A55" s="20" t="s">
        <v>55</v>
      </c>
      <c r="B55" s="38" t="s">
        <v>173</v>
      </c>
      <c r="C55" s="20" t="s">
        <v>174</v>
      </c>
      <c r="D55" s="20" t="s">
        <v>16</v>
      </c>
      <c r="E55" s="20" t="s">
        <v>16</v>
      </c>
      <c r="F55" s="20" t="s">
        <v>170</v>
      </c>
      <c r="G55" s="39"/>
      <c r="H55" s="40"/>
      <c r="I55" s="31" t="s">
        <v>147</v>
      </c>
      <c r="J55" s="33"/>
      <c r="K55" s="31"/>
      <c r="L55" s="31" t="s">
        <v>147</v>
      </c>
      <c r="M55" s="31" t="s">
        <v>147</v>
      </c>
      <c r="N55" s="31"/>
      <c r="O55" s="29" t="s">
        <v>147</v>
      </c>
      <c r="P55" s="29" t="s">
        <v>147</v>
      </c>
      <c r="Q55" s="31" t="s">
        <v>147</v>
      </c>
      <c r="R55" s="31" t="s">
        <v>147</v>
      </c>
      <c r="S55" s="31" t="s">
        <v>147</v>
      </c>
      <c r="T55" s="31" t="s">
        <v>147</v>
      </c>
      <c r="U55" s="31"/>
      <c r="V55" s="22" t="s">
        <v>147</v>
      </c>
      <c r="W55" s="31" t="s">
        <v>147</v>
      </c>
      <c r="X55" s="31" t="s">
        <v>147</v>
      </c>
      <c r="Y55" s="31" t="s">
        <v>147</v>
      </c>
      <c r="Z55" s="31" t="s">
        <v>147</v>
      </c>
      <c r="AA55" s="31" t="s">
        <v>147</v>
      </c>
      <c r="AB55" s="31"/>
      <c r="AC55" s="22" t="s">
        <v>147</v>
      </c>
      <c r="AD55" s="31" t="s">
        <v>147</v>
      </c>
      <c r="AE55" s="31" t="s">
        <v>147</v>
      </c>
      <c r="AF55" s="31" t="s">
        <v>36</v>
      </c>
      <c r="AG55" s="31" t="s">
        <v>147</v>
      </c>
      <c r="AH55" s="31" t="s">
        <v>147</v>
      </c>
      <c r="AJ55" s="31" t="s">
        <v>147</v>
      </c>
      <c r="AK55" s="31" t="s">
        <v>36</v>
      </c>
      <c r="AL55" s="31" t="s">
        <v>147</v>
      </c>
      <c r="AM55" s="22">
        <f t="shared" si="9"/>
        <v>2</v>
      </c>
    </row>
    <row r="56" spans="1:39" hidden="1" x14ac:dyDescent="0.25">
      <c r="A56" s="20" t="s">
        <v>55</v>
      </c>
      <c r="B56" s="38" t="s">
        <v>175</v>
      </c>
      <c r="C56" s="20" t="s">
        <v>176</v>
      </c>
      <c r="D56" s="20" t="s">
        <v>16</v>
      </c>
      <c r="E56" s="20" t="s">
        <v>16</v>
      </c>
      <c r="F56" s="20" t="s">
        <v>170</v>
      </c>
      <c r="G56" s="39"/>
      <c r="H56" s="40"/>
      <c r="I56" s="31" t="s">
        <v>36</v>
      </c>
      <c r="J56" s="31"/>
      <c r="K56" s="31"/>
      <c r="L56" s="31" t="s">
        <v>36</v>
      </c>
      <c r="M56" s="31" t="s">
        <v>36</v>
      </c>
      <c r="N56" s="31"/>
      <c r="O56" s="31" t="s">
        <v>36</v>
      </c>
      <c r="P56" s="31" t="s">
        <v>36</v>
      </c>
      <c r="Q56" s="31" t="s">
        <v>36</v>
      </c>
      <c r="R56" s="31" t="s">
        <v>36</v>
      </c>
      <c r="S56" s="31" t="s">
        <v>36</v>
      </c>
      <c r="T56" s="31" t="s">
        <v>36</v>
      </c>
      <c r="U56" s="31"/>
      <c r="V56" s="31" t="s">
        <v>36</v>
      </c>
      <c r="W56" s="31" t="s">
        <v>36</v>
      </c>
      <c r="X56" s="31" t="s">
        <v>36</v>
      </c>
      <c r="Y56" s="31" t="s">
        <v>36</v>
      </c>
      <c r="Z56" s="31" t="s">
        <v>36</v>
      </c>
      <c r="AA56" s="31" t="s">
        <v>36</v>
      </c>
      <c r="AB56" s="31"/>
      <c r="AC56" s="31" t="s">
        <v>36</v>
      </c>
      <c r="AD56" s="31" t="s">
        <v>36</v>
      </c>
      <c r="AE56" s="31" t="s">
        <v>36</v>
      </c>
      <c r="AF56" s="31" t="s">
        <v>36</v>
      </c>
      <c r="AG56" s="31" t="s">
        <v>36</v>
      </c>
      <c r="AH56" s="31" t="s">
        <v>36</v>
      </c>
      <c r="AI56" s="31"/>
      <c r="AJ56" s="31" t="s">
        <v>36</v>
      </c>
      <c r="AK56" s="31" t="s">
        <v>36</v>
      </c>
      <c r="AL56" s="31" t="s">
        <v>36</v>
      </c>
      <c r="AM56" s="22">
        <f t="shared" si="9"/>
        <v>24</v>
      </c>
    </row>
    <row r="57" spans="1:39" hidden="1" x14ac:dyDescent="0.25">
      <c r="A57" s="20" t="s">
        <v>55</v>
      </c>
      <c r="B57" s="38" t="s">
        <v>177</v>
      </c>
      <c r="C57" s="20" t="s">
        <v>178</v>
      </c>
      <c r="D57" s="20" t="s">
        <v>16</v>
      </c>
      <c r="E57" s="20" t="s">
        <v>16</v>
      </c>
      <c r="F57" s="20" t="s">
        <v>170</v>
      </c>
      <c r="G57" s="39"/>
      <c r="H57" s="40"/>
      <c r="I57" s="31" t="s">
        <v>36</v>
      </c>
      <c r="J57" s="33"/>
      <c r="L57" s="31" t="s">
        <v>36</v>
      </c>
      <c r="M57" s="31" t="s">
        <v>36</v>
      </c>
      <c r="O57" s="31" t="s">
        <v>36</v>
      </c>
      <c r="P57" s="31" t="s">
        <v>36</v>
      </c>
      <c r="Q57" s="31" t="s">
        <v>36</v>
      </c>
      <c r="R57" s="31" t="s">
        <v>36</v>
      </c>
      <c r="S57" s="31" t="s">
        <v>36</v>
      </c>
      <c r="T57" s="31" t="s">
        <v>36</v>
      </c>
      <c r="U57" s="22"/>
      <c r="V57" s="31" t="s">
        <v>36</v>
      </c>
      <c r="W57" s="31" t="s">
        <v>36</v>
      </c>
      <c r="X57" s="31" t="s">
        <v>36</v>
      </c>
      <c r="Y57" s="31" t="s">
        <v>36</v>
      </c>
      <c r="Z57" s="31" t="s">
        <v>36</v>
      </c>
      <c r="AA57" s="31"/>
      <c r="AB57" s="31"/>
      <c r="AC57" s="31" t="s">
        <v>36</v>
      </c>
      <c r="AD57" s="31" t="s">
        <v>36</v>
      </c>
      <c r="AE57" s="31" t="s">
        <v>36</v>
      </c>
      <c r="AF57" s="31" t="s">
        <v>36</v>
      </c>
      <c r="AG57" s="31" t="s">
        <v>36</v>
      </c>
      <c r="AH57" s="31" t="s">
        <v>36</v>
      </c>
      <c r="AI57" s="31"/>
      <c r="AJ57" s="31" t="s">
        <v>36</v>
      </c>
      <c r="AK57" s="31" t="s">
        <v>36</v>
      </c>
      <c r="AL57" s="31" t="s">
        <v>36</v>
      </c>
      <c r="AM57" s="22">
        <f t="shared" si="9"/>
        <v>23</v>
      </c>
    </row>
    <row r="58" spans="1:39" hidden="1" x14ac:dyDescent="0.25">
      <c r="A58" s="20" t="s">
        <v>55</v>
      </c>
      <c r="B58" s="38" t="s">
        <v>179</v>
      </c>
      <c r="C58" s="20" t="s">
        <v>180</v>
      </c>
      <c r="D58" s="20" t="s">
        <v>16</v>
      </c>
      <c r="E58" s="20" t="s">
        <v>16</v>
      </c>
      <c r="F58" s="20" t="s">
        <v>170</v>
      </c>
      <c r="G58" s="39"/>
      <c r="H58" s="40"/>
      <c r="I58" s="31" t="s">
        <v>36</v>
      </c>
      <c r="J58" s="31"/>
      <c r="K58" s="31"/>
      <c r="L58" s="31" t="s">
        <v>36</v>
      </c>
      <c r="M58" s="31" t="s">
        <v>36</v>
      </c>
      <c r="N58" s="31"/>
      <c r="O58" s="31" t="s">
        <v>36</v>
      </c>
      <c r="P58" s="31" t="s">
        <v>36</v>
      </c>
      <c r="Q58" s="31" t="s">
        <v>36</v>
      </c>
      <c r="R58" s="31" t="s">
        <v>36</v>
      </c>
      <c r="S58" s="31" t="s">
        <v>36</v>
      </c>
      <c r="T58" s="31" t="s">
        <v>36</v>
      </c>
      <c r="U58" s="31"/>
      <c r="V58" s="31" t="s">
        <v>36</v>
      </c>
      <c r="W58" s="31" t="s">
        <v>36</v>
      </c>
      <c r="X58" s="31" t="s">
        <v>36</v>
      </c>
      <c r="Y58" s="31" t="s">
        <v>36</v>
      </c>
      <c r="Z58" s="31" t="s">
        <v>36</v>
      </c>
      <c r="AA58" s="31" t="s">
        <v>36</v>
      </c>
      <c r="AB58" s="31"/>
      <c r="AC58" s="31" t="s">
        <v>36</v>
      </c>
      <c r="AD58" s="31" t="s">
        <v>36</v>
      </c>
      <c r="AE58" s="31" t="s">
        <v>36</v>
      </c>
      <c r="AF58" s="31" t="s">
        <v>36</v>
      </c>
      <c r="AG58" s="31" t="s">
        <v>36</v>
      </c>
      <c r="AH58" s="31" t="s">
        <v>36</v>
      </c>
      <c r="AI58" s="31"/>
      <c r="AJ58" s="31" t="s">
        <v>36</v>
      </c>
      <c r="AK58" s="31" t="s">
        <v>36</v>
      </c>
      <c r="AL58" s="31" t="s">
        <v>36</v>
      </c>
      <c r="AM58" s="22">
        <f t="shared" si="9"/>
        <v>24</v>
      </c>
    </row>
    <row r="59" spans="1:39" hidden="1" x14ac:dyDescent="0.25">
      <c r="A59" s="20" t="s">
        <v>55</v>
      </c>
      <c r="B59" s="38" t="s">
        <v>181</v>
      </c>
      <c r="C59" s="20" t="s">
        <v>182</v>
      </c>
      <c r="D59" s="20" t="s">
        <v>16</v>
      </c>
      <c r="E59" s="20" t="s">
        <v>16</v>
      </c>
      <c r="F59" s="20" t="s">
        <v>170</v>
      </c>
      <c r="G59" s="39"/>
      <c r="H59" s="40"/>
      <c r="I59" s="31" t="s">
        <v>36</v>
      </c>
      <c r="J59" s="31"/>
      <c r="K59" s="31"/>
      <c r="L59" s="31" t="s">
        <v>36</v>
      </c>
      <c r="M59" s="31" t="s">
        <v>36</v>
      </c>
      <c r="N59" s="31"/>
      <c r="O59" s="31" t="s">
        <v>36</v>
      </c>
      <c r="P59" s="31" t="s">
        <v>36</v>
      </c>
      <c r="Q59" s="31" t="s">
        <v>36</v>
      </c>
      <c r="R59" s="31" t="s">
        <v>36</v>
      </c>
      <c r="S59" s="31" t="s">
        <v>36</v>
      </c>
      <c r="T59" s="31" t="s">
        <v>36</v>
      </c>
      <c r="U59" s="31"/>
      <c r="V59" s="31" t="s">
        <v>36</v>
      </c>
      <c r="W59" s="31" t="s">
        <v>36</v>
      </c>
      <c r="X59" s="31" t="s">
        <v>36</v>
      </c>
      <c r="Y59" s="31" t="s">
        <v>36</v>
      </c>
      <c r="Z59" s="31" t="s">
        <v>36</v>
      </c>
      <c r="AA59" s="31" t="s">
        <v>36</v>
      </c>
      <c r="AB59" s="31"/>
      <c r="AC59" s="31" t="s">
        <v>36</v>
      </c>
      <c r="AD59" s="31" t="s">
        <v>36</v>
      </c>
      <c r="AE59" s="31" t="s">
        <v>36</v>
      </c>
      <c r="AF59" s="31" t="s">
        <v>36</v>
      </c>
      <c r="AG59" s="31" t="s">
        <v>36</v>
      </c>
      <c r="AH59" s="31" t="s">
        <v>36</v>
      </c>
      <c r="AI59" s="31"/>
      <c r="AJ59" s="31" t="s">
        <v>36</v>
      </c>
      <c r="AK59" s="31" t="s">
        <v>36</v>
      </c>
      <c r="AL59" s="31" t="s">
        <v>36</v>
      </c>
      <c r="AM59" s="22">
        <f t="shared" si="9"/>
        <v>24</v>
      </c>
    </row>
    <row r="60" spans="1:39" hidden="1" x14ac:dyDescent="0.25">
      <c r="A60" s="20" t="s">
        <v>55</v>
      </c>
      <c r="B60" s="38" t="s">
        <v>183</v>
      </c>
      <c r="C60" s="20" t="s">
        <v>184</v>
      </c>
      <c r="D60" s="20" t="s">
        <v>16</v>
      </c>
      <c r="E60" s="20" t="s">
        <v>16</v>
      </c>
      <c r="F60" s="20" t="s">
        <v>170</v>
      </c>
      <c r="G60" s="39"/>
      <c r="H60" s="40"/>
      <c r="I60" s="31" t="s">
        <v>36</v>
      </c>
      <c r="J60" s="31"/>
      <c r="K60" s="31"/>
      <c r="L60" s="31" t="s">
        <v>36</v>
      </c>
      <c r="M60" s="31" t="s">
        <v>36</v>
      </c>
      <c r="N60" s="31"/>
      <c r="O60" s="31" t="s">
        <v>36</v>
      </c>
      <c r="P60" s="31" t="s">
        <v>36</v>
      </c>
      <c r="Q60" s="31" t="s">
        <v>36</v>
      </c>
      <c r="R60" s="31" t="s">
        <v>36</v>
      </c>
      <c r="S60" s="31" t="s">
        <v>36</v>
      </c>
      <c r="T60" s="31" t="s">
        <v>36</v>
      </c>
      <c r="U60" s="31"/>
      <c r="V60" s="31" t="s">
        <v>36</v>
      </c>
      <c r="W60" s="31" t="s">
        <v>36</v>
      </c>
      <c r="X60" s="31" t="s">
        <v>36</v>
      </c>
      <c r="Y60" s="31" t="s">
        <v>36</v>
      </c>
      <c r="Z60" s="31" t="s">
        <v>36</v>
      </c>
      <c r="AA60" s="31" t="s">
        <v>36</v>
      </c>
      <c r="AB60" s="31"/>
      <c r="AC60" s="31" t="s">
        <v>36</v>
      </c>
      <c r="AD60" s="31" t="s">
        <v>36</v>
      </c>
      <c r="AE60" s="31" t="s">
        <v>36</v>
      </c>
      <c r="AF60" s="31" t="s">
        <v>36</v>
      </c>
      <c r="AG60" s="31" t="s">
        <v>36</v>
      </c>
      <c r="AH60" s="31" t="s">
        <v>36</v>
      </c>
      <c r="AI60" s="31"/>
      <c r="AJ60" s="31" t="s">
        <v>36</v>
      </c>
      <c r="AK60" s="31" t="s">
        <v>36</v>
      </c>
      <c r="AL60" s="31" t="s">
        <v>36</v>
      </c>
      <c r="AM60" s="22">
        <f t="shared" si="9"/>
        <v>24</v>
      </c>
    </row>
    <row r="61" spans="1:39" x14ac:dyDescent="0.25">
      <c r="A61" s="20" t="s">
        <v>55</v>
      </c>
      <c r="B61" s="38" t="s">
        <v>185</v>
      </c>
      <c r="C61" s="20" t="s">
        <v>186</v>
      </c>
      <c r="D61" s="20" t="s">
        <v>16</v>
      </c>
      <c r="E61" s="20" t="s">
        <v>16</v>
      </c>
      <c r="F61" s="20" t="s">
        <v>170</v>
      </c>
      <c r="G61" s="39"/>
      <c r="H61" s="40"/>
      <c r="I61" s="31" t="s">
        <v>36</v>
      </c>
      <c r="J61" s="31"/>
      <c r="K61" s="31"/>
      <c r="L61" s="31" t="s">
        <v>36</v>
      </c>
      <c r="M61" s="31" t="s">
        <v>36</v>
      </c>
      <c r="N61" s="31"/>
      <c r="O61" s="31" t="s">
        <v>36</v>
      </c>
      <c r="P61" s="31" t="s">
        <v>36</v>
      </c>
      <c r="Q61" s="31" t="s">
        <v>36</v>
      </c>
      <c r="R61" s="31" t="s">
        <v>36</v>
      </c>
      <c r="S61" s="31" t="s">
        <v>36</v>
      </c>
      <c r="T61" s="31" t="s">
        <v>36</v>
      </c>
      <c r="U61" s="31"/>
      <c r="V61" s="31" t="s">
        <v>36</v>
      </c>
      <c r="W61" s="31" t="s">
        <v>36</v>
      </c>
      <c r="X61" s="31" t="s">
        <v>36</v>
      </c>
      <c r="Y61" s="31" t="s">
        <v>36</v>
      </c>
      <c r="Z61" s="31" t="s">
        <v>36</v>
      </c>
      <c r="AA61" s="31" t="s">
        <v>36</v>
      </c>
      <c r="AB61" s="31"/>
      <c r="AC61" s="31" t="s">
        <v>36</v>
      </c>
      <c r="AD61" s="31" t="s">
        <v>36</v>
      </c>
      <c r="AE61" s="31" t="s">
        <v>36</v>
      </c>
      <c r="AF61" s="31" t="s">
        <v>36</v>
      </c>
      <c r="AG61" s="31" t="s">
        <v>36</v>
      </c>
      <c r="AH61" s="31" t="s">
        <v>36</v>
      </c>
      <c r="AI61" s="31" t="s">
        <v>36</v>
      </c>
      <c r="AJ61" s="31" t="s">
        <v>36</v>
      </c>
      <c r="AK61" s="31" t="s">
        <v>36</v>
      </c>
      <c r="AL61" s="31" t="s">
        <v>36</v>
      </c>
      <c r="AM61" s="22">
        <f t="shared" si="9"/>
        <v>25</v>
      </c>
    </row>
    <row r="62" spans="1:39" hidden="1" x14ac:dyDescent="0.25">
      <c r="A62" s="20" t="s">
        <v>55</v>
      </c>
      <c r="B62" s="38" t="s">
        <v>187</v>
      </c>
      <c r="C62" s="20" t="s">
        <v>188</v>
      </c>
      <c r="D62" s="20" t="s">
        <v>16</v>
      </c>
      <c r="E62" s="20" t="s">
        <v>16</v>
      </c>
      <c r="F62" s="20" t="s">
        <v>170</v>
      </c>
      <c r="G62" s="39"/>
      <c r="H62" s="40"/>
      <c r="I62" s="31" t="s">
        <v>36</v>
      </c>
      <c r="J62" s="31"/>
      <c r="K62" s="31"/>
      <c r="L62" s="31" t="s">
        <v>36</v>
      </c>
      <c r="M62" s="31" t="s">
        <v>36</v>
      </c>
      <c r="N62" s="31"/>
      <c r="O62" s="31" t="s">
        <v>36</v>
      </c>
      <c r="P62" s="31" t="s">
        <v>36</v>
      </c>
      <c r="Q62" s="31" t="s">
        <v>36</v>
      </c>
      <c r="R62" s="31" t="s">
        <v>36</v>
      </c>
      <c r="S62" s="31" t="s">
        <v>36</v>
      </c>
      <c r="T62" s="31" t="s">
        <v>36</v>
      </c>
      <c r="U62" s="31"/>
      <c r="V62" s="31" t="s">
        <v>36</v>
      </c>
      <c r="W62" s="31" t="s">
        <v>36</v>
      </c>
      <c r="X62" s="31" t="s">
        <v>36</v>
      </c>
      <c r="Y62" s="31" t="s">
        <v>36</v>
      </c>
      <c r="Z62" s="31" t="s">
        <v>36</v>
      </c>
      <c r="AA62" s="31" t="s">
        <v>36</v>
      </c>
      <c r="AB62" s="31"/>
      <c r="AC62" s="31" t="s">
        <v>36</v>
      </c>
      <c r="AD62" s="31" t="s">
        <v>36</v>
      </c>
      <c r="AE62" s="31" t="s">
        <v>36</v>
      </c>
      <c r="AF62" s="31" t="s">
        <v>36</v>
      </c>
      <c r="AG62" s="31" t="s">
        <v>36</v>
      </c>
      <c r="AH62" s="31" t="s">
        <v>36</v>
      </c>
      <c r="AI62" s="31"/>
      <c r="AJ62" s="31" t="s">
        <v>36</v>
      </c>
      <c r="AK62" s="31" t="s">
        <v>36</v>
      </c>
      <c r="AL62" s="31" t="s">
        <v>36</v>
      </c>
      <c r="AM62" s="22">
        <f t="shared" si="9"/>
        <v>24</v>
      </c>
    </row>
    <row r="63" spans="1:39" hidden="1" x14ac:dyDescent="0.25">
      <c r="A63" s="20" t="s">
        <v>55</v>
      </c>
      <c r="B63" s="38" t="s">
        <v>189</v>
      </c>
      <c r="C63" s="20" t="s">
        <v>190</v>
      </c>
      <c r="D63" s="20" t="s">
        <v>4</v>
      </c>
      <c r="E63" s="20" t="s">
        <v>7</v>
      </c>
      <c r="F63" s="20" t="s">
        <v>63</v>
      </c>
      <c r="G63" s="39"/>
      <c r="H63" s="40"/>
      <c r="I63" s="33" t="s">
        <v>38</v>
      </c>
      <c r="J63" s="33"/>
      <c r="K63" s="33"/>
      <c r="L63" s="33" t="s">
        <v>38</v>
      </c>
      <c r="M63" s="33" t="s">
        <v>38</v>
      </c>
      <c r="O63" s="33" t="s">
        <v>38</v>
      </c>
      <c r="P63" s="33" t="s">
        <v>38</v>
      </c>
      <c r="Q63" s="33" t="s">
        <v>38</v>
      </c>
      <c r="R63" s="33" t="s">
        <v>38</v>
      </c>
      <c r="S63" s="33" t="s">
        <v>38</v>
      </c>
      <c r="T63" s="33" t="s">
        <v>38</v>
      </c>
      <c r="U63" s="33"/>
      <c r="V63" s="22"/>
      <c r="W63" s="33" t="s">
        <v>38</v>
      </c>
      <c r="X63" s="33" t="s">
        <v>38</v>
      </c>
      <c r="Y63" s="33" t="s">
        <v>38</v>
      </c>
      <c r="Z63" s="33" t="s">
        <v>38</v>
      </c>
      <c r="AA63" s="33" t="s">
        <v>38</v>
      </c>
      <c r="AB63" s="33"/>
      <c r="AC63" s="33" t="s">
        <v>38</v>
      </c>
      <c r="AD63" s="33" t="s">
        <v>38</v>
      </c>
      <c r="AE63" s="33" t="s">
        <v>38</v>
      </c>
      <c r="AF63" s="33" t="s">
        <v>38</v>
      </c>
      <c r="AG63" s="33" t="s">
        <v>38</v>
      </c>
      <c r="AH63" s="33" t="s">
        <v>38</v>
      </c>
      <c r="AI63" s="33"/>
      <c r="AJ63" s="33" t="s">
        <v>38</v>
      </c>
      <c r="AK63" s="33" t="s">
        <v>38</v>
      </c>
      <c r="AL63" s="33" t="s">
        <v>38</v>
      </c>
      <c r="AM63" s="22">
        <f t="shared" si="9"/>
        <v>23</v>
      </c>
    </row>
    <row r="64" spans="1:39" hidden="1" x14ac:dyDescent="0.25">
      <c r="A64" s="20" t="s">
        <v>55</v>
      </c>
      <c r="B64" s="38" t="s">
        <v>191</v>
      </c>
      <c r="C64" s="20" t="s">
        <v>192</v>
      </c>
      <c r="D64" s="20" t="s">
        <v>14</v>
      </c>
      <c r="E64" s="20" t="s">
        <v>14</v>
      </c>
      <c r="F64" s="20" t="s">
        <v>58</v>
      </c>
      <c r="G64" s="39"/>
      <c r="H64" s="40"/>
      <c r="I64" s="22" t="s">
        <v>42</v>
      </c>
      <c r="L64" s="22" t="s">
        <v>42</v>
      </c>
      <c r="M64" s="22" t="s">
        <v>42</v>
      </c>
      <c r="R64" s="22"/>
      <c r="S64" s="22"/>
      <c r="T64" s="22"/>
      <c r="U64" s="22"/>
      <c r="V64" s="22" t="s">
        <v>42</v>
      </c>
      <c r="W64" s="22" t="s">
        <v>42</v>
      </c>
      <c r="X64" s="22"/>
      <c r="Y64" s="22" t="s">
        <v>42</v>
      </c>
      <c r="Z64" s="22"/>
      <c r="AA64" s="22" t="s">
        <v>42</v>
      </c>
      <c r="AB64" s="22"/>
      <c r="AC64" s="22" t="s">
        <v>42</v>
      </c>
      <c r="AD64" s="22" t="s">
        <v>42</v>
      </c>
      <c r="AE64" s="22" t="s">
        <v>42</v>
      </c>
      <c r="AF64" s="22"/>
      <c r="AG64" s="22" t="s">
        <v>42</v>
      </c>
      <c r="AH64" s="22" t="s">
        <v>42</v>
      </c>
      <c r="AL64" s="22" t="s">
        <v>42</v>
      </c>
      <c r="AM64" s="22">
        <f t="shared" si="9"/>
        <v>13</v>
      </c>
    </row>
    <row r="65" spans="1:39" hidden="1" x14ac:dyDescent="0.25">
      <c r="A65" s="20" t="s">
        <v>55</v>
      </c>
      <c r="B65" s="38" t="s">
        <v>193</v>
      </c>
      <c r="C65" s="20" t="s">
        <v>194</v>
      </c>
      <c r="D65" s="20" t="s">
        <v>14</v>
      </c>
      <c r="E65" s="20" t="s">
        <v>14</v>
      </c>
      <c r="F65" s="20" t="s">
        <v>58</v>
      </c>
      <c r="G65" s="39"/>
      <c r="H65" s="40"/>
      <c r="I65" s="22" t="s">
        <v>42</v>
      </c>
      <c r="L65" s="22" t="s">
        <v>42</v>
      </c>
      <c r="M65" s="22" t="s">
        <v>42</v>
      </c>
      <c r="P65" s="22" t="s">
        <v>42</v>
      </c>
      <c r="Q65" s="22" t="s">
        <v>42</v>
      </c>
      <c r="R65" s="22" t="s">
        <v>42</v>
      </c>
      <c r="S65" s="22" t="s">
        <v>42</v>
      </c>
      <c r="T65" s="22" t="s">
        <v>42</v>
      </c>
      <c r="U65" s="22"/>
      <c r="V65" s="22" t="s">
        <v>42</v>
      </c>
      <c r="W65" s="22" t="s">
        <v>42</v>
      </c>
      <c r="X65" s="22" t="s">
        <v>42</v>
      </c>
      <c r="Y65" s="22" t="s">
        <v>42</v>
      </c>
      <c r="Z65" s="22" t="s">
        <v>42</v>
      </c>
      <c r="AA65" s="22" t="s">
        <v>42</v>
      </c>
      <c r="AB65" s="22"/>
      <c r="AC65" s="22"/>
      <c r="AD65" s="22" t="s">
        <v>42</v>
      </c>
      <c r="AE65" s="22"/>
      <c r="AF65" s="22"/>
      <c r="AG65" s="22" t="s">
        <v>42</v>
      </c>
      <c r="AH65" s="22" t="s">
        <v>42</v>
      </c>
      <c r="AK65" s="22" t="s">
        <v>42</v>
      </c>
      <c r="AL65" s="22" t="s">
        <v>42</v>
      </c>
      <c r="AM65" s="22">
        <f t="shared" si="9"/>
        <v>19</v>
      </c>
    </row>
    <row r="66" spans="1:39" hidden="1" x14ac:dyDescent="0.25">
      <c r="A66" s="20" t="s">
        <v>55</v>
      </c>
      <c r="B66" s="38" t="s">
        <v>195</v>
      </c>
      <c r="C66" s="20" t="s">
        <v>196</v>
      </c>
      <c r="D66" s="20" t="s">
        <v>8</v>
      </c>
      <c r="E66" s="20" t="s">
        <v>8</v>
      </c>
      <c r="F66" s="20" t="s">
        <v>58</v>
      </c>
      <c r="G66" s="39"/>
      <c r="H66" s="40"/>
      <c r="I66" s="22" t="s">
        <v>42</v>
      </c>
      <c r="L66" s="22" t="s">
        <v>42</v>
      </c>
      <c r="M66" s="22" t="s">
        <v>42</v>
      </c>
      <c r="O66" s="22" t="s">
        <v>42</v>
      </c>
      <c r="P66" s="22" t="s">
        <v>42</v>
      </c>
      <c r="Q66" s="22" t="s">
        <v>42</v>
      </c>
      <c r="R66" s="22" t="s">
        <v>42</v>
      </c>
      <c r="S66" s="22" t="s">
        <v>42</v>
      </c>
      <c r="T66" s="22" t="s">
        <v>42</v>
      </c>
      <c r="U66" s="22"/>
      <c r="V66" s="22" t="s">
        <v>42</v>
      </c>
      <c r="W66" s="22" t="s">
        <v>42</v>
      </c>
      <c r="X66" s="22" t="s">
        <v>42</v>
      </c>
      <c r="Y66" s="22" t="s">
        <v>42</v>
      </c>
      <c r="Z66" s="22" t="s">
        <v>42</v>
      </c>
      <c r="AA66" s="22" t="s">
        <v>42</v>
      </c>
      <c r="AB66" s="22"/>
      <c r="AC66" s="22" t="s">
        <v>42</v>
      </c>
      <c r="AD66" s="22" t="s">
        <v>42</v>
      </c>
      <c r="AE66" s="22" t="s">
        <v>42</v>
      </c>
      <c r="AF66" s="22"/>
      <c r="AG66" s="22" t="s">
        <v>42</v>
      </c>
      <c r="AH66" s="22" t="s">
        <v>42</v>
      </c>
      <c r="AJ66" s="22" t="s">
        <v>42</v>
      </c>
      <c r="AK66" s="22" t="s">
        <v>42</v>
      </c>
      <c r="AL66" s="22" t="s">
        <v>42</v>
      </c>
      <c r="AM66" s="22">
        <f t="shared" si="9"/>
        <v>23</v>
      </c>
    </row>
    <row r="67" spans="1:39" hidden="1" x14ac:dyDescent="0.25">
      <c r="A67" s="20" t="s">
        <v>55</v>
      </c>
      <c r="B67" s="38" t="s">
        <v>197</v>
      </c>
      <c r="C67" s="20" t="s">
        <v>198</v>
      </c>
      <c r="D67" s="20" t="s">
        <v>29</v>
      </c>
      <c r="E67" s="20" t="s">
        <v>29</v>
      </c>
      <c r="F67" s="20" t="s">
        <v>58</v>
      </c>
      <c r="G67" s="39"/>
      <c r="H67" s="40"/>
      <c r="I67" s="22" t="s">
        <v>42</v>
      </c>
      <c r="L67" s="22" t="s">
        <v>42</v>
      </c>
      <c r="M67" s="22" t="s">
        <v>42</v>
      </c>
      <c r="O67" s="22" t="s">
        <v>42</v>
      </c>
      <c r="P67" s="22" t="s">
        <v>42</v>
      </c>
      <c r="Q67" s="22" t="s">
        <v>42</v>
      </c>
      <c r="R67" s="22" t="s">
        <v>42</v>
      </c>
      <c r="S67" s="22" t="s">
        <v>42</v>
      </c>
      <c r="T67" s="22" t="s">
        <v>42</v>
      </c>
      <c r="U67" s="22"/>
      <c r="V67" s="22" t="s">
        <v>42</v>
      </c>
      <c r="W67" s="22" t="s">
        <v>42</v>
      </c>
      <c r="X67" s="22" t="s">
        <v>42</v>
      </c>
      <c r="Y67" s="22" t="s">
        <v>42</v>
      </c>
      <c r="Z67" s="22" t="s">
        <v>42</v>
      </c>
      <c r="AA67" s="22" t="s">
        <v>42</v>
      </c>
      <c r="AB67" s="22"/>
      <c r="AC67" s="22" t="s">
        <v>42</v>
      </c>
      <c r="AD67" s="22" t="s">
        <v>42</v>
      </c>
      <c r="AE67" s="22" t="s">
        <v>42</v>
      </c>
      <c r="AF67" s="22"/>
      <c r="AG67" s="22" t="s">
        <v>42</v>
      </c>
      <c r="AH67" s="22" t="s">
        <v>42</v>
      </c>
      <c r="AJ67" s="22" t="s">
        <v>42</v>
      </c>
      <c r="AK67" s="22" t="s">
        <v>42</v>
      </c>
      <c r="AL67" s="22" t="s">
        <v>42</v>
      </c>
      <c r="AM67" s="22">
        <f t="shared" si="9"/>
        <v>23</v>
      </c>
    </row>
    <row r="68" spans="1:39" hidden="1" x14ac:dyDescent="0.25">
      <c r="A68" s="20" t="s">
        <v>55</v>
      </c>
      <c r="B68" s="38" t="s">
        <v>199</v>
      </c>
      <c r="C68" s="20" t="s">
        <v>200</v>
      </c>
      <c r="D68" s="20" t="s">
        <v>22</v>
      </c>
      <c r="E68" s="20" t="s">
        <v>22</v>
      </c>
      <c r="F68" s="20" t="s">
        <v>58</v>
      </c>
      <c r="G68" s="39"/>
      <c r="H68" s="40"/>
      <c r="I68" s="22" t="s">
        <v>42</v>
      </c>
      <c r="L68" s="22" t="s">
        <v>42</v>
      </c>
      <c r="M68" s="22" t="s">
        <v>42</v>
      </c>
      <c r="O68" s="22" t="s">
        <v>42</v>
      </c>
      <c r="P68" s="22" t="s">
        <v>42</v>
      </c>
      <c r="Q68" s="22" t="s">
        <v>42</v>
      </c>
      <c r="R68" s="22" t="s">
        <v>42</v>
      </c>
      <c r="S68" s="22" t="s">
        <v>42</v>
      </c>
      <c r="T68" s="22" t="s">
        <v>42</v>
      </c>
      <c r="U68" s="22"/>
      <c r="V68" s="22" t="s">
        <v>42</v>
      </c>
      <c r="W68" s="22" t="s">
        <v>42</v>
      </c>
      <c r="X68" s="22" t="s">
        <v>42</v>
      </c>
      <c r="Y68" s="22" t="s">
        <v>42</v>
      </c>
      <c r="Z68" s="22" t="s">
        <v>42</v>
      </c>
      <c r="AA68" s="22" t="s">
        <v>42</v>
      </c>
      <c r="AB68" s="22"/>
      <c r="AC68" s="22" t="s">
        <v>42</v>
      </c>
      <c r="AD68" s="22" t="s">
        <v>42</v>
      </c>
      <c r="AE68" s="22" t="s">
        <v>42</v>
      </c>
      <c r="AF68" s="22"/>
      <c r="AG68" s="22" t="s">
        <v>42</v>
      </c>
      <c r="AH68" s="22" t="s">
        <v>42</v>
      </c>
      <c r="AJ68" s="22" t="s">
        <v>42</v>
      </c>
      <c r="AK68" s="22" t="s">
        <v>42</v>
      </c>
      <c r="AM68" s="22">
        <f t="shared" si="9"/>
        <v>22</v>
      </c>
    </row>
    <row r="69" spans="1:39" hidden="1" x14ac:dyDescent="0.25">
      <c r="A69" s="20" t="s">
        <v>55</v>
      </c>
      <c r="B69" s="38" t="s">
        <v>201</v>
      </c>
      <c r="C69" s="20" t="s">
        <v>202</v>
      </c>
      <c r="D69" s="20" t="s">
        <v>11</v>
      </c>
      <c r="E69" s="20" t="s">
        <v>11</v>
      </c>
      <c r="F69" s="20" t="s">
        <v>58</v>
      </c>
      <c r="G69" s="39"/>
      <c r="H69" s="40"/>
      <c r="I69" s="22" t="s">
        <v>42</v>
      </c>
      <c r="O69" s="22" t="s">
        <v>42</v>
      </c>
      <c r="R69" s="22"/>
      <c r="S69" s="22" t="s">
        <v>42</v>
      </c>
      <c r="T69" s="22" t="s">
        <v>42</v>
      </c>
      <c r="U69" s="22"/>
      <c r="V69" s="22" t="s">
        <v>42</v>
      </c>
      <c r="W69" s="22" t="s">
        <v>42</v>
      </c>
      <c r="X69" s="22" t="s">
        <v>42</v>
      </c>
      <c r="Y69" s="22" t="s">
        <v>42</v>
      </c>
      <c r="Z69" s="22" t="s">
        <v>42</v>
      </c>
      <c r="AA69" s="22" t="s">
        <v>42</v>
      </c>
      <c r="AB69" s="22"/>
      <c r="AC69" s="22" t="s">
        <v>42</v>
      </c>
      <c r="AD69" s="22" t="s">
        <v>42</v>
      </c>
      <c r="AE69" s="22" t="s">
        <v>42</v>
      </c>
      <c r="AF69" s="22"/>
      <c r="AG69" s="22" t="s">
        <v>42</v>
      </c>
      <c r="AH69" s="22" t="s">
        <v>42</v>
      </c>
      <c r="AJ69" s="22" t="s">
        <v>42</v>
      </c>
      <c r="AK69" s="22" t="s">
        <v>42</v>
      </c>
      <c r="AL69" s="22" t="s">
        <v>42</v>
      </c>
      <c r="AM69" s="22">
        <f t="shared" si="9"/>
        <v>18</v>
      </c>
    </row>
    <row r="70" spans="1:39" hidden="1" x14ac:dyDescent="0.25">
      <c r="A70" s="20" t="s">
        <v>55</v>
      </c>
      <c r="B70" s="38" t="s">
        <v>203</v>
      </c>
      <c r="C70" s="20" t="s">
        <v>204</v>
      </c>
      <c r="D70" s="20" t="s">
        <v>22</v>
      </c>
      <c r="E70" s="20" t="s">
        <v>22</v>
      </c>
      <c r="F70" s="20" t="s">
        <v>58</v>
      </c>
      <c r="G70" s="39"/>
      <c r="H70" s="40"/>
      <c r="I70" s="22" t="s">
        <v>42</v>
      </c>
      <c r="L70" s="22" t="s">
        <v>42</v>
      </c>
      <c r="M70" s="22" t="s">
        <v>42</v>
      </c>
      <c r="O70" s="22" t="s">
        <v>42</v>
      </c>
      <c r="P70" s="22" t="s">
        <v>42</v>
      </c>
      <c r="Q70" s="22" t="s">
        <v>42</v>
      </c>
      <c r="R70" s="22" t="s">
        <v>42</v>
      </c>
      <c r="S70" s="22" t="s">
        <v>42</v>
      </c>
      <c r="T70" s="22" t="s">
        <v>42</v>
      </c>
      <c r="U70" s="22"/>
      <c r="V70" s="22" t="s">
        <v>42</v>
      </c>
      <c r="W70" s="22" t="s">
        <v>42</v>
      </c>
      <c r="X70" s="22" t="s">
        <v>42</v>
      </c>
      <c r="Y70" s="22" t="s">
        <v>42</v>
      </c>
      <c r="Z70" s="22" t="s">
        <v>42</v>
      </c>
      <c r="AA70" s="22" t="s">
        <v>42</v>
      </c>
      <c r="AB70" s="22"/>
      <c r="AC70" s="22" t="s">
        <v>42</v>
      </c>
      <c r="AD70" s="22" t="s">
        <v>42</v>
      </c>
      <c r="AE70" s="22"/>
      <c r="AF70" s="22" t="s">
        <v>42</v>
      </c>
      <c r="AG70" s="22" t="s">
        <v>42</v>
      </c>
      <c r="AH70" s="22" t="s">
        <v>42</v>
      </c>
      <c r="AJ70" s="22" t="s">
        <v>42</v>
      </c>
      <c r="AK70" s="22" t="s">
        <v>42</v>
      </c>
      <c r="AL70" s="22" t="s">
        <v>42</v>
      </c>
      <c r="AM70" s="22">
        <f t="shared" si="9"/>
        <v>23</v>
      </c>
    </row>
    <row r="71" spans="1:39" hidden="1" x14ac:dyDescent="0.25">
      <c r="A71" s="20" t="s">
        <v>55</v>
      </c>
      <c r="B71" s="38" t="s">
        <v>205</v>
      </c>
      <c r="C71" s="20" t="s">
        <v>206</v>
      </c>
      <c r="D71" s="20" t="s">
        <v>16</v>
      </c>
      <c r="E71" s="20" t="s">
        <v>16</v>
      </c>
      <c r="F71" s="20" t="s">
        <v>170</v>
      </c>
      <c r="G71" s="39"/>
      <c r="H71" s="40"/>
      <c r="I71" s="31" t="s">
        <v>36</v>
      </c>
      <c r="J71" s="31"/>
      <c r="K71" s="31"/>
      <c r="L71" s="31" t="s">
        <v>36</v>
      </c>
      <c r="M71" s="31" t="s">
        <v>36</v>
      </c>
      <c r="N71" s="31" t="s">
        <v>36</v>
      </c>
      <c r="O71" s="31" t="s">
        <v>36</v>
      </c>
      <c r="P71" s="31" t="s">
        <v>36</v>
      </c>
      <c r="Q71" s="31" t="s">
        <v>36</v>
      </c>
      <c r="R71" s="31" t="s">
        <v>36</v>
      </c>
      <c r="S71" s="31" t="s">
        <v>36</v>
      </c>
      <c r="T71" s="31" t="s">
        <v>36</v>
      </c>
      <c r="U71" s="31"/>
      <c r="V71" s="31" t="s">
        <v>36</v>
      </c>
      <c r="W71" s="31" t="s">
        <v>36</v>
      </c>
      <c r="X71" s="31" t="s">
        <v>36</v>
      </c>
      <c r="Y71" s="31" t="s">
        <v>36</v>
      </c>
      <c r="Z71" s="31" t="s">
        <v>36</v>
      </c>
      <c r="AA71" s="31" t="s">
        <v>36</v>
      </c>
      <c r="AB71" s="31"/>
      <c r="AC71" s="31" t="s">
        <v>36</v>
      </c>
      <c r="AD71" s="31" t="s">
        <v>36</v>
      </c>
      <c r="AE71" s="31" t="s">
        <v>36</v>
      </c>
      <c r="AF71" s="31" t="s">
        <v>36</v>
      </c>
      <c r="AG71" s="31" t="s">
        <v>36</v>
      </c>
      <c r="AH71" s="31" t="s">
        <v>36</v>
      </c>
      <c r="AI71" s="31"/>
      <c r="AJ71" s="31" t="s">
        <v>36</v>
      </c>
      <c r="AK71" s="31" t="s">
        <v>36</v>
      </c>
      <c r="AL71" s="31" t="s">
        <v>36</v>
      </c>
      <c r="AM71" s="22">
        <f t="shared" si="9"/>
        <v>25</v>
      </c>
    </row>
    <row r="72" spans="1:39" hidden="1" x14ac:dyDescent="0.25">
      <c r="A72" s="20" t="s">
        <v>55</v>
      </c>
      <c r="B72" s="38" t="s">
        <v>207</v>
      </c>
      <c r="C72" s="20" t="s">
        <v>208</v>
      </c>
      <c r="D72" s="20" t="s">
        <v>28</v>
      </c>
      <c r="E72" s="20" t="s">
        <v>28</v>
      </c>
      <c r="F72" s="20" t="s">
        <v>58</v>
      </c>
      <c r="G72" s="39"/>
      <c r="H72" s="40"/>
      <c r="I72" s="22" t="s">
        <v>42</v>
      </c>
      <c r="L72" s="22" t="s">
        <v>42</v>
      </c>
      <c r="M72" s="22" t="s">
        <v>42</v>
      </c>
      <c r="O72" s="22" t="s">
        <v>42</v>
      </c>
      <c r="P72" s="22" t="s">
        <v>42</v>
      </c>
      <c r="Q72" s="22" t="s">
        <v>42</v>
      </c>
      <c r="R72" s="22" t="s">
        <v>42</v>
      </c>
      <c r="S72" s="22" t="s">
        <v>42</v>
      </c>
      <c r="T72" s="22" t="s">
        <v>42</v>
      </c>
      <c r="U72" s="22"/>
      <c r="V72" s="22" t="s">
        <v>42</v>
      </c>
      <c r="W72" s="22" t="s">
        <v>42</v>
      </c>
      <c r="X72" s="22" t="s">
        <v>42</v>
      </c>
      <c r="Y72" s="22" t="s">
        <v>42</v>
      </c>
      <c r="Z72" s="22" t="s">
        <v>42</v>
      </c>
      <c r="AA72" s="22" t="s">
        <v>42</v>
      </c>
      <c r="AB72" s="22"/>
      <c r="AC72" s="22" t="s">
        <v>42</v>
      </c>
      <c r="AD72" s="22" t="s">
        <v>42</v>
      </c>
      <c r="AE72" s="22" t="s">
        <v>42</v>
      </c>
      <c r="AF72" s="22" t="s">
        <v>42</v>
      </c>
      <c r="AG72" s="22" t="s">
        <v>42</v>
      </c>
      <c r="AH72" s="22" t="s">
        <v>42</v>
      </c>
      <c r="AJ72" s="22" t="s">
        <v>42</v>
      </c>
      <c r="AK72" s="22" t="s">
        <v>42</v>
      </c>
      <c r="AL72" s="22" t="s">
        <v>42</v>
      </c>
      <c r="AM72" s="22">
        <f t="shared" si="9"/>
        <v>24</v>
      </c>
    </row>
    <row r="73" spans="1:39" hidden="1" x14ac:dyDescent="0.25">
      <c r="A73" s="20" t="s">
        <v>55</v>
      </c>
      <c r="B73" s="38" t="s">
        <v>209</v>
      </c>
      <c r="C73" s="20" t="s">
        <v>210</v>
      </c>
      <c r="D73" s="20" t="s">
        <v>23</v>
      </c>
      <c r="E73" s="20" t="s">
        <v>23</v>
      </c>
      <c r="F73" s="20" t="s">
        <v>58</v>
      </c>
      <c r="G73" s="39"/>
      <c r="H73" s="40"/>
      <c r="I73" s="22" t="s">
        <v>42</v>
      </c>
      <c r="L73" s="22" t="s">
        <v>42</v>
      </c>
      <c r="M73" s="22" t="s">
        <v>42</v>
      </c>
      <c r="O73" s="22" t="s">
        <v>42</v>
      </c>
      <c r="Q73" s="22" t="s">
        <v>42</v>
      </c>
      <c r="R73" s="22" t="s">
        <v>42</v>
      </c>
      <c r="S73" s="22" t="s">
        <v>42</v>
      </c>
      <c r="T73" s="22" t="s">
        <v>42</v>
      </c>
      <c r="U73" s="22"/>
      <c r="V73" s="22" t="s">
        <v>42</v>
      </c>
      <c r="W73" s="22" t="s">
        <v>42</v>
      </c>
      <c r="X73" s="22" t="s">
        <v>42</v>
      </c>
      <c r="Y73" s="22"/>
      <c r="Z73" s="22"/>
      <c r="AA73" s="22"/>
      <c r="AB73" s="22"/>
      <c r="AC73" s="22"/>
      <c r="AD73" s="22"/>
      <c r="AE73" s="22"/>
      <c r="AF73" s="22"/>
      <c r="AG73" s="22"/>
      <c r="AH73" s="22"/>
      <c r="AM73" s="22">
        <f t="shared" si="9"/>
        <v>11</v>
      </c>
    </row>
    <row r="74" spans="1:39" hidden="1" x14ac:dyDescent="0.25">
      <c r="A74" s="20" t="s">
        <v>55</v>
      </c>
      <c r="B74" s="38" t="s">
        <v>211</v>
      </c>
      <c r="C74" s="20" t="s">
        <v>212</v>
      </c>
      <c r="D74" s="20" t="s">
        <v>29</v>
      </c>
      <c r="E74" s="20" t="s">
        <v>29</v>
      </c>
      <c r="F74" s="20" t="s">
        <v>58</v>
      </c>
      <c r="G74" s="39"/>
      <c r="H74" s="40"/>
      <c r="I74" s="22" t="s">
        <v>42</v>
      </c>
      <c r="L74" s="22" t="s">
        <v>42</v>
      </c>
      <c r="M74" s="22" t="s">
        <v>42</v>
      </c>
      <c r="O74" s="22" t="s">
        <v>42</v>
      </c>
      <c r="P74" s="22" t="s">
        <v>42</v>
      </c>
      <c r="Q74" s="22" t="s">
        <v>42</v>
      </c>
      <c r="R74" s="22" t="s">
        <v>42</v>
      </c>
      <c r="S74" s="22" t="s">
        <v>42</v>
      </c>
      <c r="T74" s="22" t="s">
        <v>42</v>
      </c>
      <c r="U74" s="22"/>
      <c r="V74" s="22" t="s">
        <v>42</v>
      </c>
      <c r="W74" s="22" t="s">
        <v>42</v>
      </c>
      <c r="X74" s="22" t="s">
        <v>42</v>
      </c>
      <c r="Y74" s="22" t="s">
        <v>42</v>
      </c>
      <c r="Z74" s="22" t="s">
        <v>42</v>
      </c>
      <c r="AA74" s="22" t="s">
        <v>42</v>
      </c>
      <c r="AB74" s="22"/>
      <c r="AC74" s="22" t="s">
        <v>42</v>
      </c>
      <c r="AD74" s="22" t="s">
        <v>42</v>
      </c>
      <c r="AE74" s="22" t="s">
        <v>42</v>
      </c>
      <c r="AF74" s="22" t="s">
        <v>42</v>
      </c>
      <c r="AG74" s="22" t="s">
        <v>42</v>
      </c>
      <c r="AH74" s="22" t="s">
        <v>42</v>
      </c>
      <c r="AJ74" s="22" t="s">
        <v>42</v>
      </c>
      <c r="AK74" s="22" t="s">
        <v>42</v>
      </c>
      <c r="AL74" s="22" t="s">
        <v>42</v>
      </c>
      <c r="AM74" s="22">
        <f t="shared" si="9"/>
        <v>24</v>
      </c>
    </row>
    <row r="75" spans="1:39" hidden="1" x14ac:dyDescent="0.25">
      <c r="A75" s="20" t="s">
        <v>55</v>
      </c>
      <c r="B75" s="38" t="s">
        <v>213</v>
      </c>
      <c r="C75" s="20" t="s">
        <v>214</v>
      </c>
      <c r="D75" s="20" t="s">
        <v>11</v>
      </c>
      <c r="E75" s="20" t="s">
        <v>11</v>
      </c>
      <c r="F75" s="20" t="s">
        <v>58</v>
      </c>
      <c r="G75" s="39"/>
      <c r="H75" s="40"/>
      <c r="I75" s="22" t="s">
        <v>42</v>
      </c>
      <c r="L75" s="22" t="s">
        <v>42</v>
      </c>
      <c r="M75" s="22" t="s">
        <v>42</v>
      </c>
      <c r="O75" s="22" t="s">
        <v>42</v>
      </c>
      <c r="P75" s="22" t="s">
        <v>42</v>
      </c>
      <c r="Q75" s="22" t="s">
        <v>42</v>
      </c>
      <c r="R75" s="22" t="s">
        <v>42</v>
      </c>
      <c r="S75" s="22"/>
      <c r="T75" s="22"/>
      <c r="U75" s="22"/>
      <c r="V75" s="22" t="s">
        <v>42</v>
      </c>
      <c r="W75" s="22" t="s">
        <v>42</v>
      </c>
      <c r="X75" s="22" t="s">
        <v>42</v>
      </c>
      <c r="Y75" s="22" t="s">
        <v>42</v>
      </c>
      <c r="Z75" s="22" t="s">
        <v>42</v>
      </c>
      <c r="AA75" s="22" t="s">
        <v>42</v>
      </c>
      <c r="AB75" s="22"/>
      <c r="AC75" s="22" t="s">
        <v>42</v>
      </c>
      <c r="AD75" s="22" t="s">
        <v>42</v>
      </c>
      <c r="AE75" s="22" t="s">
        <v>42</v>
      </c>
      <c r="AF75" s="22" t="s">
        <v>42</v>
      </c>
      <c r="AG75" s="22" t="s">
        <v>42</v>
      </c>
      <c r="AH75" s="22" t="s">
        <v>42</v>
      </c>
      <c r="AJ75" s="22" t="s">
        <v>42</v>
      </c>
      <c r="AK75" s="22" t="s">
        <v>42</v>
      </c>
      <c r="AL75" s="22" t="s">
        <v>42</v>
      </c>
      <c r="AM75" s="22">
        <f t="shared" si="9"/>
        <v>22</v>
      </c>
    </row>
    <row r="76" spans="1:39" hidden="1" x14ac:dyDescent="0.25">
      <c r="A76" s="20" t="s">
        <v>55</v>
      </c>
      <c r="B76" s="38" t="s">
        <v>215</v>
      </c>
      <c r="C76" s="20" t="s">
        <v>216</v>
      </c>
      <c r="D76" s="20" t="s">
        <v>22</v>
      </c>
      <c r="E76" s="20" t="s">
        <v>22</v>
      </c>
      <c r="F76" s="20" t="s">
        <v>58</v>
      </c>
      <c r="G76" s="39"/>
      <c r="H76" s="40"/>
      <c r="I76" s="22" t="s">
        <v>42</v>
      </c>
      <c r="L76" s="22" t="s">
        <v>42</v>
      </c>
      <c r="M76" s="22" t="s">
        <v>42</v>
      </c>
      <c r="O76" s="22" t="s">
        <v>42</v>
      </c>
      <c r="P76" s="22" t="s">
        <v>42</v>
      </c>
      <c r="Q76" s="22" t="s">
        <v>42</v>
      </c>
      <c r="R76" s="22" t="s">
        <v>42</v>
      </c>
      <c r="S76" s="22" t="s">
        <v>42</v>
      </c>
      <c r="T76" s="22" t="s">
        <v>42</v>
      </c>
      <c r="U76" s="22"/>
      <c r="V76" s="22" t="s">
        <v>42</v>
      </c>
      <c r="W76" s="22" t="s">
        <v>42</v>
      </c>
      <c r="X76" s="22" t="s">
        <v>42</v>
      </c>
      <c r="Y76" s="22" t="s">
        <v>42</v>
      </c>
      <c r="Z76" s="22" t="s">
        <v>42</v>
      </c>
      <c r="AA76" s="22" t="s">
        <v>42</v>
      </c>
      <c r="AB76" s="22"/>
      <c r="AC76" s="22" t="s">
        <v>42</v>
      </c>
      <c r="AD76" s="22" t="s">
        <v>42</v>
      </c>
      <c r="AE76" s="22" t="s">
        <v>42</v>
      </c>
      <c r="AF76" s="22" t="s">
        <v>42</v>
      </c>
      <c r="AG76" s="22" t="s">
        <v>42</v>
      </c>
      <c r="AH76" s="22" t="s">
        <v>42</v>
      </c>
      <c r="AJ76" s="22" t="s">
        <v>42</v>
      </c>
      <c r="AK76" s="22" t="s">
        <v>42</v>
      </c>
      <c r="AL76" s="22" t="s">
        <v>42</v>
      </c>
      <c r="AM76" s="22">
        <f t="shared" si="9"/>
        <v>24</v>
      </c>
    </row>
    <row r="77" spans="1:39" hidden="1" x14ac:dyDescent="0.25">
      <c r="A77" s="20" t="s">
        <v>55</v>
      </c>
      <c r="B77" s="38" t="s">
        <v>217</v>
      </c>
      <c r="C77" s="20" t="s">
        <v>218</v>
      </c>
      <c r="D77" s="20" t="s">
        <v>11</v>
      </c>
      <c r="E77" s="20" t="s">
        <v>11</v>
      </c>
      <c r="F77" s="20" t="s">
        <v>58</v>
      </c>
      <c r="G77" s="39"/>
      <c r="H77" s="40"/>
      <c r="I77" s="22" t="s">
        <v>42</v>
      </c>
      <c r="J77" s="33"/>
      <c r="L77" s="22" t="s">
        <v>42</v>
      </c>
      <c r="M77" s="22" t="s">
        <v>42</v>
      </c>
      <c r="O77" s="22" t="s">
        <v>42</v>
      </c>
      <c r="S77" s="22" t="s">
        <v>42</v>
      </c>
      <c r="T77" s="22" t="s">
        <v>42</v>
      </c>
      <c r="U77" s="22"/>
      <c r="V77" s="22" t="s">
        <v>42</v>
      </c>
      <c r="W77" s="22" t="s">
        <v>42</v>
      </c>
      <c r="X77" s="22" t="s">
        <v>42</v>
      </c>
      <c r="Y77" s="22" t="s">
        <v>42</v>
      </c>
      <c r="Z77" s="22" t="s">
        <v>42</v>
      </c>
      <c r="AA77" s="22" t="s">
        <v>42</v>
      </c>
      <c r="AB77" s="22"/>
      <c r="AC77" s="22" t="s">
        <v>42</v>
      </c>
      <c r="AD77" s="22" t="s">
        <v>42</v>
      </c>
      <c r="AE77" s="22" t="s">
        <v>42</v>
      </c>
      <c r="AF77" s="22" t="s">
        <v>42</v>
      </c>
      <c r="AG77" s="22"/>
      <c r="AH77" s="22" t="s">
        <v>42</v>
      </c>
      <c r="AJ77" s="22" t="s">
        <v>42</v>
      </c>
      <c r="AK77" s="22" t="s">
        <v>42</v>
      </c>
      <c r="AL77" s="22" t="s">
        <v>42</v>
      </c>
      <c r="AM77" s="22">
        <f t="shared" si="9"/>
        <v>20</v>
      </c>
    </row>
    <row r="78" spans="1:39" x14ac:dyDescent="0.25">
      <c r="A78" s="20" t="s">
        <v>55</v>
      </c>
      <c r="B78" s="38" t="s">
        <v>219</v>
      </c>
      <c r="C78" s="20" t="s">
        <v>220</v>
      </c>
      <c r="D78" s="20" t="s">
        <v>16</v>
      </c>
      <c r="E78" s="20" t="s">
        <v>16</v>
      </c>
      <c r="F78" s="20" t="s">
        <v>170</v>
      </c>
      <c r="G78" s="39"/>
      <c r="H78" s="40"/>
      <c r="I78" s="31" t="s">
        <v>36</v>
      </c>
      <c r="J78" s="31"/>
      <c r="K78" s="31"/>
      <c r="L78" s="31" t="s">
        <v>36</v>
      </c>
      <c r="M78" s="31" t="s">
        <v>36</v>
      </c>
      <c r="O78" s="31" t="s">
        <v>36</v>
      </c>
      <c r="P78" s="31" t="s">
        <v>36</v>
      </c>
      <c r="Q78" s="31" t="s">
        <v>36</v>
      </c>
      <c r="R78" s="31" t="s">
        <v>36</v>
      </c>
      <c r="S78" s="31" t="s">
        <v>36</v>
      </c>
      <c r="T78" s="31" t="s">
        <v>36</v>
      </c>
      <c r="U78" s="22"/>
      <c r="V78" s="31" t="s">
        <v>36</v>
      </c>
      <c r="W78" s="31" t="s">
        <v>36</v>
      </c>
      <c r="X78" s="31" t="s">
        <v>36</v>
      </c>
      <c r="Y78" s="31" t="s">
        <v>36</v>
      </c>
      <c r="Z78" s="31" t="s">
        <v>36</v>
      </c>
      <c r="AA78" s="31" t="s">
        <v>36</v>
      </c>
      <c r="AB78" s="31"/>
      <c r="AC78" s="31" t="s">
        <v>36</v>
      </c>
      <c r="AD78" s="31" t="s">
        <v>36</v>
      </c>
      <c r="AE78" s="31" t="s">
        <v>36</v>
      </c>
      <c r="AF78" s="31" t="s">
        <v>36</v>
      </c>
      <c r="AG78" s="31" t="s">
        <v>36</v>
      </c>
      <c r="AH78" s="31" t="s">
        <v>36</v>
      </c>
      <c r="AI78" s="31" t="s">
        <v>36</v>
      </c>
      <c r="AJ78" s="31" t="s">
        <v>36</v>
      </c>
      <c r="AK78" s="31" t="s">
        <v>36</v>
      </c>
      <c r="AL78" s="31" t="s">
        <v>36</v>
      </c>
      <c r="AM78" s="22">
        <f t="shared" si="9"/>
        <v>25</v>
      </c>
    </row>
    <row r="79" spans="1:39" hidden="1" x14ac:dyDescent="0.25">
      <c r="A79" s="20" t="s">
        <v>55</v>
      </c>
      <c r="B79" s="38" t="s">
        <v>221</v>
      </c>
      <c r="C79" s="20" t="s">
        <v>75</v>
      </c>
      <c r="D79" s="20" t="s">
        <v>11</v>
      </c>
      <c r="E79" s="20" t="s">
        <v>11</v>
      </c>
      <c r="F79" s="20" t="s">
        <v>58</v>
      </c>
      <c r="G79" s="39"/>
      <c r="H79" s="40"/>
      <c r="I79" s="22" t="s">
        <v>42</v>
      </c>
      <c r="L79" s="22" t="s">
        <v>42</v>
      </c>
      <c r="M79" s="22" t="s">
        <v>42</v>
      </c>
      <c r="O79" s="22" t="s">
        <v>42</v>
      </c>
      <c r="Q79" s="22" t="s">
        <v>42</v>
      </c>
      <c r="R79" s="22" t="s">
        <v>42</v>
      </c>
      <c r="S79" s="22"/>
      <c r="T79" s="22"/>
      <c r="U79" s="22"/>
      <c r="V79" s="22" t="s">
        <v>42</v>
      </c>
      <c r="W79" s="22" t="s">
        <v>42</v>
      </c>
      <c r="X79" s="22" t="s">
        <v>42</v>
      </c>
      <c r="Y79" s="22" t="s">
        <v>42</v>
      </c>
      <c r="Z79" s="22" t="s">
        <v>42</v>
      </c>
      <c r="AA79" s="22" t="s">
        <v>42</v>
      </c>
      <c r="AB79" s="22"/>
      <c r="AC79" s="22" t="s">
        <v>42</v>
      </c>
      <c r="AD79" s="22" t="s">
        <v>42</v>
      </c>
      <c r="AE79" s="22" t="s">
        <v>42</v>
      </c>
      <c r="AF79" s="22" t="s">
        <v>42</v>
      </c>
      <c r="AG79" s="22" t="s">
        <v>42</v>
      </c>
      <c r="AH79" s="22" t="s">
        <v>42</v>
      </c>
      <c r="AJ79" s="22" t="s">
        <v>42</v>
      </c>
      <c r="AK79" s="22" t="s">
        <v>42</v>
      </c>
      <c r="AL79" s="22" t="s">
        <v>42</v>
      </c>
      <c r="AM79" s="22">
        <f t="shared" ref="AM79:AM142" si="10">COUNTA(I79:AL79)-COUNTIF(I79:AL79,"CT")</f>
        <v>21</v>
      </c>
    </row>
    <row r="80" spans="1:39" hidden="1" x14ac:dyDescent="0.25">
      <c r="A80" s="20" t="s">
        <v>55</v>
      </c>
      <c r="B80" s="38" t="s">
        <v>224</v>
      </c>
      <c r="C80" s="20" t="s">
        <v>225</v>
      </c>
      <c r="D80" s="20" t="s">
        <v>23</v>
      </c>
      <c r="E80" s="20" t="s">
        <v>23</v>
      </c>
      <c r="F80" s="20" t="s">
        <v>58</v>
      </c>
      <c r="G80" s="39"/>
      <c r="H80" s="40"/>
      <c r="I80" s="22" t="s">
        <v>42</v>
      </c>
      <c r="L80" s="22" t="s">
        <v>42</v>
      </c>
      <c r="M80" s="22" t="s">
        <v>42</v>
      </c>
      <c r="O80" s="22" t="s">
        <v>42</v>
      </c>
      <c r="P80" s="22" t="s">
        <v>42</v>
      </c>
      <c r="Q80" s="22" t="s">
        <v>42</v>
      </c>
      <c r="R80" s="22" t="s">
        <v>42</v>
      </c>
      <c r="S80" s="22" t="s">
        <v>42</v>
      </c>
      <c r="T80" s="22" t="s">
        <v>42</v>
      </c>
      <c r="U80" s="22"/>
      <c r="V80" s="22" t="s">
        <v>42</v>
      </c>
      <c r="W80" s="22" t="s">
        <v>42</v>
      </c>
      <c r="X80" s="22" t="s">
        <v>42</v>
      </c>
      <c r="Y80" s="22" t="s">
        <v>42</v>
      </c>
      <c r="Z80" s="22" t="s">
        <v>42</v>
      </c>
      <c r="AA80" s="22"/>
      <c r="AB80" s="22"/>
      <c r="AC80" s="22" t="s">
        <v>42</v>
      </c>
      <c r="AD80" s="22" t="s">
        <v>42</v>
      </c>
      <c r="AE80" s="22" t="s">
        <v>42</v>
      </c>
      <c r="AF80" s="22" t="s">
        <v>42</v>
      </c>
      <c r="AG80" s="22" t="s">
        <v>42</v>
      </c>
      <c r="AH80" s="22" t="s">
        <v>42</v>
      </c>
      <c r="AJ80" s="22" t="s">
        <v>42</v>
      </c>
      <c r="AK80" s="22" t="s">
        <v>42</v>
      </c>
      <c r="AL80" s="22" t="s">
        <v>42</v>
      </c>
      <c r="AM80" s="22">
        <f t="shared" si="10"/>
        <v>23</v>
      </c>
    </row>
    <row r="81" spans="1:39" hidden="1" x14ac:dyDescent="0.25">
      <c r="A81" s="20" t="s">
        <v>55</v>
      </c>
      <c r="B81" s="38" t="s">
        <v>226</v>
      </c>
      <c r="C81" s="20" t="s">
        <v>227</v>
      </c>
      <c r="D81" s="20" t="s">
        <v>8</v>
      </c>
      <c r="E81" s="20" t="s">
        <v>8</v>
      </c>
      <c r="F81" s="20" t="s">
        <v>58</v>
      </c>
      <c r="G81" s="39"/>
      <c r="H81" s="40"/>
      <c r="I81" s="22" t="s">
        <v>42</v>
      </c>
      <c r="L81" s="22" t="s">
        <v>42</v>
      </c>
      <c r="M81" s="22" t="s">
        <v>42</v>
      </c>
      <c r="O81" s="22" t="s">
        <v>42</v>
      </c>
      <c r="P81" s="22" t="s">
        <v>42</v>
      </c>
      <c r="Q81" s="22" t="s">
        <v>42</v>
      </c>
      <c r="R81" s="22" t="s">
        <v>42</v>
      </c>
      <c r="S81" s="22" t="s">
        <v>42</v>
      </c>
      <c r="T81" s="22" t="s">
        <v>42</v>
      </c>
      <c r="U81" s="22"/>
      <c r="V81" s="22" t="s">
        <v>42</v>
      </c>
      <c r="W81" s="22" t="s">
        <v>42</v>
      </c>
      <c r="X81" s="22" t="s">
        <v>42</v>
      </c>
      <c r="Y81" s="22" t="s">
        <v>42</v>
      </c>
      <c r="Z81" s="22" t="s">
        <v>42</v>
      </c>
      <c r="AA81" s="22" t="s">
        <v>42</v>
      </c>
      <c r="AB81" s="22"/>
      <c r="AC81" s="22" t="s">
        <v>42</v>
      </c>
      <c r="AD81" s="22" t="s">
        <v>42</v>
      </c>
      <c r="AE81" s="22" t="s">
        <v>42</v>
      </c>
      <c r="AF81" s="22" t="s">
        <v>42</v>
      </c>
      <c r="AG81" s="22" t="s">
        <v>42</v>
      </c>
      <c r="AH81" s="22" t="s">
        <v>42</v>
      </c>
      <c r="AJ81" s="22" t="s">
        <v>42</v>
      </c>
      <c r="AK81" s="22" t="s">
        <v>42</v>
      </c>
      <c r="AL81" s="22" t="s">
        <v>42</v>
      </c>
      <c r="AM81" s="22">
        <f t="shared" si="10"/>
        <v>24</v>
      </c>
    </row>
    <row r="82" spans="1:39" hidden="1" x14ac:dyDescent="0.25">
      <c r="A82" s="20" t="s">
        <v>55</v>
      </c>
      <c r="B82" s="38" t="s">
        <v>228</v>
      </c>
      <c r="C82" s="20" t="s">
        <v>229</v>
      </c>
      <c r="D82" s="20" t="s">
        <v>8</v>
      </c>
      <c r="E82" s="20" t="s">
        <v>8</v>
      </c>
      <c r="F82" s="20" t="s">
        <v>58</v>
      </c>
      <c r="G82" s="39"/>
      <c r="H82" s="40"/>
      <c r="I82" s="22" t="s">
        <v>42</v>
      </c>
      <c r="J82" s="33"/>
      <c r="L82" s="22" t="s">
        <v>42</v>
      </c>
      <c r="M82" s="22" t="s">
        <v>42</v>
      </c>
      <c r="O82" s="22" t="s">
        <v>42</v>
      </c>
      <c r="P82" s="22" t="s">
        <v>42</v>
      </c>
      <c r="Q82" s="22" t="s">
        <v>42</v>
      </c>
      <c r="R82" s="22" t="s">
        <v>42</v>
      </c>
      <c r="S82" s="22" t="s">
        <v>42</v>
      </c>
      <c r="T82" s="22" t="s">
        <v>42</v>
      </c>
      <c r="U82" s="22"/>
      <c r="V82" s="22" t="s">
        <v>42</v>
      </c>
      <c r="W82" s="22" t="s">
        <v>42</v>
      </c>
      <c r="X82" s="22" t="s">
        <v>42</v>
      </c>
      <c r="Y82" s="22" t="s">
        <v>42</v>
      </c>
      <c r="Z82" s="22" t="s">
        <v>42</v>
      </c>
      <c r="AA82" s="22" t="s">
        <v>42</v>
      </c>
      <c r="AB82" s="22"/>
      <c r="AC82" s="22" t="s">
        <v>42</v>
      </c>
      <c r="AD82" s="22" t="s">
        <v>42</v>
      </c>
      <c r="AE82" s="22" t="s">
        <v>42</v>
      </c>
      <c r="AF82" s="22" t="s">
        <v>42</v>
      </c>
      <c r="AG82" s="22" t="s">
        <v>42</v>
      </c>
      <c r="AH82" s="22" t="s">
        <v>42</v>
      </c>
      <c r="AJ82" s="22" t="s">
        <v>42</v>
      </c>
      <c r="AK82" s="22" t="s">
        <v>42</v>
      </c>
      <c r="AL82" s="22" t="s">
        <v>42</v>
      </c>
      <c r="AM82" s="22">
        <f t="shared" si="10"/>
        <v>24</v>
      </c>
    </row>
    <row r="83" spans="1:39" hidden="1" x14ac:dyDescent="0.25">
      <c r="A83" s="20" t="s">
        <v>55</v>
      </c>
      <c r="B83" s="38" t="s">
        <v>230</v>
      </c>
      <c r="C83" s="20" t="s">
        <v>231</v>
      </c>
      <c r="D83" s="20" t="s">
        <v>11</v>
      </c>
      <c r="E83" s="20" t="s">
        <v>11</v>
      </c>
      <c r="F83" s="20" t="s">
        <v>58</v>
      </c>
      <c r="G83" s="39"/>
      <c r="H83" s="40"/>
      <c r="I83" s="22" t="s">
        <v>42</v>
      </c>
      <c r="L83" s="22" t="s">
        <v>42</v>
      </c>
      <c r="M83" s="22" t="s">
        <v>42</v>
      </c>
      <c r="O83" s="22" t="s">
        <v>42</v>
      </c>
      <c r="R83" s="22"/>
      <c r="S83" s="22" t="s">
        <v>42</v>
      </c>
      <c r="T83" s="22" t="s">
        <v>42</v>
      </c>
      <c r="U83" s="22"/>
      <c r="V83" s="22" t="s">
        <v>42</v>
      </c>
      <c r="W83" s="22" t="s">
        <v>42</v>
      </c>
      <c r="X83" s="22" t="s">
        <v>42</v>
      </c>
      <c r="Y83" s="22" t="s">
        <v>42</v>
      </c>
      <c r="Z83" s="22" t="s">
        <v>42</v>
      </c>
      <c r="AA83" s="22" t="s">
        <v>42</v>
      </c>
      <c r="AB83" s="22"/>
      <c r="AC83" s="22" t="s">
        <v>42</v>
      </c>
      <c r="AD83" s="22" t="s">
        <v>42</v>
      </c>
      <c r="AE83" s="22" t="s">
        <v>42</v>
      </c>
      <c r="AF83" s="22" t="s">
        <v>42</v>
      </c>
      <c r="AG83" s="22" t="s">
        <v>42</v>
      </c>
      <c r="AH83" s="22" t="s">
        <v>42</v>
      </c>
      <c r="AJ83" s="22" t="s">
        <v>42</v>
      </c>
      <c r="AK83" s="22" t="s">
        <v>42</v>
      </c>
      <c r="AL83" s="22" t="s">
        <v>42</v>
      </c>
      <c r="AM83" s="22">
        <f t="shared" si="10"/>
        <v>21</v>
      </c>
    </row>
    <row r="84" spans="1:39" hidden="1" x14ac:dyDescent="0.25">
      <c r="A84" s="20" t="s">
        <v>55</v>
      </c>
      <c r="B84" s="38" t="s">
        <v>232</v>
      </c>
      <c r="C84" s="20" t="s">
        <v>233</v>
      </c>
      <c r="D84" s="20" t="s">
        <v>11</v>
      </c>
      <c r="E84" s="20" t="s">
        <v>11</v>
      </c>
      <c r="F84" s="20" t="s">
        <v>58</v>
      </c>
      <c r="G84" s="39"/>
      <c r="H84" s="40"/>
      <c r="I84" s="22" t="s">
        <v>42</v>
      </c>
      <c r="L84" s="22" t="s">
        <v>42</v>
      </c>
      <c r="M84" s="22" t="s">
        <v>42</v>
      </c>
      <c r="O84" s="22" t="s">
        <v>42</v>
      </c>
      <c r="R84" s="22"/>
      <c r="S84" s="22" t="s">
        <v>42</v>
      </c>
      <c r="T84" s="22" t="s">
        <v>42</v>
      </c>
      <c r="U84" s="22"/>
      <c r="V84" s="22" t="s">
        <v>42</v>
      </c>
      <c r="W84" s="22" t="s">
        <v>42</v>
      </c>
      <c r="X84" s="22" t="s">
        <v>42</v>
      </c>
      <c r="Y84" s="22" t="s">
        <v>42</v>
      </c>
      <c r="Z84" s="22" t="s">
        <v>42</v>
      </c>
      <c r="AA84" s="22" t="s">
        <v>42</v>
      </c>
      <c r="AB84" s="22"/>
      <c r="AC84" s="22" t="s">
        <v>42</v>
      </c>
      <c r="AD84" s="22" t="s">
        <v>42</v>
      </c>
      <c r="AE84" s="22"/>
      <c r="AF84" s="22" t="s">
        <v>42</v>
      </c>
      <c r="AG84" s="22" t="s">
        <v>42</v>
      </c>
      <c r="AH84" s="22" t="s">
        <v>42</v>
      </c>
      <c r="AJ84" s="22" t="s">
        <v>42</v>
      </c>
      <c r="AK84" s="22" t="s">
        <v>42</v>
      </c>
      <c r="AL84" s="22" t="s">
        <v>42</v>
      </c>
      <c r="AM84" s="22">
        <f t="shared" si="10"/>
        <v>20</v>
      </c>
    </row>
    <row r="85" spans="1:39" hidden="1" x14ac:dyDescent="0.25">
      <c r="A85" s="20" t="s">
        <v>55</v>
      </c>
      <c r="B85" s="38" t="s">
        <v>234</v>
      </c>
      <c r="C85" s="20" t="s">
        <v>235</v>
      </c>
      <c r="D85" s="20" t="s">
        <v>11</v>
      </c>
      <c r="E85" s="20" t="s">
        <v>11</v>
      </c>
      <c r="F85" s="20" t="s">
        <v>58</v>
      </c>
      <c r="G85" s="39"/>
      <c r="H85" s="40"/>
      <c r="I85" s="22" t="s">
        <v>42</v>
      </c>
      <c r="L85" s="22" t="s">
        <v>42</v>
      </c>
      <c r="M85" s="22" t="s">
        <v>42</v>
      </c>
      <c r="O85" s="22" t="s">
        <v>42</v>
      </c>
      <c r="R85" s="22"/>
      <c r="S85" s="22" t="s">
        <v>42</v>
      </c>
      <c r="T85" s="22" t="s">
        <v>42</v>
      </c>
      <c r="U85" s="22"/>
      <c r="V85" s="22" t="s">
        <v>42</v>
      </c>
      <c r="W85" s="22" t="s">
        <v>42</v>
      </c>
      <c r="X85" s="22" t="s">
        <v>42</v>
      </c>
      <c r="Y85" s="22" t="s">
        <v>42</v>
      </c>
      <c r="Z85" s="22" t="s">
        <v>42</v>
      </c>
      <c r="AA85" s="22"/>
      <c r="AB85" s="22"/>
      <c r="AC85" s="22" t="s">
        <v>42</v>
      </c>
      <c r="AD85" s="22" t="s">
        <v>42</v>
      </c>
      <c r="AE85" s="22" t="s">
        <v>42</v>
      </c>
      <c r="AF85" s="22" t="s">
        <v>42</v>
      </c>
      <c r="AG85" s="22" t="s">
        <v>42</v>
      </c>
      <c r="AH85" s="22" t="s">
        <v>42</v>
      </c>
      <c r="AJ85" s="22" t="s">
        <v>42</v>
      </c>
      <c r="AK85" s="22" t="s">
        <v>42</v>
      </c>
      <c r="AL85" s="22" t="s">
        <v>42</v>
      </c>
      <c r="AM85" s="22">
        <f t="shared" si="10"/>
        <v>20</v>
      </c>
    </row>
    <row r="86" spans="1:39" hidden="1" x14ac:dyDescent="0.25">
      <c r="A86" s="20" t="s">
        <v>55</v>
      </c>
      <c r="B86" s="38" t="s">
        <v>236</v>
      </c>
      <c r="C86" s="20" t="s">
        <v>237</v>
      </c>
      <c r="D86" s="20" t="s">
        <v>11</v>
      </c>
      <c r="E86" s="20" t="s">
        <v>11</v>
      </c>
      <c r="F86" s="20" t="s">
        <v>58</v>
      </c>
      <c r="G86" s="39"/>
      <c r="H86" s="40"/>
      <c r="I86" s="22" t="s">
        <v>42</v>
      </c>
      <c r="L86" s="22" t="s">
        <v>42</v>
      </c>
      <c r="M86" s="22" t="s">
        <v>42</v>
      </c>
      <c r="O86" s="22" t="s">
        <v>42</v>
      </c>
      <c r="P86" s="22" t="s">
        <v>42</v>
      </c>
      <c r="Q86" s="22" t="s">
        <v>42</v>
      </c>
      <c r="R86" s="22" t="s">
        <v>42</v>
      </c>
      <c r="S86" s="22"/>
      <c r="T86" s="22"/>
      <c r="U86" s="22"/>
      <c r="V86" s="22" t="s">
        <v>42</v>
      </c>
      <c r="W86" s="22" t="s">
        <v>42</v>
      </c>
      <c r="X86" s="22" t="s">
        <v>42</v>
      </c>
      <c r="Y86" s="22" t="s">
        <v>42</v>
      </c>
      <c r="Z86" s="22" t="s">
        <v>42</v>
      </c>
      <c r="AA86" s="22" t="s">
        <v>42</v>
      </c>
      <c r="AB86" s="22"/>
      <c r="AC86" s="22" t="s">
        <v>42</v>
      </c>
      <c r="AD86" s="22" t="s">
        <v>42</v>
      </c>
      <c r="AE86" s="22" t="s">
        <v>42</v>
      </c>
      <c r="AF86" s="22" t="s">
        <v>42</v>
      </c>
      <c r="AG86" s="22" t="s">
        <v>42</v>
      </c>
      <c r="AH86" s="22" t="s">
        <v>42</v>
      </c>
      <c r="AJ86" s="22" t="s">
        <v>42</v>
      </c>
      <c r="AK86" s="22" t="s">
        <v>42</v>
      </c>
      <c r="AL86" s="22" t="s">
        <v>42</v>
      </c>
      <c r="AM86" s="22">
        <f t="shared" si="10"/>
        <v>22</v>
      </c>
    </row>
    <row r="87" spans="1:39" hidden="1" x14ac:dyDescent="0.25">
      <c r="A87" s="20" t="s">
        <v>55</v>
      </c>
      <c r="B87" s="38" t="s">
        <v>238</v>
      </c>
      <c r="C87" s="20" t="s">
        <v>239</v>
      </c>
      <c r="D87" s="20" t="s">
        <v>28</v>
      </c>
      <c r="E87" s="20" t="s">
        <v>28</v>
      </c>
      <c r="F87" s="20" t="s">
        <v>58</v>
      </c>
      <c r="G87" s="39"/>
      <c r="H87" s="40"/>
      <c r="I87" s="22" t="s">
        <v>42</v>
      </c>
      <c r="L87" s="22" t="s">
        <v>42</v>
      </c>
      <c r="M87" s="22" t="s">
        <v>42</v>
      </c>
      <c r="O87" s="22" t="s">
        <v>42</v>
      </c>
      <c r="R87" s="22" t="s">
        <v>42</v>
      </c>
      <c r="S87" s="22" t="s">
        <v>42</v>
      </c>
      <c r="T87" s="22" t="s">
        <v>42</v>
      </c>
      <c r="U87" s="22"/>
      <c r="V87" s="22" t="s">
        <v>42</v>
      </c>
      <c r="W87" s="22" t="s">
        <v>42</v>
      </c>
      <c r="X87" s="22" t="s">
        <v>42</v>
      </c>
      <c r="Y87" s="22" t="s">
        <v>42</v>
      </c>
      <c r="Z87" s="22" t="s">
        <v>42</v>
      </c>
      <c r="AA87" s="22" t="s">
        <v>42</v>
      </c>
      <c r="AB87" s="22"/>
      <c r="AC87" s="22" t="s">
        <v>42</v>
      </c>
      <c r="AD87" s="22" t="s">
        <v>42</v>
      </c>
      <c r="AE87" s="22" t="s">
        <v>42</v>
      </c>
      <c r="AF87" s="22" t="s">
        <v>42</v>
      </c>
      <c r="AG87" s="22" t="s">
        <v>42</v>
      </c>
      <c r="AH87" s="22" t="s">
        <v>42</v>
      </c>
      <c r="AJ87" s="22" t="s">
        <v>42</v>
      </c>
      <c r="AK87" s="22" t="s">
        <v>42</v>
      </c>
      <c r="AL87" s="22" t="s">
        <v>42</v>
      </c>
      <c r="AM87" s="22">
        <f t="shared" si="10"/>
        <v>22</v>
      </c>
    </row>
    <row r="88" spans="1:39" hidden="1" x14ac:dyDescent="0.25">
      <c r="A88" s="20" t="s">
        <v>55</v>
      </c>
      <c r="B88" s="38" t="s">
        <v>240</v>
      </c>
      <c r="C88" s="20" t="s">
        <v>241</v>
      </c>
      <c r="D88" s="20" t="s">
        <v>11</v>
      </c>
      <c r="E88" s="20" t="s">
        <v>11</v>
      </c>
      <c r="F88" s="20" t="s">
        <v>58</v>
      </c>
      <c r="G88" s="39"/>
      <c r="H88" s="40"/>
      <c r="I88" s="22" t="s">
        <v>42</v>
      </c>
      <c r="L88" s="22" t="s">
        <v>42</v>
      </c>
      <c r="M88" s="22" t="s">
        <v>42</v>
      </c>
      <c r="O88" s="22" t="s">
        <v>42</v>
      </c>
      <c r="S88" s="22" t="s">
        <v>42</v>
      </c>
      <c r="T88" s="22" t="s">
        <v>42</v>
      </c>
      <c r="U88" s="22"/>
      <c r="V88" s="22" t="s">
        <v>42</v>
      </c>
      <c r="W88" s="22" t="s">
        <v>42</v>
      </c>
      <c r="X88" s="22" t="s">
        <v>42</v>
      </c>
      <c r="Y88" s="22" t="s">
        <v>42</v>
      </c>
      <c r="Z88" s="22" t="s">
        <v>42</v>
      </c>
      <c r="AA88" s="22" t="s">
        <v>42</v>
      </c>
      <c r="AB88" s="22"/>
      <c r="AC88" s="22" t="s">
        <v>42</v>
      </c>
      <c r="AD88" s="22" t="s">
        <v>42</v>
      </c>
      <c r="AE88" s="22" t="s">
        <v>42</v>
      </c>
      <c r="AF88" s="22" t="s">
        <v>42</v>
      </c>
      <c r="AG88" s="22" t="s">
        <v>42</v>
      </c>
      <c r="AH88" s="22" t="s">
        <v>42</v>
      </c>
      <c r="AJ88" s="22" t="s">
        <v>42</v>
      </c>
      <c r="AK88" s="22" t="s">
        <v>42</v>
      </c>
      <c r="AL88" s="22" t="s">
        <v>42</v>
      </c>
      <c r="AM88" s="22">
        <f t="shared" si="10"/>
        <v>21</v>
      </c>
    </row>
    <row r="89" spans="1:39" hidden="1" x14ac:dyDescent="0.25">
      <c r="A89" s="20" t="s">
        <v>55</v>
      </c>
      <c r="B89" s="38" t="s">
        <v>242</v>
      </c>
      <c r="C89" s="20" t="s">
        <v>243</v>
      </c>
      <c r="D89" s="20" t="s">
        <v>11</v>
      </c>
      <c r="E89" s="20" t="s">
        <v>11</v>
      </c>
      <c r="F89" s="20" t="s">
        <v>58</v>
      </c>
      <c r="G89" s="39"/>
      <c r="H89" s="40"/>
      <c r="I89" s="22" t="s">
        <v>42</v>
      </c>
      <c r="L89" s="22" t="s">
        <v>42</v>
      </c>
      <c r="M89" s="22" t="s">
        <v>42</v>
      </c>
      <c r="O89" s="22" t="s">
        <v>42</v>
      </c>
      <c r="Q89" s="22" t="s">
        <v>42</v>
      </c>
      <c r="R89" s="22" t="s">
        <v>42</v>
      </c>
      <c r="S89" s="22" t="s">
        <v>42</v>
      </c>
      <c r="T89" s="22" t="s">
        <v>42</v>
      </c>
      <c r="U89" s="22"/>
      <c r="V89" s="22" t="s">
        <v>42</v>
      </c>
      <c r="W89" s="22"/>
      <c r="X89" s="22"/>
      <c r="Y89" s="22" t="s">
        <v>42</v>
      </c>
      <c r="Z89" s="22" t="s">
        <v>42</v>
      </c>
      <c r="AA89" s="22" t="s">
        <v>42</v>
      </c>
      <c r="AB89" s="22"/>
      <c r="AC89" s="22" t="s">
        <v>42</v>
      </c>
      <c r="AD89" s="22" t="s">
        <v>42</v>
      </c>
      <c r="AE89" s="22" t="s">
        <v>42</v>
      </c>
      <c r="AF89" s="22" t="s">
        <v>42</v>
      </c>
      <c r="AG89" s="22" t="s">
        <v>42</v>
      </c>
      <c r="AH89" s="22" t="s">
        <v>42</v>
      </c>
      <c r="AJ89" s="22" t="s">
        <v>42</v>
      </c>
      <c r="AK89" s="22" t="s">
        <v>42</v>
      </c>
      <c r="AL89" s="22" t="s">
        <v>42</v>
      </c>
      <c r="AM89" s="22">
        <f t="shared" si="10"/>
        <v>21</v>
      </c>
    </row>
    <row r="90" spans="1:39" hidden="1" x14ac:dyDescent="0.25">
      <c r="A90" s="20" t="s">
        <v>55</v>
      </c>
      <c r="B90" s="38" t="s">
        <v>244</v>
      </c>
      <c r="C90" s="20" t="s">
        <v>245</v>
      </c>
      <c r="D90" s="20" t="s">
        <v>11</v>
      </c>
      <c r="E90" s="20" t="s">
        <v>11</v>
      </c>
      <c r="F90" s="20" t="s">
        <v>58</v>
      </c>
      <c r="G90" s="39"/>
      <c r="H90" s="40"/>
      <c r="I90" s="22" t="s">
        <v>42</v>
      </c>
      <c r="L90" s="22" t="s">
        <v>42</v>
      </c>
      <c r="M90" s="22" t="s">
        <v>42</v>
      </c>
      <c r="O90" s="22" t="s">
        <v>42</v>
      </c>
      <c r="P90" s="22" t="s">
        <v>42</v>
      </c>
      <c r="Q90" s="22" t="s">
        <v>42</v>
      </c>
      <c r="R90" s="22" t="s">
        <v>42</v>
      </c>
      <c r="S90" s="22"/>
      <c r="T90" s="22"/>
      <c r="U90" s="22"/>
      <c r="V90" s="22" t="s">
        <v>42</v>
      </c>
      <c r="W90" s="22" t="s">
        <v>42</v>
      </c>
      <c r="X90" s="22" t="s">
        <v>42</v>
      </c>
      <c r="Y90" s="22" t="s">
        <v>42</v>
      </c>
      <c r="Z90" s="22" t="s">
        <v>42</v>
      </c>
      <c r="AA90" s="22" t="s">
        <v>42</v>
      </c>
      <c r="AB90" s="22"/>
      <c r="AC90" s="22" t="s">
        <v>42</v>
      </c>
      <c r="AD90" s="22" t="s">
        <v>42</v>
      </c>
      <c r="AE90" s="22" t="s">
        <v>42</v>
      </c>
      <c r="AF90" s="22" t="s">
        <v>42</v>
      </c>
      <c r="AG90" s="22" t="s">
        <v>42</v>
      </c>
      <c r="AH90" s="22" t="s">
        <v>42</v>
      </c>
      <c r="AJ90" s="22" t="s">
        <v>42</v>
      </c>
      <c r="AK90" s="22" t="s">
        <v>42</v>
      </c>
      <c r="AL90" s="22" t="s">
        <v>42</v>
      </c>
      <c r="AM90" s="22">
        <f t="shared" si="10"/>
        <v>22</v>
      </c>
    </row>
    <row r="91" spans="1:39" hidden="1" x14ac:dyDescent="0.25">
      <c r="A91" s="20" t="s">
        <v>55</v>
      </c>
      <c r="B91" s="38" t="s">
        <v>246</v>
      </c>
      <c r="C91" s="20" t="s">
        <v>247</v>
      </c>
      <c r="D91" s="20" t="s">
        <v>28</v>
      </c>
      <c r="E91" s="20" t="s">
        <v>28</v>
      </c>
      <c r="F91" s="20" t="s">
        <v>63</v>
      </c>
      <c r="G91" s="39"/>
      <c r="H91" s="40"/>
      <c r="I91" s="33" t="s">
        <v>38</v>
      </c>
      <c r="J91" s="33"/>
      <c r="K91" s="33"/>
      <c r="L91" s="33" t="s">
        <v>38</v>
      </c>
      <c r="M91" s="33" t="s">
        <v>38</v>
      </c>
      <c r="N91" s="33"/>
      <c r="O91" s="33" t="s">
        <v>38</v>
      </c>
      <c r="P91" s="33" t="s">
        <v>38</v>
      </c>
      <c r="Q91" s="33" t="s">
        <v>38</v>
      </c>
      <c r="R91" s="33" t="s">
        <v>38</v>
      </c>
      <c r="S91" s="33" t="s">
        <v>38</v>
      </c>
      <c r="T91" s="33" t="s">
        <v>38</v>
      </c>
      <c r="U91" s="33"/>
      <c r="V91" s="33" t="s">
        <v>38</v>
      </c>
      <c r="W91" s="33" t="s">
        <v>38</v>
      </c>
      <c r="X91" s="33" t="s">
        <v>38</v>
      </c>
      <c r="Y91" s="33" t="s">
        <v>38</v>
      </c>
      <c r="Z91" s="33" t="s">
        <v>38</v>
      </c>
      <c r="AA91" s="33" t="s">
        <v>38</v>
      </c>
      <c r="AB91" s="33"/>
      <c r="AC91" s="33" t="s">
        <v>38</v>
      </c>
      <c r="AD91" s="33" t="s">
        <v>38</v>
      </c>
      <c r="AE91" s="33" t="s">
        <v>38</v>
      </c>
      <c r="AF91" s="33" t="s">
        <v>38</v>
      </c>
      <c r="AG91" s="33" t="s">
        <v>38</v>
      </c>
      <c r="AH91" s="33" t="s">
        <v>38</v>
      </c>
      <c r="AI91" s="33"/>
      <c r="AJ91" s="33"/>
      <c r="AK91" s="33" t="s">
        <v>38</v>
      </c>
      <c r="AL91" s="33" t="s">
        <v>38</v>
      </c>
      <c r="AM91" s="22">
        <f t="shared" si="10"/>
        <v>23</v>
      </c>
    </row>
    <row r="92" spans="1:39" hidden="1" x14ac:dyDescent="0.25">
      <c r="A92" s="20" t="s">
        <v>55</v>
      </c>
      <c r="B92" s="38" t="s">
        <v>248</v>
      </c>
      <c r="C92" s="20" t="s">
        <v>249</v>
      </c>
      <c r="D92" s="20" t="s">
        <v>11</v>
      </c>
      <c r="E92" s="20" t="s">
        <v>11</v>
      </c>
      <c r="F92" s="20" t="s">
        <v>58</v>
      </c>
      <c r="G92" s="39"/>
      <c r="H92" s="40"/>
      <c r="I92" s="22" t="s">
        <v>42</v>
      </c>
      <c r="J92" s="33"/>
      <c r="L92" s="22" t="s">
        <v>42</v>
      </c>
      <c r="M92" s="22" t="s">
        <v>42</v>
      </c>
      <c r="O92" s="22" t="s">
        <v>42</v>
      </c>
      <c r="P92" s="22" t="s">
        <v>42</v>
      </c>
      <c r="Q92" s="22" t="s">
        <v>42</v>
      </c>
      <c r="R92" s="22" t="s">
        <v>42</v>
      </c>
      <c r="S92" s="22"/>
      <c r="T92" s="22"/>
      <c r="U92" s="22"/>
      <c r="V92" s="22" t="s">
        <v>42</v>
      </c>
      <c r="W92" s="22" t="s">
        <v>42</v>
      </c>
      <c r="X92" s="22" t="s">
        <v>42</v>
      </c>
      <c r="Y92" s="22" t="s">
        <v>42</v>
      </c>
      <c r="Z92" s="22" t="s">
        <v>42</v>
      </c>
      <c r="AA92" s="22" t="s">
        <v>42</v>
      </c>
      <c r="AB92" s="22"/>
      <c r="AC92" s="22" t="s">
        <v>42</v>
      </c>
      <c r="AD92" s="22" t="s">
        <v>42</v>
      </c>
      <c r="AE92" s="22" t="s">
        <v>42</v>
      </c>
      <c r="AF92" s="22" t="s">
        <v>42</v>
      </c>
      <c r="AG92" s="22" t="s">
        <v>42</v>
      </c>
      <c r="AH92" s="22" t="s">
        <v>42</v>
      </c>
      <c r="AJ92" s="22" t="s">
        <v>42</v>
      </c>
      <c r="AK92" s="22" t="s">
        <v>42</v>
      </c>
      <c r="AL92" s="22" t="s">
        <v>42</v>
      </c>
      <c r="AM92" s="22">
        <f t="shared" si="10"/>
        <v>22</v>
      </c>
    </row>
    <row r="93" spans="1:39" hidden="1" x14ac:dyDescent="0.25">
      <c r="A93" s="20" t="s">
        <v>55</v>
      </c>
      <c r="B93" s="38" t="s">
        <v>250</v>
      </c>
      <c r="C93" s="20" t="s">
        <v>251</v>
      </c>
      <c r="D93" s="20" t="s">
        <v>11</v>
      </c>
      <c r="E93" s="20" t="s">
        <v>11</v>
      </c>
      <c r="F93" s="20" t="s">
        <v>58</v>
      </c>
      <c r="G93" s="39"/>
      <c r="H93" s="40"/>
      <c r="I93" s="22" t="s">
        <v>42</v>
      </c>
      <c r="L93" s="22" t="s">
        <v>42</v>
      </c>
      <c r="M93" s="22" t="s">
        <v>42</v>
      </c>
      <c r="O93" s="22" t="s">
        <v>42</v>
      </c>
      <c r="P93" s="22" t="s">
        <v>42</v>
      </c>
      <c r="Q93" s="22" t="s">
        <v>42</v>
      </c>
      <c r="R93" s="22" t="s">
        <v>42</v>
      </c>
      <c r="S93" s="22"/>
      <c r="T93" s="22"/>
      <c r="U93" s="22"/>
      <c r="V93" s="22" t="s">
        <v>42</v>
      </c>
      <c r="W93" s="22" t="s">
        <v>42</v>
      </c>
      <c r="X93" s="22" t="s">
        <v>42</v>
      </c>
      <c r="Y93" s="22" t="s">
        <v>42</v>
      </c>
      <c r="Z93" s="22" t="s">
        <v>42</v>
      </c>
      <c r="AA93" s="22" t="s">
        <v>42</v>
      </c>
      <c r="AB93" s="22"/>
      <c r="AC93" s="22" t="s">
        <v>42</v>
      </c>
      <c r="AD93" s="22" t="s">
        <v>42</v>
      </c>
      <c r="AE93" s="22"/>
      <c r="AF93" s="22" t="s">
        <v>42</v>
      </c>
      <c r="AG93" s="22" t="s">
        <v>42</v>
      </c>
      <c r="AH93" s="22" t="s">
        <v>42</v>
      </c>
      <c r="AJ93" s="22" t="s">
        <v>42</v>
      </c>
      <c r="AK93" s="22" t="s">
        <v>42</v>
      </c>
      <c r="AL93" s="22" t="s">
        <v>42</v>
      </c>
      <c r="AM93" s="22">
        <f t="shared" si="10"/>
        <v>21</v>
      </c>
    </row>
    <row r="94" spans="1:39" hidden="1" x14ac:dyDescent="0.25">
      <c r="A94" s="20" t="s">
        <v>55</v>
      </c>
      <c r="B94" s="38" t="s">
        <v>252</v>
      </c>
      <c r="C94" s="20" t="s">
        <v>253</v>
      </c>
      <c r="D94" s="20" t="s">
        <v>5</v>
      </c>
      <c r="E94" s="20" t="s">
        <v>7</v>
      </c>
      <c r="F94" s="20" t="s">
        <v>63</v>
      </c>
      <c r="G94" s="39" t="s">
        <v>64</v>
      </c>
      <c r="H94" s="40"/>
      <c r="I94" s="33" t="s">
        <v>40</v>
      </c>
      <c r="J94" s="33"/>
      <c r="K94" s="33"/>
      <c r="L94" s="33" t="s">
        <v>40</v>
      </c>
      <c r="M94" s="33" t="s">
        <v>40</v>
      </c>
      <c r="N94" s="33"/>
      <c r="O94" s="33" t="s">
        <v>40</v>
      </c>
      <c r="P94" s="33" t="s">
        <v>40</v>
      </c>
      <c r="Q94" s="33" t="s">
        <v>40</v>
      </c>
      <c r="R94" s="33" t="s">
        <v>40</v>
      </c>
      <c r="S94" s="33" t="s">
        <v>40</v>
      </c>
      <c r="T94" s="33" t="s">
        <v>40</v>
      </c>
      <c r="U94" s="33"/>
      <c r="V94" s="33" t="s">
        <v>40</v>
      </c>
      <c r="W94" s="33"/>
      <c r="X94" s="33" t="s">
        <v>40</v>
      </c>
      <c r="Y94" s="33" t="s">
        <v>40</v>
      </c>
      <c r="Z94" s="33" t="s">
        <v>40</v>
      </c>
      <c r="AA94" s="33" t="s">
        <v>40</v>
      </c>
      <c r="AB94" s="33"/>
      <c r="AC94" s="33" t="s">
        <v>40</v>
      </c>
      <c r="AD94" s="33" t="s">
        <v>40</v>
      </c>
      <c r="AE94" s="33" t="s">
        <v>40</v>
      </c>
      <c r="AF94" s="33" t="s">
        <v>40</v>
      </c>
      <c r="AG94" s="33" t="s">
        <v>40</v>
      </c>
      <c r="AH94" s="33" t="s">
        <v>40</v>
      </c>
      <c r="AI94" s="33"/>
      <c r="AJ94" s="33" t="s">
        <v>40</v>
      </c>
      <c r="AK94" s="33" t="s">
        <v>40</v>
      </c>
      <c r="AL94" s="33" t="s">
        <v>40</v>
      </c>
      <c r="AM94" s="22">
        <f t="shared" si="10"/>
        <v>23</v>
      </c>
    </row>
    <row r="95" spans="1:39" hidden="1" x14ac:dyDescent="0.25">
      <c r="A95" s="20" t="s">
        <v>55</v>
      </c>
      <c r="B95" s="38" t="s">
        <v>254</v>
      </c>
      <c r="C95" s="20" t="s">
        <v>255</v>
      </c>
      <c r="D95" s="20" t="s">
        <v>11</v>
      </c>
      <c r="E95" s="20" t="s">
        <v>11</v>
      </c>
      <c r="F95" s="20" t="s">
        <v>58</v>
      </c>
      <c r="G95" s="39"/>
      <c r="H95" s="40"/>
      <c r="I95" s="22" t="s">
        <v>42</v>
      </c>
      <c r="L95" s="22" t="s">
        <v>42</v>
      </c>
      <c r="M95" s="22" t="s">
        <v>42</v>
      </c>
      <c r="O95" s="22" t="s">
        <v>42</v>
      </c>
      <c r="R95" s="22"/>
      <c r="S95" s="22" t="s">
        <v>42</v>
      </c>
      <c r="T95" s="22" t="s">
        <v>42</v>
      </c>
      <c r="U95" s="22"/>
      <c r="V95" s="22" t="s">
        <v>42</v>
      </c>
      <c r="W95" s="22"/>
      <c r="X95" s="22" t="s">
        <v>42</v>
      </c>
      <c r="Y95" s="22" t="s">
        <v>42</v>
      </c>
      <c r="Z95" s="22" t="s">
        <v>42</v>
      </c>
      <c r="AA95" s="22" t="s">
        <v>42</v>
      </c>
      <c r="AB95" s="22"/>
      <c r="AC95" s="22" t="s">
        <v>42</v>
      </c>
      <c r="AD95" s="22" t="s">
        <v>42</v>
      </c>
      <c r="AE95" s="22" t="s">
        <v>42</v>
      </c>
      <c r="AF95" s="22" t="s">
        <v>42</v>
      </c>
      <c r="AG95" s="22"/>
      <c r="AH95" s="22" t="s">
        <v>42</v>
      </c>
      <c r="AJ95" s="22" t="s">
        <v>42</v>
      </c>
      <c r="AK95" s="22" t="s">
        <v>42</v>
      </c>
      <c r="AL95" s="22" t="s">
        <v>42</v>
      </c>
      <c r="AM95" s="22">
        <f t="shared" si="10"/>
        <v>19</v>
      </c>
    </row>
    <row r="96" spans="1:39" hidden="1" x14ac:dyDescent="0.25">
      <c r="A96" s="20" t="s">
        <v>55</v>
      </c>
      <c r="B96" s="38" t="s">
        <v>256</v>
      </c>
      <c r="C96" s="20" t="s">
        <v>257</v>
      </c>
      <c r="D96" s="20" t="s">
        <v>22</v>
      </c>
      <c r="E96" s="20" t="s">
        <v>22</v>
      </c>
      <c r="F96" s="20" t="s">
        <v>58</v>
      </c>
      <c r="G96" s="39"/>
      <c r="H96" s="40"/>
      <c r="I96" s="22" t="s">
        <v>42</v>
      </c>
      <c r="L96" s="22" t="s">
        <v>42</v>
      </c>
      <c r="M96" s="22" t="s">
        <v>42</v>
      </c>
      <c r="O96" s="22" t="s">
        <v>42</v>
      </c>
      <c r="P96" s="22" t="s">
        <v>42</v>
      </c>
      <c r="Q96" s="22" t="s">
        <v>42</v>
      </c>
      <c r="R96" s="22" t="s">
        <v>42</v>
      </c>
      <c r="S96" s="22" t="s">
        <v>42</v>
      </c>
      <c r="T96" s="22" t="s">
        <v>42</v>
      </c>
      <c r="U96" s="22"/>
      <c r="V96" s="22" t="s">
        <v>42</v>
      </c>
      <c r="W96" s="22" t="s">
        <v>42</v>
      </c>
      <c r="X96" s="22" t="s">
        <v>42</v>
      </c>
      <c r="Y96" s="22" t="s">
        <v>42</v>
      </c>
      <c r="Z96" s="22" t="s">
        <v>42</v>
      </c>
      <c r="AA96" s="22" t="s">
        <v>42</v>
      </c>
      <c r="AB96" s="22"/>
      <c r="AC96" s="22" t="s">
        <v>42</v>
      </c>
      <c r="AD96" s="22" t="s">
        <v>42</v>
      </c>
      <c r="AE96" s="22" t="s">
        <v>42</v>
      </c>
      <c r="AF96" s="22" t="s">
        <v>42</v>
      </c>
      <c r="AG96" s="22" t="s">
        <v>42</v>
      </c>
      <c r="AH96" s="22" t="s">
        <v>42</v>
      </c>
      <c r="AJ96" s="22" t="s">
        <v>42</v>
      </c>
      <c r="AK96" s="22" t="s">
        <v>42</v>
      </c>
      <c r="AL96" s="22" t="s">
        <v>42</v>
      </c>
      <c r="AM96" s="22">
        <f t="shared" si="10"/>
        <v>24</v>
      </c>
    </row>
    <row r="97" spans="1:39" hidden="1" x14ac:dyDescent="0.25">
      <c r="A97" s="20" t="s">
        <v>55</v>
      </c>
      <c r="B97" s="38" t="s">
        <v>258</v>
      </c>
      <c r="C97" s="20" t="s">
        <v>259</v>
      </c>
      <c r="D97" s="20" t="s">
        <v>21</v>
      </c>
      <c r="E97" s="20" t="s">
        <v>21</v>
      </c>
      <c r="F97" s="20" t="s">
        <v>58</v>
      </c>
      <c r="G97" s="39"/>
      <c r="H97" s="40"/>
      <c r="I97" s="22" t="s">
        <v>42</v>
      </c>
      <c r="L97" s="22" t="s">
        <v>42</v>
      </c>
      <c r="M97" s="22" t="s">
        <v>42</v>
      </c>
      <c r="O97" s="22" t="s">
        <v>42</v>
      </c>
      <c r="P97" s="22" t="s">
        <v>42</v>
      </c>
      <c r="Q97" s="22" t="s">
        <v>42</v>
      </c>
      <c r="R97" s="22" t="s">
        <v>42</v>
      </c>
      <c r="S97" s="22" t="s">
        <v>42</v>
      </c>
      <c r="T97" s="22" t="s">
        <v>42</v>
      </c>
      <c r="U97" s="22"/>
      <c r="V97" s="22" t="s">
        <v>42</v>
      </c>
      <c r="W97" s="22" t="s">
        <v>42</v>
      </c>
      <c r="X97" s="22" t="s">
        <v>42</v>
      </c>
      <c r="Y97" s="22" t="s">
        <v>42</v>
      </c>
      <c r="Z97" s="22" t="s">
        <v>42</v>
      </c>
      <c r="AA97" s="22" t="s">
        <v>42</v>
      </c>
      <c r="AB97" s="22" t="s">
        <v>42</v>
      </c>
      <c r="AC97" s="22" t="s">
        <v>42</v>
      </c>
      <c r="AD97" s="22" t="s">
        <v>42</v>
      </c>
      <c r="AE97" s="22"/>
      <c r="AF97" s="22" t="s">
        <v>42</v>
      </c>
      <c r="AG97" s="22" t="s">
        <v>42</v>
      </c>
      <c r="AH97" s="22" t="s">
        <v>42</v>
      </c>
      <c r="AJ97" s="22" t="s">
        <v>42</v>
      </c>
      <c r="AK97" s="22" t="s">
        <v>42</v>
      </c>
      <c r="AL97" s="22" t="s">
        <v>42</v>
      </c>
      <c r="AM97" s="22">
        <f t="shared" si="10"/>
        <v>24</v>
      </c>
    </row>
    <row r="98" spans="1:39" hidden="1" x14ac:dyDescent="0.25">
      <c r="A98" s="20" t="s">
        <v>55</v>
      </c>
      <c r="B98" s="38" t="s">
        <v>260</v>
      </c>
      <c r="C98" s="20" t="s">
        <v>261</v>
      </c>
      <c r="D98" s="20" t="s">
        <v>11</v>
      </c>
      <c r="E98" s="20" t="s">
        <v>11</v>
      </c>
      <c r="F98" s="20" t="s">
        <v>58</v>
      </c>
      <c r="G98" s="39"/>
      <c r="H98" s="40"/>
      <c r="I98" s="22" t="s">
        <v>42</v>
      </c>
      <c r="L98" s="22" t="s">
        <v>42</v>
      </c>
      <c r="M98" s="22" t="s">
        <v>42</v>
      </c>
      <c r="O98" s="22" t="s">
        <v>42</v>
      </c>
      <c r="P98" s="22" t="s">
        <v>42</v>
      </c>
      <c r="Q98" s="22" t="s">
        <v>42</v>
      </c>
      <c r="R98" s="22" t="s">
        <v>42</v>
      </c>
      <c r="S98" s="22"/>
      <c r="T98" s="22"/>
      <c r="U98" s="22"/>
      <c r="V98" s="22" t="s">
        <v>42</v>
      </c>
      <c r="W98" s="22" t="s">
        <v>42</v>
      </c>
      <c r="X98" s="22" t="s">
        <v>42</v>
      </c>
      <c r="Y98" s="22" t="s">
        <v>42</v>
      </c>
      <c r="Z98" s="22" t="s">
        <v>42</v>
      </c>
      <c r="AA98" s="22" t="s">
        <v>42</v>
      </c>
      <c r="AB98" s="22"/>
      <c r="AC98" s="22" t="s">
        <v>42</v>
      </c>
      <c r="AD98" s="22" t="s">
        <v>42</v>
      </c>
      <c r="AE98" s="22" t="s">
        <v>42</v>
      </c>
      <c r="AF98" s="22" t="s">
        <v>42</v>
      </c>
      <c r="AG98" s="22" t="s">
        <v>42</v>
      </c>
      <c r="AH98" s="22" t="s">
        <v>42</v>
      </c>
      <c r="AJ98" s="22" t="s">
        <v>42</v>
      </c>
      <c r="AK98" s="22" t="s">
        <v>42</v>
      </c>
      <c r="AL98" s="22" t="s">
        <v>42</v>
      </c>
      <c r="AM98" s="22">
        <f t="shared" si="10"/>
        <v>22</v>
      </c>
    </row>
    <row r="99" spans="1:39" hidden="1" x14ac:dyDescent="0.25">
      <c r="A99" s="20" t="s">
        <v>55</v>
      </c>
      <c r="B99" s="38" t="s">
        <v>262</v>
      </c>
      <c r="C99" s="20" t="s">
        <v>263</v>
      </c>
      <c r="D99" s="20" t="s">
        <v>23</v>
      </c>
      <c r="E99" s="20" t="s">
        <v>23</v>
      </c>
      <c r="F99" s="20" t="s">
        <v>58</v>
      </c>
      <c r="G99" s="39"/>
      <c r="H99" s="40"/>
      <c r="I99" s="22" t="s">
        <v>42</v>
      </c>
      <c r="L99" s="22" t="s">
        <v>42</v>
      </c>
      <c r="O99" s="22" t="s">
        <v>42</v>
      </c>
      <c r="Q99" s="22" t="s">
        <v>42</v>
      </c>
      <c r="R99" s="22" t="s">
        <v>42</v>
      </c>
      <c r="S99" s="22" t="s">
        <v>42</v>
      </c>
      <c r="T99" s="22" t="s">
        <v>42</v>
      </c>
      <c r="U99" s="22"/>
      <c r="V99" s="22" t="s">
        <v>42</v>
      </c>
      <c r="W99" s="22" t="s">
        <v>42</v>
      </c>
      <c r="X99" s="22" t="s">
        <v>42</v>
      </c>
      <c r="Y99" s="22" t="s">
        <v>42</v>
      </c>
      <c r="Z99" s="22" t="s">
        <v>42</v>
      </c>
      <c r="AA99" s="22" t="s">
        <v>42</v>
      </c>
      <c r="AB99" s="22"/>
      <c r="AC99" s="22"/>
      <c r="AD99" s="22"/>
      <c r="AE99" s="22"/>
      <c r="AF99" s="22"/>
      <c r="AG99" s="22"/>
      <c r="AH99" s="22"/>
      <c r="AM99" s="22">
        <f t="shared" si="10"/>
        <v>13</v>
      </c>
    </row>
    <row r="100" spans="1:39" hidden="1" x14ac:dyDescent="0.25">
      <c r="A100" s="20" t="s">
        <v>55</v>
      </c>
      <c r="B100" s="38" t="s">
        <v>264</v>
      </c>
      <c r="C100" s="20" t="s">
        <v>265</v>
      </c>
      <c r="D100" s="20" t="s">
        <v>18</v>
      </c>
      <c r="E100" s="20" t="s">
        <v>18</v>
      </c>
      <c r="F100" s="20" t="s">
        <v>58</v>
      </c>
      <c r="G100" s="39"/>
      <c r="H100" s="40"/>
      <c r="I100" s="22" t="s">
        <v>42</v>
      </c>
      <c r="L100" s="22" t="s">
        <v>42</v>
      </c>
      <c r="M100" s="22" t="s">
        <v>42</v>
      </c>
      <c r="O100" s="22" t="s">
        <v>42</v>
      </c>
      <c r="P100" s="22" t="s">
        <v>42</v>
      </c>
      <c r="Q100" s="22" t="s">
        <v>42</v>
      </c>
      <c r="R100" s="22" t="s">
        <v>42</v>
      </c>
      <c r="S100" s="22" t="s">
        <v>42</v>
      </c>
      <c r="T100" s="22" t="s">
        <v>42</v>
      </c>
      <c r="U100" s="22"/>
      <c r="V100" s="22" t="s">
        <v>42</v>
      </c>
      <c r="W100" s="22" t="s">
        <v>42</v>
      </c>
      <c r="X100" s="22" t="s">
        <v>42</v>
      </c>
      <c r="Y100" s="22" t="s">
        <v>42</v>
      </c>
      <c r="Z100" s="22" t="s">
        <v>42</v>
      </c>
      <c r="AA100" s="22" t="s">
        <v>42</v>
      </c>
      <c r="AB100" s="22"/>
      <c r="AC100" s="22" t="s">
        <v>42</v>
      </c>
      <c r="AD100" s="22" t="s">
        <v>42</v>
      </c>
      <c r="AE100" s="22" t="s">
        <v>42</v>
      </c>
      <c r="AF100" s="22" t="s">
        <v>42</v>
      </c>
      <c r="AG100" s="22" t="s">
        <v>42</v>
      </c>
      <c r="AH100" s="22" t="s">
        <v>42</v>
      </c>
      <c r="AJ100" s="22" t="s">
        <v>42</v>
      </c>
      <c r="AK100" s="22" t="s">
        <v>42</v>
      </c>
      <c r="AL100" s="22" t="s">
        <v>42</v>
      </c>
      <c r="AM100" s="22">
        <f t="shared" si="10"/>
        <v>24</v>
      </c>
    </row>
    <row r="101" spans="1:39" hidden="1" x14ac:dyDescent="0.25">
      <c r="A101" s="20" t="s">
        <v>55</v>
      </c>
      <c r="B101" s="38" t="s">
        <v>266</v>
      </c>
      <c r="C101" s="20" t="s">
        <v>267</v>
      </c>
      <c r="D101" s="20" t="s">
        <v>11</v>
      </c>
      <c r="E101" s="20" t="s">
        <v>11</v>
      </c>
      <c r="F101" s="20" t="s">
        <v>58</v>
      </c>
      <c r="G101" s="39"/>
      <c r="H101" s="40"/>
      <c r="I101" s="22" t="s">
        <v>42</v>
      </c>
      <c r="L101" s="22" t="s">
        <v>42</v>
      </c>
      <c r="M101" s="22" t="s">
        <v>42</v>
      </c>
      <c r="O101" s="22" t="s">
        <v>42</v>
      </c>
      <c r="P101" s="22" t="s">
        <v>42</v>
      </c>
      <c r="Q101" s="22" t="s">
        <v>42</v>
      </c>
      <c r="R101" s="22" t="s">
        <v>42</v>
      </c>
      <c r="S101" s="22"/>
      <c r="T101" s="22"/>
      <c r="U101" s="22"/>
      <c r="V101" s="22" t="s">
        <v>42</v>
      </c>
      <c r="W101" s="22" t="s">
        <v>42</v>
      </c>
      <c r="X101" s="22" t="s">
        <v>42</v>
      </c>
      <c r="Y101" s="22" t="s">
        <v>42</v>
      </c>
      <c r="Z101" s="22" t="s">
        <v>42</v>
      </c>
      <c r="AA101" s="22" t="s">
        <v>42</v>
      </c>
      <c r="AB101" s="22"/>
      <c r="AC101" s="22" t="s">
        <v>42</v>
      </c>
      <c r="AD101" s="22" t="s">
        <v>42</v>
      </c>
      <c r="AE101" s="22" t="s">
        <v>42</v>
      </c>
      <c r="AF101" s="22" t="s">
        <v>42</v>
      </c>
      <c r="AG101" s="22" t="s">
        <v>42</v>
      </c>
      <c r="AH101" s="22" t="s">
        <v>42</v>
      </c>
      <c r="AJ101" s="22" t="s">
        <v>42</v>
      </c>
      <c r="AK101" s="22" t="s">
        <v>42</v>
      </c>
      <c r="AL101" s="22" t="s">
        <v>42</v>
      </c>
      <c r="AM101" s="22">
        <f t="shared" si="10"/>
        <v>22</v>
      </c>
    </row>
    <row r="102" spans="1:39" hidden="1" x14ac:dyDescent="0.25">
      <c r="A102" s="20" t="s">
        <v>55</v>
      </c>
      <c r="B102" s="38" t="s">
        <v>268</v>
      </c>
      <c r="C102" s="20" t="s">
        <v>269</v>
      </c>
      <c r="D102" s="20" t="s">
        <v>11</v>
      </c>
      <c r="E102" s="20" t="s">
        <v>11</v>
      </c>
      <c r="F102" s="20" t="s">
        <v>58</v>
      </c>
      <c r="G102" s="39"/>
      <c r="H102" s="40"/>
      <c r="I102" s="22" t="s">
        <v>42</v>
      </c>
      <c r="L102" s="22" t="s">
        <v>42</v>
      </c>
      <c r="M102" s="22" t="s">
        <v>42</v>
      </c>
      <c r="O102" s="22" t="s">
        <v>42</v>
      </c>
      <c r="P102" s="22" t="s">
        <v>42</v>
      </c>
      <c r="Q102" s="22" t="s">
        <v>42</v>
      </c>
      <c r="R102" s="22" t="s">
        <v>42</v>
      </c>
      <c r="S102" s="22"/>
      <c r="T102" s="22"/>
      <c r="U102" s="22"/>
      <c r="V102" s="22" t="s">
        <v>42</v>
      </c>
      <c r="W102" s="22" t="s">
        <v>42</v>
      </c>
      <c r="X102" s="22" t="s">
        <v>42</v>
      </c>
      <c r="Y102" s="22" t="s">
        <v>42</v>
      </c>
      <c r="Z102" s="22" t="s">
        <v>42</v>
      </c>
      <c r="AA102" s="22" t="s">
        <v>42</v>
      </c>
      <c r="AB102" s="22"/>
      <c r="AC102" s="22" t="s">
        <v>42</v>
      </c>
      <c r="AD102" s="22" t="s">
        <v>42</v>
      </c>
      <c r="AE102" s="22" t="s">
        <v>42</v>
      </c>
      <c r="AF102" s="22" t="s">
        <v>42</v>
      </c>
      <c r="AG102" s="22" t="s">
        <v>42</v>
      </c>
      <c r="AH102" s="22" t="s">
        <v>42</v>
      </c>
      <c r="AJ102" s="22" t="s">
        <v>42</v>
      </c>
      <c r="AK102" s="22" t="s">
        <v>42</v>
      </c>
      <c r="AL102" s="22" t="s">
        <v>42</v>
      </c>
      <c r="AM102" s="22">
        <f t="shared" si="10"/>
        <v>22</v>
      </c>
    </row>
    <row r="103" spans="1:39" hidden="1" x14ac:dyDescent="0.25">
      <c r="A103" s="20" t="s">
        <v>55</v>
      </c>
      <c r="B103" s="38" t="s">
        <v>270</v>
      </c>
      <c r="C103" s="20" t="s">
        <v>271</v>
      </c>
      <c r="D103" s="20" t="s">
        <v>11</v>
      </c>
      <c r="E103" s="20" t="s">
        <v>11</v>
      </c>
      <c r="F103" s="20" t="s">
        <v>58</v>
      </c>
      <c r="G103" s="39"/>
      <c r="H103" s="40"/>
      <c r="I103" s="22" t="s">
        <v>42</v>
      </c>
      <c r="L103" s="22" t="s">
        <v>42</v>
      </c>
      <c r="M103" s="22" t="s">
        <v>42</v>
      </c>
      <c r="O103" s="22" t="s">
        <v>42</v>
      </c>
      <c r="P103" s="22" t="s">
        <v>42</v>
      </c>
      <c r="Q103" s="22" t="s">
        <v>42</v>
      </c>
      <c r="R103" s="22" t="s">
        <v>42</v>
      </c>
      <c r="S103" s="22"/>
      <c r="T103" s="22"/>
      <c r="U103" s="22"/>
      <c r="V103" s="22" t="s">
        <v>42</v>
      </c>
      <c r="W103" s="22" t="s">
        <v>42</v>
      </c>
      <c r="X103" s="22" t="s">
        <v>42</v>
      </c>
      <c r="Y103" s="22" t="s">
        <v>42</v>
      </c>
      <c r="Z103" s="22" t="s">
        <v>42</v>
      </c>
      <c r="AA103" s="22" t="s">
        <v>42</v>
      </c>
      <c r="AB103" s="22"/>
      <c r="AC103" s="22" t="s">
        <v>42</v>
      </c>
      <c r="AD103" s="22" t="s">
        <v>42</v>
      </c>
      <c r="AE103" s="22" t="s">
        <v>42</v>
      </c>
      <c r="AF103" s="22" t="s">
        <v>42</v>
      </c>
      <c r="AG103" s="22" t="s">
        <v>42</v>
      </c>
      <c r="AH103" s="22" t="s">
        <v>42</v>
      </c>
      <c r="AJ103" s="22" t="s">
        <v>42</v>
      </c>
      <c r="AK103" s="22" t="s">
        <v>42</v>
      </c>
      <c r="AL103" s="22" t="s">
        <v>42</v>
      </c>
      <c r="AM103" s="22">
        <f t="shared" si="10"/>
        <v>22</v>
      </c>
    </row>
    <row r="104" spans="1:39" hidden="1" x14ac:dyDescent="0.25">
      <c r="A104" s="20" t="s">
        <v>55</v>
      </c>
      <c r="B104" s="38" t="s">
        <v>272</v>
      </c>
      <c r="C104" s="20" t="s">
        <v>273</v>
      </c>
      <c r="D104" s="20" t="s">
        <v>11</v>
      </c>
      <c r="E104" s="20" t="s">
        <v>11</v>
      </c>
      <c r="F104" s="20" t="s">
        <v>58</v>
      </c>
      <c r="G104" s="39"/>
      <c r="H104" s="40"/>
      <c r="I104" s="22" t="s">
        <v>42</v>
      </c>
      <c r="L104" s="22" t="s">
        <v>42</v>
      </c>
      <c r="M104" s="22" t="s">
        <v>42</v>
      </c>
      <c r="O104" s="22" t="s">
        <v>42</v>
      </c>
      <c r="R104" s="22"/>
      <c r="S104" s="22" t="s">
        <v>42</v>
      </c>
      <c r="T104" s="22" t="s">
        <v>42</v>
      </c>
      <c r="U104" s="22"/>
      <c r="V104" s="22" t="s">
        <v>42</v>
      </c>
      <c r="W104" s="22" t="s">
        <v>42</v>
      </c>
      <c r="X104" s="22" t="s">
        <v>42</v>
      </c>
      <c r="Y104" s="22" t="s">
        <v>42</v>
      </c>
      <c r="Z104" s="22" t="s">
        <v>42</v>
      </c>
      <c r="AA104" s="22" t="s">
        <v>42</v>
      </c>
      <c r="AB104" s="22"/>
      <c r="AC104" s="22" t="s">
        <v>42</v>
      </c>
      <c r="AD104" s="22" t="s">
        <v>42</v>
      </c>
      <c r="AE104" s="22" t="s">
        <v>42</v>
      </c>
      <c r="AF104" s="22" t="s">
        <v>42</v>
      </c>
      <c r="AG104" s="22" t="s">
        <v>42</v>
      </c>
      <c r="AH104" s="22" t="s">
        <v>42</v>
      </c>
      <c r="AJ104" s="22" t="s">
        <v>42</v>
      </c>
      <c r="AK104" s="22" t="s">
        <v>42</v>
      </c>
      <c r="AL104" s="22" t="s">
        <v>42</v>
      </c>
      <c r="AM104" s="22">
        <f t="shared" si="10"/>
        <v>21</v>
      </c>
    </row>
    <row r="105" spans="1:39" hidden="1" x14ac:dyDescent="0.25">
      <c r="A105" s="20" t="s">
        <v>55</v>
      </c>
      <c r="B105" s="38" t="s">
        <v>274</v>
      </c>
      <c r="C105" s="20" t="s">
        <v>275</v>
      </c>
      <c r="D105" s="20" t="s">
        <v>25</v>
      </c>
      <c r="E105" s="20" t="s">
        <v>25</v>
      </c>
      <c r="F105" s="20" t="s">
        <v>58</v>
      </c>
      <c r="G105" s="39"/>
      <c r="H105" s="40"/>
      <c r="I105" s="22" t="s">
        <v>42</v>
      </c>
      <c r="L105" s="22" t="s">
        <v>42</v>
      </c>
      <c r="M105" s="22" t="s">
        <v>42</v>
      </c>
      <c r="O105" s="22" t="s">
        <v>42</v>
      </c>
      <c r="P105" s="22" t="s">
        <v>42</v>
      </c>
      <c r="R105" s="22"/>
      <c r="S105" s="22"/>
      <c r="T105" s="22"/>
      <c r="U105" s="22"/>
      <c r="V105" s="22" t="s">
        <v>42</v>
      </c>
      <c r="W105" s="22"/>
      <c r="X105" s="22"/>
      <c r="Y105" s="22"/>
      <c r="Z105" s="22"/>
      <c r="AA105" s="22"/>
      <c r="AB105" s="22"/>
      <c r="AC105" s="22" t="s">
        <v>42</v>
      </c>
      <c r="AD105" s="22" t="s">
        <v>42</v>
      </c>
      <c r="AE105" s="22" t="s">
        <v>42</v>
      </c>
      <c r="AF105" s="22" t="s">
        <v>42</v>
      </c>
      <c r="AG105" s="22" t="s">
        <v>42</v>
      </c>
      <c r="AH105" s="22" t="s">
        <v>42</v>
      </c>
      <c r="AJ105" s="22" t="s">
        <v>42</v>
      </c>
      <c r="AK105" s="22" t="s">
        <v>42</v>
      </c>
      <c r="AL105" s="22" t="s">
        <v>42</v>
      </c>
      <c r="AM105" s="22">
        <f t="shared" si="10"/>
        <v>15</v>
      </c>
    </row>
    <row r="106" spans="1:39" hidden="1" x14ac:dyDescent="0.25">
      <c r="A106" s="20" t="s">
        <v>55</v>
      </c>
      <c r="B106" s="38" t="s">
        <v>276</v>
      </c>
      <c r="C106" s="20" t="s">
        <v>277</v>
      </c>
      <c r="D106" s="20" t="s">
        <v>18</v>
      </c>
      <c r="E106" s="20" t="s">
        <v>18</v>
      </c>
      <c r="F106" s="20" t="s">
        <v>58</v>
      </c>
      <c r="G106" s="39"/>
      <c r="H106" s="40"/>
      <c r="I106" s="22" t="s">
        <v>42</v>
      </c>
      <c r="L106" s="22" t="s">
        <v>42</v>
      </c>
      <c r="M106" s="22" t="s">
        <v>42</v>
      </c>
      <c r="O106" s="22" t="s">
        <v>42</v>
      </c>
      <c r="P106" s="22" t="s">
        <v>42</v>
      </c>
      <c r="Q106" s="22" t="s">
        <v>42</v>
      </c>
      <c r="R106" s="22" t="s">
        <v>42</v>
      </c>
      <c r="S106" s="22" t="s">
        <v>42</v>
      </c>
      <c r="T106" s="22" t="s">
        <v>42</v>
      </c>
      <c r="U106" s="22"/>
      <c r="V106" s="22" t="s">
        <v>42</v>
      </c>
      <c r="W106" s="22" t="s">
        <v>42</v>
      </c>
      <c r="X106" s="22" t="s">
        <v>42</v>
      </c>
      <c r="Y106" s="22" t="s">
        <v>42</v>
      </c>
      <c r="Z106" s="22" t="s">
        <v>42</v>
      </c>
      <c r="AA106" s="22" t="s">
        <v>42</v>
      </c>
      <c r="AB106" s="22"/>
      <c r="AC106" s="22" t="s">
        <v>42</v>
      </c>
      <c r="AD106" s="22" t="s">
        <v>42</v>
      </c>
      <c r="AE106" s="22" t="s">
        <v>42</v>
      </c>
      <c r="AF106" s="22" t="s">
        <v>42</v>
      </c>
      <c r="AG106" s="22"/>
      <c r="AH106" s="22"/>
      <c r="AJ106" s="22" t="s">
        <v>42</v>
      </c>
      <c r="AK106" s="22" t="s">
        <v>42</v>
      </c>
      <c r="AL106" s="22" t="s">
        <v>42</v>
      </c>
      <c r="AM106" s="22">
        <f t="shared" si="10"/>
        <v>22</v>
      </c>
    </row>
    <row r="107" spans="1:39" hidden="1" x14ac:dyDescent="0.25">
      <c r="A107" s="20" t="s">
        <v>55</v>
      </c>
      <c r="B107" s="38" t="s">
        <v>280</v>
      </c>
      <c r="C107" s="20" t="s">
        <v>281</v>
      </c>
      <c r="D107" s="20" t="s">
        <v>11</v>
      </c>
      <c r="E107" s="20" t="s">
        <v>11</v>
      </c>
      <c r="F107" s="20" t="s">
        <v>58</v>
      </c>
      <c r="G107" s="39"/>
      <c r="H107" s="40"/>
      <c r="I107" s="22" t="s">
        <v>42</v>
      </c>
      <c r="J107" s="33"/>
      <c r="L107" s="22" t="s">
        <v>42</v>
      </c>
      <c r="M107" s="22" t="s">
        <v>42</v>
      </c>
      <c r="O107" s="22" t="s">
        <v>42</v>
      </c>
      <c r="R107" s="22"/>
      <c r="S107" s="22" t="s">
        <v>42</v>
      </c>
      <c r="T107" s="22" t="s">
        <v>42</v>
      </c>
      <c r="U107" s="22"/>
      <c r="V107" s="22" t="s">
        <v>42</v>
      </c>
      <c r="W107" s="22" t="s">
        <v>42</v>
      </c>
      <c r="X107" s="22" t="s">
        <v>42</v>
      </c>
      <c r="Y107" s="22" t="s">
        <v>42</v>
      </c>
      <c r="Z107" s="22" t="s">
        <v>42</v>
      </c>
      <c r="AA107" s="22" t="s">
        <v>42</v>
      </c>
      <c r="AB107" s="22"/>
      <c r="AC107" s="22" t="s">
        <v>42</v>
      </c>
      <c r="AD107" s="22" t="s">
        <v>42</v>
      </c>
      <c r="AE107" s="22" t="s">
        <v>42</v>
      </c>
      <c r="AF107" s="22" t="s">
        <v>42</v>
      </c>
      <c r="AG107" s="22" t="s">
        <v>42</v>
      </c>
      <c r="AH107" s="22" t="s">
        <v>42</v>
      </c>
      <c r="AJ107" s="22" t="s">
        <v>42</v>
      </c>
      <c r="AK107" s="22" t="s">
        <v>42</v>
      </c>
      <c r="AL107" s="22" t="s">
        <v>42</v>
      </c>
      <c r="AM107" s="22">
        <f t="shared" si="10"/>
        <v>21</v>
      </c>
    </row>
    <row r="108" spans="1:39" hidden="1" x14ac:dyDescent="0.25">
      <c r="A108" s="20" t="s">
        <v>55</v>
      </c>
      <c r="B108" s="38" t="s">
        <v>282</v>
      </c>
      <c r="C108" s="20" t="s">
        <v>283</v>
      </c>
      <c r="D108" s="20" t="s">
        <v>22</v>
      </c>
      <c r="E108" s="20" t="s">
        <v>22</v>
      </c>
      <c r="F108" s="20" t="s">
        <v>58</v>
      </c>
      <c r="G108" s="39"/>
      <c r="H108" s="40"/>
      <c r="I108" s="22" t="s">
        <v>42</v>
      </c>
      <c r="J108" s="33"/>
      <c r="L108" s="22" t="s">
        <v>42</v>
      </c>
      <c r="M108" s="22" t="s">
        <v>42</v>
      </c>
      <c r="O108" s="22" t="s">
        <v>42</v>
      </c>
      <c r="P108" s="22" t="s">
        <v>42</v>
      </c>
      <c r="Q108" s="22" t="s">
        <v>42</v>
      </c>
      <c r="R108" s="22" t="s">
        <v>42</v>
      </c>
      <c r="S108" s="22" t="s">
        <v>42</v>
      </c>
      <c r="T108" s="22" t="s">
        <v>42</v>
      </c>
      <c r="U108" s="22"/>
      <c r="V108" s="22" t="s">
        <v>42</v>
      </c>
      <c r="W108" s="22" t="s">
        <v>42</v>
      </c>
      <c r="X108" s="22" t="s">
        <v>42</v>
      </c>
      <c r="Y108" s="22" t="s">
        <v>42</v>
      </c>
      <c r="Z108" s="22" t="s">
        <v>42</v>
      </c>
      <c r="AA108" s="22" t="s">
        <v>42</v>
      </c>
      <c r="AB108" s="22"/>
      <c r="AC108" s="22" t="s">
        <v>42</v>
      </c>
      <c r="AD108" s="22" t="s">
        <v>42</v>
      </c>
      <c r="AE108" s="22" t="s">
        <v>42</v>
      </c>
      <c r="AF108" s="22" t="s">
        <v>42</v>
      </c>
      <c r="AG108" s="22" t="s">
        <v>42</v>
      </c>
      <c r="AH108" s="22" t="s">
        <v>42</v>
      </c>
      <c r="AJ108" s="22" t="s">
        <v>42</v>
      </c>
      <c r="AK108" s="22" t="s">
        <v>42</v>
      </c>
      <c r="AL108" s="22" t="s">
        <v>42</v>
      </c>
      <c r="AM108" s="22">
        <f t="shared" si="10"/>
        <v>24</v>
      </c>
    </row>
    <row r="109" spans="1:39" hidden="1" x14ac:dyDescent="0.25">
      <c r="A109" s="20" t="s">
        <v>55</v>
      </c>
      <c r="B109" s="38" t="s">
        <v>284</v>
      </c>
      <c r="C109" s="20" t="s">
        <v>285</v>
      </c>
      <c r="D109" s="20" t="s">
        <v>11</v>
      </c>
      <c r="E109" s="20" t="s">
        <v>11</v>
      </c>
      <c r="F109" s="20" t="s">
        <v>58</v>
      </c>
      <c r="G109" s="39"/>
      <c r="H109" s="40"/>
      <c r="I109" s="22" t="s">
        <v>42</v>
      </c>
      <c r="L109" s="22" t="s">
        <v>42</v>
      </c>
      <c r="M109" s="22" t="s">
        <v>42</v>
      </c>
      <c r="O109" s="22" t="s">
        <v>42</v>
      </c>
      <c r="P109" s="22" t="s">
        <v>42</v>
      </c>
      <c r="Q109" s="22" t="s">
        <v>42</v>
      </c>
      <c r="R109" s="22" t="s">
        <v>42</v>
      </c>
      <c r="U109" s="22"/>
      <c r="V109" s="22" t="s">
        <v>42</v>
      </c>
      <c r="W109" s="22" t="s">
        <v>42</v>
      </c>
      <c r="X109" s="22" t="s">
        <v>42</v>
      </c>
      <c r="Y109" s="22" t="s">
        <v>42</v>
      </c>
      <c r="Z109" s="22" t="s">
        <v>42</v>
      </c>
      <c r="AA109" s="22" t="s">
        <v>42</v>
      </c>
      <c r="AB109" s="22"/>
      <c r="AC109" s="22" t="s">
        <v>42</v>
      </c>
      <c r="AD109" s="22" t="s">
        <v>42</v>
      </c>
      <c r="AE109" s="22"/>
      <c r="AF109" s="22" t="s">
        <v>42</v>
      </c>
      <c r="AG109" s="22" t="s">
        <v>42</v>
      </c>
      <c r="AH109" s="22" t="s">
        <v>42</v>
      </c>
      <c r="AJ109" s="22" t="s">
        <v>42</v>
      </c>
      <c r="AL109" s="22" t="s">
        <v>42</v>
      </c>
      <c r="AM109" s="22">
        <f t="shared" si="10"/>
        <v>20</v>
      </c>
    </row>
    <row r="110" spans="1:39" hidden="1" x14ac:dyDescent="0.25">
      <c r="A110" s="20" t="s">
        <v>55</v>
      </c>
      <c r="B110" s="38" t="s">
        <v>286</v>
      </c>
      <c r="C110" s="20" t="s">
        <v>287</v>
      </c>
      <c r="D110" s="20" t="s">
        <v>11</v>
      </c>
      <c r="E110" s="20" t="s">
        <v>11</v>
      </c>
      <c r="F110" s="20" t="s">
        <v>58</v>
      </c>
      <c r="G110" s="39"/>
      <c r="H110" s="40"/>
      <c r="I110" s="22" t="s">
        <v>42</v>
      </c>
      <c r="L110" s="22" t="s">
        <v>42</v>
      </c>
      <c r="M110" s="22" t="s">
        <v>42</v>
      </c>
      <c r="O110" s="22" t="s">
        <v>42</v>
      </c>
      <c r="R110" s="22"/>
      <c r="S110" s="22" t="s">
        <v>42</v>
      </c>
      <c r="T110" s="22" t="s">
        <v>42</v>
      </c>
      <c r="U110" s="22"/>
      <c r="V110" s="22" t="s">
        <v>42</v>
      </c>
      <c r="W110" s="22" t="s">
        <v>42</v>
      </c>
      <c r="X110" s="22" t="s">
        <v>42</v>
      </c>
      <c r="Y110" s="22" t="s">
        <v>42</v>
      </c>
      <c r="Z110" s="22" t="s">
        <v>42</v>
      </c>
      <c r="AA110" s="22" t="s">
        <v>42</v>
      </c>
      <c r="AB110" s="22"/>
      <c r="AC110" s="22"/>
      <c r="AD110" s="22" t="s">
        <v>42</v>
      </c>
      <c r="AE110" s="22" t="s">
        <v>42</v>
      </c>
      <c r="AF110" s="22" t="s">
        <v>42</v>
      </c>
      <c r="AG110" s="22" t="s">
        <v>42</v>
      </c>
      <c r="AH110" s="22" t="s">
        <v>42</v>
      </c>
      <c r="AJ110" s="22" t="s">
        <v>42</v>
      </c>
      <c r="AK110" s="22" t="s">
        <v>42</v>
      </c>
      <c r="AL110" s="22" t="s">
        <v>42</v>
      </c>
      <c r="AM110" s="22">
        <f t="shared" si="10"/>
        <v>20</v>
      </c>
    </row>
    <row r="111" spans="1:39" hidden="1" x14ac:dyDescent="0.25">
      <c r="A111" s="20" t="s">
        <v>55</v>
      </c>
      <c r="B111" s="38" t="s">
        <v>288</v>
      </c>
      <c r="C111" s="20" t="s">
        <v>289</v>
      </c>
      <c r="D111" s="20" t="s">
        <v>11</v>
      </c>
      <c r="E111" s="20" t="s">
        <v>11</v>
      </c>
      <c r="F111" s="20" t="s">
        <v>58</v>
      </c>
      <c r="G111" s="39"/>
      <c r="H111" s="40"/>
      <c r="I111" s="22" t="s">
        <v>42</v>
      </c>
      <c r="L111" s="22" t="s">
        <v>42</v>
      </c>
      <c r="M111" s="22" t="s">
        <v>42</v>
      </c>
      <c r="O111" s="22" t="s">
        <v>42</v>
      </c>
      <c r="R111" s="22"/>
      <c r="S111" s="22" t="s">
        <v>42</v>
      </c>
      <c r="T111" s="22" t="s">
        <v>42</v>
      </c>
      <c r="U111" s="22"/>
      <c r="V111" s="22" t="s">
        <v>42</v>
      </c>
      <c r="W111" s="22" t="s">
        <v>42</v>
      </c>
      <c r="X111" s="22" t="s">
        <v>42</v>
      </c>
      <c r="Y111" s="22" t="s">
        <v>42</v>
      </c>
      <c r="Z111" s="22" t="s">
        <v>42</v>
      </c>
      <c r="AA111" s="22" t="s">
        <v>42</v>
      </c>
      <c r="AB111" s="22"/>
      <c r="AC111" s="22" t="s">
        <v>42</v>
      </c>
      <c r="AD111" s="22" t="s">
        <v>42</v>
      </c>
      <c r="AE111" s="22" t="s">
        <v>42</v>
      </c>
      <c r="AF111" s="22" t="s">
        <v>42</v>
      </c>
      <c r="AG111" s="22" t="s">
        <v>42</v>
      </c>
      <c r="AH111" s="22" t="s">
        <v>42</v>
      </c>
      <c r="AJ111" s="22" t="s">
        <v>42</v>
      </c>
      <c r="AK111" s="22" t="s">
        <v>42</v>
      </c>
      <c r="AL111" s="22" t="s">
        <v>42</v>
      </c>
      <c r="AM111" s="22">
        <f t="shared" si="10"/>
        <v>21</v>
      </c>
    </row>
    <row r="112" spans="1:39" hidden="1" x14ac:dyDescent="0.25">
      <c r="A112" s="20" t="s">
        <v>55</v>
      </c>
      <c r="B112" s="38" t="s">
        <v>290</v>
      </c>
      <c r="C112" s="20" t="s">
        <v>291</v>
      </c>
      <c r="D112" s="20" t="s">
        <v>23</v>
      </c>
      <c r="E112" s="20" t="s">
        <v>23</v>
      </c>
      <c r="F112" s="20" t="s">
        <v>58</v>
      </c>
      <c r="G112" s="39"/>
      <c r="H112" s="40"/>
      <c r="I112" s="22" t="s">
        <v>42</v>
      </c>
      <c r="L112" s="22" t="s">
        <v>42</v>
      </c>
      <c r="M112" s="22" t="s">
        <v>42</v>
      </c>
      <c r="O112" s="22" t="s">
        <v>42</v>
      </c>
      <c r="P112" s="22" t="s">
        <v>42</v>
      </c>
      <c r="R112" s="22"/>
      <c r="S112" s="22"/>
      <c r="T112" s="22"/>
      <c r="U112" s="22"/>
      <c r="V112" s="22" t="s">
        <v>42</v>
      </c>
      <c r="W112" s="22"/>
      <c r="X112" s="22"/>
      <c r="Y112" s="22"/>
      <c r="Z112" s="22"/>
      <c r="AA112" s="22"/>
      <c r="AB112" s="22"/>
      <c r="AC112" s="22" t="s">
        <v>42</v>
      </c>
      <c r="AD112" s="22" t="s">
        <v>42</v>
      </c>
      <c r="AE112" s="22" t="s">
        <v>42</v>
      </c>
      <c r="AF112" s="22" t="s">
        <v>42</v>
      </c>
      <c r="AG112" s="22" t="s">
        <v>42</v>
      </c>
      <c r="AH112" s="22" t="s">
        <v>42</v>
      </c>
      <c r="AJ112" s="22" t="s">
        <v>42</v>
      </c>
      <c r="AK112" s="22" t="s">
        <v>42</v>
      </c>
      <c r="AL112" s="22" t="s">
        <v>42</v>
      </c>
      <c r="AM112" s="22">
        <f t="shared" si="10"/>
        <v>15</v>
      </c>
    </row>
    <row r="113" spans="1:39" hidden="1" x14ac:dyDescent="0.25">
      <c r="A113" s="20" t="s">
        <v>55</v>
      </c>
      <c r="B113" s="38" t="s">
        <v>292</v>
      </c>
      <c r="C113" s="20" t="s">
        <v>293</v>
      </c>
      <c r="D113" s="20" t="s">
        <v>18</v>
      </c>
      <c r="E113" s="20" t="s">
        <v>18</v>
      </c>
      <c r="F113" s="20" t="s">
        <v>58</v>
      </c>
      <c r="G113" s="39"/>
      <c r="H113" s="40"/>
      <c r="I113" s="22" t="s">
        <v>42</v>
      </c>
      <c r="J113" s="33"/>
      <c r="L113" s="22" t="s">
        <v>42</v>
      </c>
      <c r="M113" s="22" t="s">
        <v>42</v>
      </c>
      <c r="O113" s="22" t="s">
        <v>42</v>
      </c>
      <c r="P113" s="22" t="s">
        <v>42</v>
      </c>
      <c r="Q113" s="22" t="s">
        <v>42</v>
      </c>
      <c r="R113" s="22" t="s">
        <v>42</v>
      </c>
      <c r="S113" s="22" t="s">
        <v>42</v>
      </c>
      <c r="T113" s="22" t="s">
        <v>42</v>
      </c>
      <c r="U113" s="22"/>
      <c r="V113" s="22" t="s">
        <v>42</v>
      </c>
      <c r="W113" s="22" t="s">
        <v>42</v>
      </c>
      <c r="X113" s="22" t="s">
        <v>42</v>
      </c>
      <c r="Y113" s="22" t="s">
        <v>42</v>
      </c>
      <c r="Z113" s="22" t="s">
        <v>42</v>
      </c>
      <c r="AA113" s="22" t="s">
        <v>42</v>
      </c>
      <c r="AB113" s="22"/>
      <c r="AC113" s="22" t="s">
        <v>42</v>
      </c>
      <c r="AD113" s="22" t="s">
        <v>42</v>
      </c>
      <c r="AE113" s="22"/>
      <c r="AF113" s="22" t="s">
        <v>42</v>
      </c>
      <c r="AG113" s="22" t="s">
        <v>42</v>
      </c>
      <c r="AH113" s="22" t="s">
        <v>42</v>
      </c>
      <c r="AJ113" s="22" t="s">
        <v>42</v>
      </c>
      <c r="AK113" s="22" t="s">
        <v>42</v>
      </c>
      <c r="AL113" s="22" t="s">
        <v>42</v>
      </c>
      <c r="AM113" s="22">
        <f t="shared" si="10"/>
        <v>23</v>
      </c>
    </row>
    <row r="114" spans="1:39" hidden="1" x14ac:dyDescent="0.25">
      <c r="A114" s="20" t="s">
        <v>55</v>
      </c>
      <c r="B114" s="38" t="s">
        <v>294</v>
      </c>
      <c r="C114" s="20" t="s">
        <v>295</v>
      </c>
      <c r="D114" s="20" t="s">
        <v>18</v>
      </c>
      <c r="E114" s="20" t="s">
        <v>18</v>
      </c>
      <c r="F114" s="20" t="s">
        <v>58</v>
      </c>
      <c r="G114" s="39"/>
      <c r="H114" s="40"/>
      <c r="I114" s="22" t="s">
        <v>42</v>
      </c>
      <c r="L114" s="22" t="s">
        <v>42</v>
      </c>
      <c r="M114" s="22" t="s">
        <v>42</v>
      </c>
      <c r="O114" s="22" t="s">
        <v>42</v>
      </c>
      <c r="P114" s="22" t="s">
        <v>42</v>
      </c>
      <c r="Q114" s="22" t="s">
        <v>42</v>
      </c>
      <c r="R114" s="22" t="s">
        <v>42</v>
      </c>
      <c r="S114" s="22" t="s">
        <v>42</v>
      </c>
      <c r="T114" s="22" t="s">
        <v>42</v>
      </c>
      <c r="U114" s="22"/>
      <c r="V114" s="22" t="s">
        <v>42</v>
      </c>
      <c r="W114" s="22" t="s">
        <v>42</v>
      </c>
      <c r="X114" s="22" t="s">
        <v>42</v>
      </c>
      <c r="Y114" s="22" t="s">
        <v>42</v>
      </c>
      <c r="Z114" s="22" t="s">
        <v>42</v>
      </c>
      <c r="AA114" s="22" t="s">
        <v>42</v>
      </c>
      <c r="AB114" s="22"/>
      <c r="AC114" s="22" t="s">
        <v>42</v>
      </c>
      <c r="AD114" s="22" t="s">
        <v>42</v>
      </c>
      <c r="AE114" s="22" t="s">
        <v>42</v>
      </c>
      <c r="AF114" s="22" t="s">
        <v>42</v>
      </c>
      <c r="AG114" s="22" t="s">
        <v>42</v>
      </c>
      <c r="AH114" s="22" t="s">
        <v>42</v>
      </c>
      <c r="AJ114" s="22" t="s">
        <v>42</v>
      </c>
      <c r="AK114" s="22" t="s">
        <v>42</v>
      </c>
      <c r="AL114" s="22" t="s">
        <v>42</v>
      </c>
      <c r="AM114" s="22">
        <f t="shared" si="10"/>
        <v>24</v>
      </c>
    </row>
    <row r="115" spans="1:39" hidden="1" x14ac:dyDescent="0.25">
      <c r="A115" s="20" t="s">
        <v>55</v>
      </c>
      <c r="B115" s="38" t="s">
        <v>296</v>
      </c>
      <c r="C115" s="20" t="s">
        <v>297</v>
      </c>
      <c r="D115" s="20" t="s">
        <v>18</v>
      </c>
      <c r="E115" s="20" t="s">
        <v>18</v>
      </c>
      <c r="F115" s="20" t="s">
        <v>58</v>
      </c>
      <c r="G115" s="39"/>
      <c r="H115" s="40"/>
      <c r="I115" s="22" t="s">
        <v>42</v>
      </c>
      <c r="L115" s="22" t="s">
        <v>42</v>
      </c>
      <c r="M115" s="22" t="s">
        <v>42</v>
      </c>
      <c r="O115" s="22" t="s">
        <v>42</v>
      </c>
      <c r="P115" s="22" t="s">
        <v>42</v>
      </c>
      <c r="Q115" s="22" t="s">
        <v>42</v>
      </c>
      <c r="R115" s="22" t="s">
        <v>42</v>
      </c>
      <c r="S115" s="22" t="s">
        <v>42</v>
      </c>
      <c r="T115" s="22" t="s">
        <v>42</v>
      </c>
      <c r="U115" s="22"/>
      <c r="V115" s="22" t="s">
        <v>42</v>
      </c>
      <c r="W115" s="22" t="s">
        <v>42</v>
      </c>
      <c r="X115" s="22" t="s">
        <v>42</v>
      </c>
      <c r="Y115" s="22" t="s">
        <v>42</v>
      </c>
      <c r="Z115" s="22" t="s">
        <v>42</v>
      </c>
      <c r="AA115" s="22" t="s">
        <v>42</v>
      </c>
      <c r="AB115" s="22"/>
      <c r="AC115" s="22" t="s">
        <v>42</v>
      </c>
      <c r="AD115" s="22" t="s">
        <v>42</v>
      </c>
      <c r="AE115" s="22" t="s">
        <v>42</v>
      </c>
      <c r="AF115" s="22" t="s">
        <v>42</v>
      </c>
      <c r="AG115" s="22" t="s">
        <v>42</v>
      </c>
      <c r="AH115" s="22" t="s">
        <v>42</v>
      </c>
      <c r="AJ115" s="22" t="s">
        <v>42</v>
      </c>
      <c r="AK115" s="22" t="s">
        <v>42</v>
      </c>
      <c r="AL115" s="22" t="s">
        <v>42</v>
      </c>
      <c r="AM115" s="22">
        <f t="shared" si="10"/>
        <v>24</v>
      </c>
    </row>
    <row r="116" spans="1:39" hidden="1" x14ac:dyDescent="0.25">
      <c r="A116" s="20" t="s">
        <v>55</v>
      </c>
      <c r="B116" s="38" t="s">
        <v>298</v>
      </c>
      <c r="C116" s="20" t="s">
        <v>299</v>
      </c>
      <c r="D116" s="20" t="s">
        <v>18</v>
      </c>
      <c r="E116" s="20" t="s">
        <v>18</v>
      </c>
      <c r="F116" s="20" t="s">
        <v>58</v>
      </c>
      <c r="G116" s="39"/>
      <c r="H116" s="40"/>
      <c r="I116" s="22" t="s">
        <v>42</v>
      </c>
      <c r="L116" s="22" t="s">
        <v>42</v>
      </c>
      <c r="M116" s="22" t="s">
        <v>42</v>
      </c>
      <c r="O116" s="22" t="s">
        <v>42</v>
      </c>
      <c r="P116" s="22" t="s">
        <v>42</v>
      </c>
      <c r="R116" s="22" t="s">
        <v>42</v>
      </c>
      <c r="S116" s="22" t="s">
        <v>42</v>
      </c>
      <c r="T116" s="22" t="s">
        <v>42</v>
      </c>
      <c r="U116" s="22"/>
      <c r="V116" s="22" t="s">
        <v>42</v>
      </c>
      <c r="W116" s="22" t="s">
        <v>42</v>
      </c>
      <c r="X116" s="22" t="s">
        <v>42</v>
      </c>
      <c r="Y116" s="22" t="s">
        <v>42</v>
      </c>
      <c r="Z116" s="22" t="s">
        <v>42</v>
      </c>
      <c r="AA116" s="22"/>
      <c r="AB116" s="22"/>
      <c r="AC116" s="22" t="s">
        <v>42</v>
      </c>
      <c r="AD116" s="22" t="s">
        <v>42</v>
      </c>
      <c r="AE116" s="22" t="s">
        <v>42</v>
      </c>
      <c r="AF116" s="22" t="s">
        <v>42</v>
      </c>
      <c r="AG116" s="22" t="s">
        <v>42</v>
      </c>
      <c r="AH116" s="22" t="s">
        <v>42</v>
      </c>
      <c r="AJ116" s="22" t="s">
        <v>42</v>
      </c>
      <c r="AK116" s="22" t="s">
        <v>42</v>
      </c>
      <c r="AL116" s="22" t="s">
        <v>42</v>
      </c>
      <c r="AM116" s="22">
        <f t="shared" si="10"/>
        <v>22</v>
      </c>
    </row>
    <row r="117" spans="1:39" hidden="1" x14ac:dyDescent="0.25">
      <c r="A117" s="20" t="s">
        <v>55</v>
      </c>
      <c r="B117" s="38" t="s">
        <v>300</v>
      </c>
      <c r="C117" s="20" t="s">
        <v>301</v>
      </c>
      <c r="D117" s="20" t="s">
        <v>11</v>
      </c>
      <c r="E117" s="20" t="s">
        <v>11</v>
      </c>
      <c r="F117" s="20" t="s">
        <v>58</v>
      </c>
      <c r="G117" s="39"/>
      <c r="H117" s="40"/>
      <c r="I117" s="22" t="s">
        <v>42</v>
      </c>
      <c r="O117" s="22" t="s">
        <v>42</v>
      </c>
      <c r="P117" s="22" t="s">
        <v>42</v>
      </c>
      <c r="Q117" s="22" t="s">
        <v>42</v>
      </c>
      <c r="R117" s="22" t="s">
        <v>42</v>
      </c>
      <c r="S117" s="22"/>
      <c r="T117" s="22"/>
      <c r="U117" s="22"/>
      <c r="V117" s="22" t="s">
        <v>42</v>
      </c>
      <c r="W117" s="22" t="s">
        <v>42</v>
      </c>
      <c r="X117" s="22" t="s">
        <v>42</v>
      </c>
      <c r="Y117" s="22" t="s">
        <v>42</v>
      </c>
      <c r="Z117" s="22" t="s">
        <v>42</v>
      </c>
      <c r="AA117" s="22" t="s">
        <v>42</v>
      </c>
      <c r="AB117" s="22"/>
      <c r="AC117" s="22"/>
      <c r="AD117" s="22" t="s">
        <v>42</v>
      </c>
      <c r="AE117" s="22" t="s">
        <v>42</v>
      </c>
      <c r="AF117" s="22" t="s">
        <v>42</v>
      </c>
      <c r="AG117" s="22" t="s">
        <v>42</v>
      </c>
      <c r="AH117" s="22" t="s">
        <v>42</v>
      </c>
      <c r="AJ117" s="22" t="s">
        <v>42</v>
      </c>
      <c r="AK117" s="22" t="s">
        <v>42</v>
      </c>
      <c r="AL117" s="22" t="s">
        <v>42</v>
      </c>
      <c r="AM117" s="22">
        <f t="shared" si="10"/>
        <v>19</v>
      </c>
    </row>
    <row r="118" spans="1:39" x14ac:dyDescent="0.25">
      <c r="A118" s="20" t="s">
        <v>55</v>
      </c>
      <c r="B118" s="38" t="s">
        <v>302</v>
      </c>
      <c r="C118" s="20" t="s">
        <v>303</v>
      </c>
      <c r="D118" s="20" t="s">
        <v>21</v>
      </c>
      <c r="E118" s="20" t="s">
        <v>21</v>
      </c>
      <c r="F118" s="20" t="s">
        <v>58</v>
      </c>
      <c r="G118" s="39"/>
      <c r="H118" s="40"/>
      <c r="I118" s="22" t="s">
        <v>42</v>
      </c>
      <c r="J118" s="33"/>
      <c r="L118" s="22" t="s">
        <v>42</v>
      </c>
      <c r="M118" s="22" t="s">
        <v>42</v>
      </c>
      <c r="O118" s="22" t="s">
        <v>42</v>
      </c>
      <c r="P118" s="22" t="s">
        <v>42</v>
      </c>
      <c r="Q118" s="22" t="s">
        <v>42</v>
      </c>
      <c r="R118" s="22" t="s">
        <v>42</v>
      </c>
      <c r="S118" s="22" t="s">
        <v>42</v>
      </c>
      <c r="T118" s="22"/>
      <c r="U118" s="22"/>
      <c r="V118" s="22" t="s">
        <v>42</v>
      </c>
      <c r="W118" s="22" t="s">
        <v>42</v>
      </c>
      <c r="X118" s="22" t="s">
        <v>42</v>
      </c>
      <c r="Y118" s="22" t="s">
        <v>42</v>
      </c>
      <c r="Z118" s="22" t="s">
        <v>42</v>
      </c>
      <c r="AA118" s="22" t="s">
        <v>42</v>
      </c>
      <c r="AB118" s="22" t="s">
        <v>42</v>
      </c>
      <c r="AC118" s="22"/>
      <c r="AD118" s="22" t="s">
        <v>42</v>
      </c>
      <c r="AE118" s="22" t="s">
        <v>42</v>
      </c>
      <c r="AF118" s="22" t="s">
        <v>42</v>
      </c>
      <c r="AG118" s="22" t="s">
        <v>42</v>
      </c>
      <c r="AH118" s="22" t="s">
        <v>42</v>
      </c>
      <c r="AI118" s="22" t="s">
        <v>42</v>
      </c>
      <c r="AJ118" s="22" t="s">
        <v>42</v>
      </c>
      <c r="AK118" s="22" t="s">
        <v>42</v>
      </c>
      <c r="AL118" s="22" t="s">
        <v>42</v>
      </c>
      <c r="AM118" s="22">
        <f t="shared" si="10"/>
        <v>24</v>
      </c>
    </row>
    <row r="119" spans="1:39" x14ac:dyDescent="0.25">
      <c r="A119" s="20" t="s">
        <v>55</v>
      </c>
      <c r="B119" s="38" t="s">
        <v>304</v>
      </c>
      <c r="C119" s="20" t="s">
        <v>305</v>
      </c>
      <c r="D119" s="20" t="s">
        <v>21</v>
      </c>
      <c r="E119" s="20" t="s">
        <v>21</v>
      </c>
      <c r="F119" s="20" t="s">
        <v>58</v>
      </c>
      <c r="G119" s="39"/>
      <c r="H119" s="40"/>
      <c r="I119" s="22" t="s">
        <v>42</v>
      </c>
      <c r="L119" s="22" t="s">
        <v>42</v>
      </c>
      <c r="M119" s="22" t="s">
        <v>42</v>
      </c>
      <c r="N119" s="22" t="s">
        <v>42</v>
      </c>
      <c r="O119" s="22" t="s">
        <v>42</v>
      </c>
      <c r="P119" s="22" t="s">
        <v>42</v>
      </c>
      <c r="Q119" s="22" t="s">
        <v>42</v>
      </c>
      <c r="R119" s="22" t="s">
        <v>42</v>
      </c>
      <c r="S119" s="22" t="s">
        <v>42</v>
      </c>
      <c r="T119" s="22" t="s">
        <v>42</v>
      </c>
      <c r="U119" s="22"/>
      <c r="V119" s="22" t="s">
        <v>42</v>
      </c>
      <c r="W119" s="22" t="s">
        <v>42</v>
      </c>
      <c r="X119" s="22" t="s">
        <v>42</v>
      </c>
      <c r="Y119" s="22" t="s">
        <v>42</v>
      </c>
      <c r="Z119" s="22" t="s">
        <v>42</v>
      </c>
      <c r="AA119" s="22" t="s">
        <v>42</v>
      </c>
      <c r="AB119" s="22" t="s">
        <v>42</v>
      </c>
      <c r="AC119" s="22" t="s">
        <v>42</v>
      </c>
      <c r="AD119" s="22" t="s">
        <v>42</v>
      </c>
      <c r="AE119" s="22" t="s">
        <v>42</v>
      </c>
      <c r="AF119" s="22" t="s">
        <v>42</v>
      </c>
      <c r="AG119" s="22" t="s">
        <v>42</v>
      </c>
      <c r="AH119" s="22" t="s">
        <v>42</v>
      </c>
      <c r="AI119" s="22" t="s">
        <v>42</v>
      </c>
      <c r="AJ119" s="22" t="s">
        <v>42</v>
      </c>
      <c r="AK119" s="22" t="s">
        <v>42</v>
      </c>
      <c r="AL119" s="22" t="s">
        <v>42</v>
      </c>
      <c r="AM119" s="22">
        <f t="shared" si="10"/>
        <v>27</v>
      </c>
    </row>
    <row r="120" spans="1:39" hidden="1" x14ac:dyDescent="0.25">
      <c r="A120" s="20" t="s">
        <v>55</v>
      </c>
      <c r="B120" s="38" t="s">
        <v>306</v>
      </c>
      <c r="C120" s="20" t="s">
        <v>307</v>
      </c>
      <c r="D120" s="20" t="s">
        <v>11</v>
      </c>
      <c r="E120" s="20" t="s">
        <v>11</v>
      </c>
      <c r="F120" s="20" t="s">
        <v>58</v>
      </c>
      <c r="G120" s="39"/>
      <c r="H120" s="40"/>
      <c r="I120" s="22" t="s">
        <v>42</v>
      </c>
      <c r="L120" s="22" t="s">
        <v>42</v>
      </c>
      <c r="M120" s="22" t="s">
        <v>42</v>
      </c>
      <c r="O120" s="22" t="s">
        <v>42</v>
      </c>
      <c r="P120" s="22" t="s">
        <v>42</v>
      </c>
      <c r="Q120" s="22" t="s">
        <v>42</v>
      </c>
      <c r="R120" s="22" t="s">
        <v>42</v>
      </c>
      <c r="S120" s="22"/>
      <c r="T120" s="22"/>
      <c r="U120" s="22"/>
      <c r="V120" s="22" t="s">
        <v>42</v>
      </c>
      <c r="W120" s="22" t="s">
        <v>42</v>
      </c>
      <c r="X120" s="22" t="s">
        <v>42</v>
      </c>
      <c r="Y120" s="22" t="s">
        <v>42</v>
      </c>
      <c r="Z120" s="22" t="s">
        <v>42</v>
      </c>
      <c r="AA120" s="22" t="s">
        <v>42</v>
      </c>
      <c r="AB120" s="22"/>
      <c r="AC120" s="22" t="s">
        <v>42</v>
      </c>
      <c r="AD120" s="22" t="s">
        <v>42</v>
      </c>
      <c r="AE120" s="22" t="s">
        <v>42</v>
      </c>
      <c r="AF120" s="22" t="s">
        <v>42</v>
      </c>
      <c r="AG120" s="22" t="s">
        <v>42</v>
      </c>
      <c r="AH120" s="22" t="s">
        <v>42</v>
      </c>
      <c r="AJ120" s="22" t="s">
        <v>42</v>
      </c>
      <c r="AK120" s="22" t="s">
        <v>42</v>
      </c>
      <c r="AL120" s="22" t="s">
        <v>42</v>
      </c>
      <c r="AM120" s="22">
        <f t="shared" si="10"/>
        <v>22</v>
      </c>
    </row>
    <row r="121" spans="1:39" hidden="1" x14ac:dyDescent="0.25">
      <c r="A121" s="20" t="s">
        <v>55</v>
      </c>
      <c r="B121" s="38" t="s">
        <v>308</v>
      </c>
      <c r="C121" s="20" t="s">
        <v>309</v>
      </c>
      <c r="D121" s="20" t="s">
        <v>8</v>
      </c>
      <c r="E121" s="20" t="s">
        <v>8</v>
      </c>
      <c r="F121" s="20" t="s">
        <v>58</v>
      </c>
      <c r="G121" s="39"/>
      <c r="H121" s="40"/>
      <c r="I121" s="22" t="s">
        <v>42</v>
      </c>
      <c r="L121" s="22" t="s">
        <v>42</v>
      </c>
      <c r="M121" s="22" t="s">
        <v>42</v>
      </c>
      <c r="O121" s="22" t="s">
        <v>42</v>
      </c>
      <c r="P121" s="22" t="s">
        <v>42</v>
      </c>
      <c r="Q121" s="22" t="s">
        <v>147</v>
      </c>
      <c r="R121" s="22" t="s">
        <v>147</v>
      </c>
      <c r="S121" s="22" t="s">
        <v>42</v>
      </c>
      <c r="T121" s="22" t="s">
        <v>147</v>
      </c>
      <c r="U121" s="22"/>
      <c r="V121" s="22" t="s">
        <v>147</v>
      </c>
      <c r="W121" s="22" t="s">
        <v>147</v>
      </c>
      <c r="X121" s="22" t="s">
        <v>147</v>
      </c>
      <c r="Y121" s="22" t="s">
        <v>147</v>
      </c>
      <c r="Z121" s="22" t="s">
        <v>147</v>
      </c>
      <c r="AA121" s="22" t="s">
        <v>42</v>
      </c>
      <c r="AB121" s="22"/>
      <c r="AC121" s="22" t="s">
        <v>42</v>
      </c>
      <c r="AD121" s="22" t="s">
        <v>147</v>
      </c>
      <c r="AE121" s="22" t="s">
        <v>42</v>
      </c>
      <c r="AF121" s="22" t="s">
        <v>42</v>
      </c>
      <c r="AG121" s="22" t="s">
        <v>147</v>
      </c>
      <c r="AH121" s="22" t="s">
        <v>42</v>
      </c>
      <c r="AJ121" s="22" t="s">
        <v>147</v>
      </c>
      <c r="AK121" s="22" t="s">
        <v>147</v>
      </c>
      <c r="AL121" s="22" t="s">
        <v>42</v>
      </c>
      <c r="AM121" s="22">
        <f t="shared" si="10"/>
        <v>12</v>
      </c>
    </row>
    <row r="122" spans="1:39" hidden="1" x14ac:dyDescent="0.25">
      <c r="A122" s="20" t="s">
        <v>55</v>
      </c>
      <c r="B122" s="38" t="s">
        <v>310</v>
      </c>
      <c r="C122" s="20" t="s">
        <v>311</v>
      </c>
      <c r="D122" s="20" t="s">
        <v>28</v>
      </c>
      <c r="E122" s="20" t="s">
        <v>28</v>
      </c>
      <c r="F122" s="20" t="s">
        <v>63</v>
      </c>
      <c r="G122" s="39"/>
      <c r="H122" s="40"/>
      <c r="I122" s="33" t="s">
        <v>38</v>
      </c>
      <c r="J122" s="33"/>
      <c r="K122" s="33"/>
      <c r="L122" s="33" t="s">
        <v>38</v>
      </c>
      <c r="M122" s="33" t="s">
        <v>38</v>
      </c>
      <c r="N122" s="33"/>
      <c r="O122" s="33" t="s">
        <v>38</v>
      </c>
      <c r="P122" s="33" t="s">
        <v>38</v>
      </c>
      <c r="Q122" s="33" t="s">
        <v>38</v>
      </c>
      <c r="R122" s="33" t="s">
        <v>38</v>
      </c>
      <c r="S122" s="33" t="s">
        <v>38</v>
      </c>
      <c r="T122" s="33" t="s">
        <v>38</v>
      </c>
      <c r="U122" s="33"/>
      <c r="V122" s="33" t="s">
        <v>38</v>
      </c>
      <c r="W122" s="33" t="s">
        <v>38</v>
      </c>
      <c r="X122" s="33" t="s">
        <v>38</v>
      </c>
      <c r="Y122" s="33" t="s">
        <v>38</v>
      </c>
      <c r="Z122" s="33" t="s">
        <v>38</v>
      </c>
      <c r="AA122" s="33" t="s">
        <v>38</v>
      </c>
      <c r="AB122" s="33"/>
      <c r="AC122" s="33" t="s">
        <v>38</v>
      </c>
      <c r="AD122" s="33" t="s">
        <v>38</v>
      </c>
      <c r="AE122" s="33" t="s">
        <v>38</v>
      </c>
      <c r="AF122" s="33" t="s">
        <v>38</v>
      </c>
      <c r="AG122" s="33" t="s">
        <v>38</v>
      </c>
      <c r="AH122" s="33"/>
      <c r="AI122" s="33"/>
      <c r="AJ122" s="33" t="s">
        <v>38</v>
      </c>
      <c r="AK122" s="33"/>
      <c r="AL122" s="33" t="s">
        <v>38</v>
      </c>
      <c r="AM122" s="22">
        <f t="shared" si="10"/>
        <v>22</v>
      </c>
    </row>
    <row r="123" spans="1:39" hidden="1" x14ac:dyDescent="0.25">
      <c r="A123" s="20" t="s">
        <v>55</v>
      </c>
      <c r="B123" s="38" t="s">
        <v>312</v>
      </c>
      <c r="C123" s="20" t="s">
        <v>313</v>
      </c>
      <c r="D123" s="20" t="s">
        <v>14</v>
      </c>
      <c r="E123" s="20" t="s">
        <v>14</v>
      </c>
      <c r="F123" s="20" t="s">
        <v>58</v>
      </c>
      <c r="G123" s="39"/>
      <c r="H123" s="40"/>
      <c r="I123" s="22" t="s">
        <v>42</v>
      </c>
      <c r="L123" s="22" t="s">
        <v>42</v>
      </c>
      <c r="M123" s="22" t="s">
        <v>42</v>
      </c>
      <c r="Q123" s="22" t="s">
        <v>42</v>
      </c>
      <c r="R123" s="22" t="s">
        <v>42</v>
      </c>
      <c r="S123" s="22" t="s">
        <v>42</v>
      </c>
      <c r="T123" s="22" t="s">
        <v>42</v>
      </c>
      <c r="U123" s="22"/>
      <c r="V123" s="22" t="s">
        <v>42</v>
      </c>
      <c r="W123" s="22" t="s">
        <v>42</v>
      </c>
      <c r="X123" s="22" t="s">
        <v>42</v>
      </c>
      <c r="Y123" s="22" t="s">
        <v>42</v>
      </c>
      <c r="Z123" s="22" t="s">
        <v>42</v>
      </c>
      <c r="AA123" s="22" t="s">
        <v>42</v>
      </c>
      <c r="AB123" s="22"/>
      <c r="AC123" s="22"/>
      <c r="AD123" s="22" t="s">
        <v>42</v>
      </c>
      <c r="AE123" s="22"/>
      <c r="AF123" s="22"/>
      <c r="AG123" s="22" t="s">
        <v>42</v>
      </c>
      <c r="AH123" s="22" t="s">
        <v>42</v>
      </c>
      <c r="AJ123" s="22" t="s">
        <v>42</v>
      </c>
      <c r="AK123" s="22" t="s">
        <v>42</v>
      </c>
      <c r="AL123" s="22" t="s">
        <v>42</v>
      </c>
      <c r="AM123" s="22">
        <f t="shared" si="10"/>
        <v>19</v>
      </c>
    </row>
    <row r="124" spans="1:39" hidden="1" x14ac:dyDescent="0.25">
      <c r="A124" s="20" t="s">
        <v>55</v>
      </c>
      <c r="B124" s="38" t="s">
        <v>314</v>
      </c>
      <c r="C124" s="20" t="s">
        <v>315</v>
      </c>
      <c r="D124" s="20" t="s">
        <v>3</v>
      </c>
      <c r="E124" s="20" t="s">
        <v>7</v>
      </c>
      <c r="F124" s="20" t="s">
        <v>58</v>
      </c>
      <c r="G124" s="39"/>
      <c r="H124" s="40"/>
      <c r="I124" s="22" t="s">
        <v>42</v>
      </c>
      <c r="J124" s="33"/>
      <c r="L124" s="22" t="s">
        <v>42</v>
      </c>
      <c r="M124" s="22" t="s">
        <v>42</v>
      </c>
      <c r="O124" s="22" t="s">
        <v>42</v>
      </c>
      <c r="P124" s="22" t="s">
        <v>42</v>
      </c>
      <c r="Q124" s="22" t="s">
        <v>42</v>
      </c>
      <c r="R124" s="22" t="s">
        <v>42</v>
      </c>
      <c r="S124" s="22"/>
      <c r="T124" s="22" t="s">
        <v>42</v>
      </c>
      <c r="U124" s="22"/>
      <c r="V124" s="22" t="s">
        <v>42</v>
      </c>
      <c r="W124" s="22"/>
      <c r="X124" s="22"/>
      <c r="Y124" s="22"/>
      <c r="Z124" s="22"/>
      <c r="AA124" s="22"/>
      <c r="AB124" s="22"/>
      <c r="AC124" s="22" t="s">
        <v>42</v>
      </c>
      <c r="AD124" s="22" t="s">
        <v>42</v>
      </c>
      <c r="AE124" s="22" t="s">
        <v>42</v>
      </c>
      <c r="AF124" s="22" t="s">
        <v>42</v>
      </c>
      <c r="AG124" s="22" t="s">
        <v>42</v>
      </c>
      <c r="AH124" s="22" t="s">
        <v>42</v>
      </c>
      <c r="AJ124" s="22" t="s">
        <v>42</v>
      </c>
      <c r="AK124" s="22" t="s">
        <v>42</v>
      </c>
      <c r="AL124" s="22" t="s">
        <v>42</v>
      </c>
      <c r="AM124" s="22">
        <f t="shared" si="10"/>
        <v>18</v>
      </c>
    </row>
    <row r="125" spans="1:39" x14ac:dyDescent="0.25">
      <c r="A125" s="20" t="s">
        <v>55</v>
      </c>
      <c r="B125" s="38" t="s">
        <v>316</v>
      </c>
      <c r="C125" s="20" t="s">
        <v>317</v>
      </c>
      <c r="D125" s="20" t="s">
        <v>8</v>
      </c>
      <c r="E125" s="20" t="s">
        <v>8</v>
      </c>
      <c r="F125" s="20" t="s">
        <v>58</v>
      </c>
      <c r="G125" s="39"/>
      <c r="H125" s="40"/>
      <c r="I125" s="22" t="s">
        <v>42</v>
      </c>
      <c r="L125" s="22" t="s">
        <v>42</v>
      </c>
      <c r="M125" s="22" t="s">
        <v>42</v>
      </c>
      <c r="O125" s="22" t="s">
        <v>42</v>
      </c>
      <c r="R125" s="22" t="s">
        <v>42</v>
      </c>
      <c r="S125" s="22" t="s">
        <v>42</v>
      </c>
      <c r="T125" s="22" t="s">
        <v>42</v>
      </c>
      <c r="U125" s="22"/>
      <c r="V125" s="22" t="s">
        <v>42</v>
      </c>
      <c r="W125" s="22" t="s">
        <v>42</v>
      </c>
      <c r="X125" s="22" t="s">
        <v>42</v>
      </c>
      <c r="Y125" s="22" t="s">
        <v>42</v>
      </c>
      <c r="Z125" s="22" t="s">
        <v>42</v>
      </c>
      <c r="AA125" s="22" t="s">
        <v>42</v>
      </c>
      <c r="AB125" s="22"/>
      <c r="AC125" s="22" t="s">
        <v>42</v>
      </c>
      <c r="AD125" s="22" t="s">
        <v>42</v>
      </c>
      <c r="AE125" s="22" t="s">
        <v>42</v>
      </c>
      <c r="AF125" s="22" t="s">
        <v>42</v>
      </c>
      <c r="AG125" s="22" t="s">
        <v>42</v>
      </c>
      <c r="AH125" s="22" t="s">
        <v>42</v>
      </c>
      <c r="AI125" s="22" t="s">
        <v>42</v>
      </c>
      <c r="AJ125" s="22" t="s">
        <v>42</v>
      </c>
      <c r="AK125" s="22" t="s">
        <v>42</v>
      </c>
      <c r="AL125" s="22" t="s">
        <v>42</v>
      </c>
      <c r="AM125" s="22">
        <f t="shared" si="10"/>
        <v>23</v>
      </c>
    </row>
    <row r="126" spans="1:39" hidden="1" x14ac:dyDescent="0.25">
      <c r="A126" s="20" t="s">
        <v>55</v>
      </c>
      <c r="B126" s="38" t="s">
        <v>320</v>
      </c>
      <c r="C126" s="20" t="s">
        <v>321</v>
      </c>
      <c r="D126" s="20" t="s">
        <v>8</v>
      </c>
      <c r="E126" s="20" t="s">
        <v>8</v>
      </c>
      <c r="F126" s="20" t="s">
        <v>58</v>
      </c>
      <c r="G126" s="39"/>
      <c r="H126" s="40"/>
      <c r="I126" s="22" t="s">
        <v>42</v>
      </c>
      <c r="O126" s="29" t="s">
        <v>147</v>
      </c>
      <c r="P126" s="29" t="s">
        <v>147</v>
      </c>
      <c r="Q126" s="22" t="s">
        <v>147</v>
      </c>
      <c r="R126" s="22" t="s">
        <v>147</v>
      </c>
      <c r="S126" s="22" t="s">
        <v>42</v>
      </c>
      <c r="T126" s="22" t="s">
        <v>147</v>
      </c>
      <c r="U126" s="22"/>
      <c r="V126" s="22" t="s">
        <v>147</v>
      </c>
      <c r="W126" s="22"/>
      <c r="X126" s="22" t="s">
        <v>147</v>
      </c>
      <c r="Y126" s="22" t="s">
        <v>147</v>
      </c>
      <c r="Z126" s="22" t="s">
        <v>147</v>
      </c>
      <c r="AA126" s="22" t="s">
        <v>147</v>
      </c>
      <c r="AB126" s="22"/>
      <c r="AC126" s="22" t="s">
        <v>147</v>
      </c>
      <c r="AD126" s="22" t="s">
        <v>147</v>
      </c>
      <c r="AE126" s="22" t="s">
        <v>147</v>
      </c>
      <c r="AF126" s="22" t="s">
        <v>147</v>
      </c>
      <c r="AG126" s="22" t="s">
        <v>147</v>
      </c>
      <c r="AH126" s="22" t="s">
        <v>147</v>
      </c>
      <c r="AJ126" s="22" t="s">
        <v>147</v>
      </c>
      <c r="AK126" s="22" t="s">
        <v>147</v>
      </c>
      <c r="AL126" s="33" t="s">
        <v>147</v>
      </c>
      <c r="AM126" s="22">
        <f t="shared" si="10"/>
        <v>2</v>
      </c>
    </row>
    <row r="127" spans="1:39" hidden="1" x14ac:dyDescent="0.25">
      <c r="A127" s="20" t="s">
        <v>55</v>
      </c>
      <c r="B127" s="38" t="s">
        <v>322</v>
      </c>
      <c r="C127" s="20" t="s">
        <v>323</v>
      </c>
      <c r="D127" s="20" t="s">
        <v>16</v>
      </c>
      <c r="E127" s="20" t="s">
        <v>16</v>
      </c>
      <c r="F127" s="20" t="s">
        <v>170</v>
      </c>
      <c r="G127" s="39"/>
      <c r="H127" s="40"/>
      <c r="I127" s="31" t="s">
        <v>36</v>
      </c>
      <c r="J127" s="31"/>
      <c r="K127" s="31"/>
      <c r="L127" s="31" t="s">
        <v>36</v>
      </c>
      <c r="M127" s="31" t="s">
        <v>36</v>
      </c>
      <c r="N127" s="31"/>
      <c r="O127" s="31" t="s">
        <v>36</v>
      </c>
      <c r="P127" s="31" t="s">
        <v>36</v>
      </c>
      <c r="Q127" s="31" t="s">
        <v>36</v>
      </c>
      <c r="R127" s="31" t="s">
        <v>36</v>
      </c>
      <c r="S127" s="31" t="s">
        <v>36</v>
      </c>
      <c r="T127" s="31" t="s">
        <v>36</v>
      </c>
      <c r="U127" s="31"/>
      <c r="V127" s="31" t="s">
        <v>36</v>
      </c>
      <c r="W127" s="31" t="s">
        <v>36</v>
      </c>
      <c r="X127" s="31" t="s">
        <v>36</v>
      </c>
      <c r="Y127" s="31" t="s">
        <v>36</v>
      </c>
      <c r="Z127" s="31" t="s">
        <v>36</v>
      </c>
      <c r="AA127" s="31" t="s">
        <v>36</v>
      </c>
      <c r="AB127" s="31"/>
      <c r="AC127" s="31" t="s">
        <v>36</v>
      </c>
      <c r="AD127" s="31" t="s">
        <v>36</v>
      </c>
      <c r="AE127" s="31" t="s">
        <v>36</v>
      </c>
      <c r="AF127" s="31" t="s">
        <v>36</v>
      </c>
      <c r="AG127" s="31" t="s">
        <v>36</v>
      </c>
      <c r="AH127" s="31" t="s">
        <v>36</v>
      </c>
      <c r="AI127" s="31"/>
      <c r="AJ127" s="31" t="s">
        <v>36</v>
      </c>
      <c r="AK127" s="31" t="s">
        <v>36</v>
      </c>
      <c r="AL127" s="31" t="s">
        <v>36</v>
      </c>
      <c r="AM127" s="22">
        <f t="shared" si="10"/>
        <v>24</v>
      </c>
    </row>
    <row r="128" spans="1:39" hidden="1" x14ac:dyDescent="0.25">
      <c r="A128" s="20" t="s">
        <v>55</v>
      </c>
      <c r="B128" s="38" t="s">
        <v>324</v>
      </c>
      <c r="C128" s="20" t="s">
        <v>325</v>
      </c>
      <c r="D128" s="20" t="s">
        <v>16</v>
      </c>
      <c r="E128" s="20" t="s">
        <v>16</v>
      </c>
      <c r="F128" s="20" t="s">
        <v>170</v>
      </c>
      <c r="G128" s="39"/>
      <c r="H128" s="40"/>
      <c r="I128" s="31" t="s">
        <v>36</v>
      </c>
      <c r="J128" s="31"/>
      <c r="K128" s="31"/>
      <c r="L128" s="31" t="s">
        <v>36</v>
      </c>
      <c r="M128" s="31" t="s">
        <v>36</v>
      </c>
      <c r="O128" s="31" t="s">
        <v>36</v>
      </c>
      <c r="P128" s="31" t="s">
        <v>36</v>
      </c>
      <c r="Q128" s="31" t="s">
        <v>36</v>
      </c>
      <c r="R128" s="31" t="s">
        <v>36</v>
      </c>
      <c r="S128" s="31" t="s">
        <v>36</v>
      </c>
      <c r="T128" s="31" t="s">
        <v>36</v>
      </c>
      <c r="U128" s="22"/>
      <c r="V128" s="31" t="s">
        <v>36</v>
      </c>
      <c r="W128" s="31" t="s">
        <v>36</v>
      </c>
      <c r="X128" s="31" t="s">
        <v>36</v>
      </c>
      <c r="Y128" s="31" t="s">
        <v>36</v>
      </c>
      <c r="Z128" s="31" t="s">
        <v>36</v>
      </c>
      <c r="AA128" s="31" t="s">
        <v>36</v>
      </c>
      <c r="AB128" s="31"/>
      <c r="AC128" s="31" t="s">
        <v>36</v>
      </c>
      <c r="AD128" s="31" t="s">
        <v>36</v>
      </c>
      <c r="AE128" s="31" t="s">
        <v>36</v>
      </c>
      <c r="AF128" s="31" t="s">
        <v>36</v>
      </c>
      <c r="AG128" s="31" t="s">
        <v>36</v>
      </c>
      <c r="AH128" s="31" t="s">
        <v>36</v>
      </c>
      <c r="AI128" s="31"/>
      <c r="AJ128" s="31" t="s">
        <v>36</v>
      </c>
      <c r="AK128" s="31" t="s">
        <v>36</v>
      </c>
      <c r="AL128" s="31" t="s">
        <v>36</v>
      </c>
      <c r="AM128" s="22">
        <f t="shared" si="10"/>
        <v>24</v>
      </c>
    </row>
    <row r="129" spans="1:39" hidden="1" x14ac:dyDescent="0.25">
      <c r="A129" s="20" t="s">
        <v>55</v>
      </c>
      <c r="B129" s="38" t="s">
        <v>326</v>
      </c>
      <c r="C129" s="20" t="s">
        <v>327</v>
      </c>
      <c r="D129" s="20" t="s">
        <v>16</v>
      </c>
      <c r="E129" s="20" t="s">
        <v>16</v>
      </c>
      <c r="F129" s="20" t="s">
        <v>170</v>
      </c>
      <c r="G129" s="39"/>
      <c r="H129" s="40"/>
      <c r="I129" s="31"/>
      <c r="J129" s="31"/>
      <c r="K129" s="31"/>
      <c r="L129" s="31"/>
      <c r="M129" s="31"/>
      <c r="N129" s="31"/>
      <c r="P129" s="31"/>
      <c r="Q129" s="31"/>
      <c r="R129" s="31"/>
      <c r="S129" s="31"/>
      <c r="T129" s="31"/>
      <c r="U129" s="31"/>
      <c r="V129" s="31" t="s">
        <v>36</v>
      </c>
      <c r="W129" s="31" t="s">
        <v>36</v>
      </c>
      <c r="X129" s="31" t="s">
        <v>36</v>
      </c>
      <c r="Y129" s="31" t="s">
        <v>36</v>
      </c>
      <c r="Z129" s="31" t="s">
        <v>36</v>
      </c>
      <c r="AA129" s="31"/>
      <c r="AB129" s="31"/>
      <c r="AC129" s="31"/>
      <c r="AD129" s="31"/>
      <c r="AE129" s="31"/>
      <c r="AF129" s="31"/>
      <c r="AG129" s="31"/>
      <c r="AH129" s="31"/>
      <c r="AI129" s="31"/>
      <c r="AJ129" s="31"/>
      <c r="AK129" s="31"/>
      <c r="AL129" s="31" t="s">
        <v>36</v>
      </c>
      <c r="AM129" s="22">
        <f t="shared" si="10"/>
        <v>6</v>
      </c>
    </row>
    <row r="130" spans="1:39" hidden="1" x14ac:dyDescent="0.25">
      <c r="A130" s="20" t="s">
        <v>55</v>
      </c>
      <c r="B130" s="38" t="s">
        <v>328</v>
      </c>
      <c r="C130" s="20" t="s">
        <v>329</v>
      </c>
      <c r="D130" s="20" t="s">
        <v>16</v>
      </c>
      <c r="E130" s="20" t="s">
        <v>16</v>
      </c>
      <c r="F130" s="20" t="s">
        <v>170</v>
      </c>
      <c r="G130" s="39"/>
      <c r="H130" s="40"/>
      <c r="I130" s="31"/>
      <c r="J130" s="31"/>
      <c r="K130" s="31"/>
      <c r="L130" s="31" t="s">
        <v>36</v>
      </c>
      <c r="M130" s="31" t="s">
        <v>36</v>
      </c>
      <c r="N130" s="31"/>
      <c r="O130" s="31" t="s">
        <v>36</v>
      </c>
      <c r="P130" s="31" t="s">
        <v>36</v>
      </c>
      <c r="Q130" s="31" t="s">
        <v>36</v>
      </c>
      <c r="R130" s="31" t="s">
        <v>36</v>
      </c>
      <c r="S130" s="31" t="s">
        <v>36</v>
      </c>
      <c r="T130" s="31" t="s">
        <v>36</v>
      </c>
      <c r="U130" s="31"/>
      <c r="V130" s="31" t="s">
        <v>36</v>
      </c>
      <c r="W130" s="31" t="s">
        <v>36</v>
      </c>
      <c r="X130" s="31" t="s">
        <v>36</v>
      </c>
      <c r="Y130" s="31" t="s">
        <v>36</v>
      </c>
      <c r="Z130" s="31" t="s">
        <v>36</v>
      </c>
      <c r="AA130" s="31" t="s">
        <v>36</v>
      </c>
      <c r="AB130" s="31"/>
      <c r="AC130" s="31" t="s">
        <v>36</v>
      </c>
      <c r="AD130" s="31" t="s">
        <v>36</v>
      </c>
      <c r="AE130" s="31" t="s">
        <v>36</v>
      </c>
      <c r="AF130" s="31" t="s">
        <v>36</v>
      </c>
      <c r="AG130" s="31" t="s">
        <v>36</v>
      </c>
      <c r="AH130" s="31" t="s">
        <v>36</v>
      </c>
      <c r="AI130" s="31"/>
      <c r="AJ130" s="31"/>
      <c r="AK130" s="31"/>
      <c r="AL130" s="31"/>
      <c r="AM130" s="22">
        <f t="shared" si="10"/>
        <v>20</v>
      </c>
    </row>
    <row r="131" spans="1:39" hidden="1" x14ac:dyDescent="0.25">
      <c r="A131" s="20" t="s">
        <v>55</v>
      </c>
      <c r="B131" s="38" t="s">
        <v>330</v>
      </c>
      <c r="C131" s="20" t="s">
        <v>331</v>
      </c>
      <c r="D131" s="20" t="s">
        <v>16</v>
      </c>
      <c r="E131" s="20" t="s">
        <v>16</v>
      </c>
      <c r="F131" s="20" t="s">
        <v>170</v>
      </c>
      <c r="G131" s="39"/>
      <c r="H131" s="40"/>
      <c r="I131" s="31" t="s">
        <v>36</v>
      </c>
      <c r="J131" s="31"/>
      <c r="K131" s="31"/>
      <c r="L131" s="31" t="s">
        <v>36</v>
      </c>
      <c r="M131" s="31" t="s">
        <v>36</v>
      </c>
      <c r="O131" s="31" t="s">
        <v>36</v>
      </c>
      <c r="P131" s="31" t="s">
        <v>36</v>
      </c>
      <c r="U131" s="22"/>
      <c r="V131" s="31" t="s">
        <v>36</v>
      </c>
      <c r="W131" s="22"/>
      <c r="X131" s="31"/>
      <c r="Z131" s="22"/>
      <c r="AA131" s="22"/>
      <c r="AB131" s="31"/>
      <c r="AC131" s="31"/>
      <c r="AD131" s="31"/>
      <c r="AE131" s="31"/>
      <c r="AF131" s="31"/>
      <c r="AG131" s="31"/>
      <c r="AH131" s="31"/>
      <c r="AI131" s="31"/>
      <c r="AJ131" s="31" t="s">
        <v>36</v>
      </c>
      <c r="AK131" s="31" t="s">
        <v>36</v>
      </c>
      <c r="AL131" s="31" t="s">
        <v>36</v>
      </c>
      <c r="AM131" s="22">
        <f t="shared" si="10"/>
        <v>9</v>
      </c>
    </row>
    <row r="132" spans="1:39" x14ac:dyDescent="0.25">
      <c r="A132" s="20" t="s">
        <v>55</v>
      </c>
      <c r="B132" s="38" t="s">
        <v>332</v>
      </c>
      <c r="C132" s="20" t="s">
        <v>333</v>
      </c>
      <c r="D132" s="20" t="s">
        <v>16</v>
      </c>
      <c r="E132" s="20" t="s">
        <v>16</v>
      </c>
      <c r="F132" s="20" t="s">
        <v>170</v>
      </c>
      <c r="G132" s="39"/>
      <c r="H132" s="40"/>
      <c r="I132" s="31" t="s">
        <v>36</v>
      </c>
      <c r="J132" s="31"/>
      <c r="K132" s="31"/>
      <c r="L132" s="31" t="s">
        <v>36</v>
      </c>
      <c r="M132" s="31" t="s">
        <v>36</v>
      </c>
      <c r="N132" s="31"/>
      <c r="O132" s="31" t="s">
        <v>36</v>
      </c>
      <c r="P132" s="31" t="s">
        <v>36</v>
      </c>
      <c r="Q132" s="31" t="s">
        <v>36</v>
      </c>
      <c r="R132" s="31" t="s">
        <v>36</v>
      </c>
      <c r="S132" s="31" t="s">
        <v>36</v>
      </c>
      <c r="T132" s="31" t="s">
        <v>36</v>
      </c>
      <c r="U132" s="31"/>
      <c r="V132" s="31" t="s">
        <v>36</v>
      </c>
      <c r="W132" s="31" t="s">
        <v>36</v>
      </c>
      <c r="X132" s="31" t="s">
        <v>36</v>
      </c>
      <c r="Y132" s="31" t="s">
        <v>36</v>
      </c>
      <c r="Z132" s="31" t="s">
        <v>36</v>
      </c>
      <c r="AA132" s="31" t="s">
        <v>36</v>
      </c>
      <c r="AB132" s="31" t="s">
        <v>36</v>
      </c>
      <c r="AC132" s="31" t="s">
        <v>36</v>
      </c>
      <c r="AD132" s="31" t="s">
        <v>36</v>
      </c>
      <c r="AE132" s="31" t="s">
        <v>36</v>
      </c>
      <c r="AF132" s="31" t="s">
        <v>36</v>
      </c>
      <c r="AG132" s="31" t="s">
        <v>36</v>
      </c>
      <c r="AH132" s="31" t="s">
        <v>36</v>
      </c>
      <c r="AI132" s="31" t="s">
        <v>36</v>
      </c>
      <c r="AJ132" s="31" t="s">
        <v>36</v>
      </c>
      <c r="AK132" s="31" t="s">
        <v>36</v>
      </c>
      <c r="AL132" s="31" t="s">
        <v>36</v>
      </c>
      <c r="AM132" s="22">
        <f t="shared" si="10"/>
        <v>26</v>
      </c>
    </row>
    <row r="133" spans="1:39" x14ac:dyDescent="0.25">
      <c r="A133" s="20" t="s">
        <v>55</v>
      </c>
      <c r="B133" s="38" t="s">
        <v>334</v>
      </c>
      <c r="C133" s="20" t="s">
        <v>335</v>
      </c>
      <c r="D133" s="20" t="s">
        <v>16</v>
      </c>
      <c r="E133" s="20" t="s">
        <v>16</v>
      </c>
      <c r="F133" s="20" t="s">
        <v>170</v>
      </c>
      <c r="G133" s="39"/>
      <c r="H133" s="40"/>
      <c r="I133" s="31" t="s">
        <v>36</v>
      </c>
      <c r="J133" s="31"/>
      <c r="K133" s="31"/>
      <c r="L133" s="31" t="s">
        <v>36</v>
      </c>
      <c r="M133" s="31" t="s">
        <v>36</v>
      </c>
      <c r="N133" s="31" t="s">
        <v>36</v>
      </c>
      <c r="O133" s="31" t="s">
        <v>36</v>
      </c>
      <c r="P133" s="31" t="s">
        <v>36</v>
      </c>
      <c r="Q133" s="31" t="s">
        <v>36</v>
      </c>
      <c r="R133" s="31" t="s">
        <v>36</v>
      </c>
      <c r="S133" s="31" t="s">
        <v>36</v>
      </c>
      <c r="T133" s="31" t="s">
        <v>36</v>
      </c>
      <c r="U133" s="31"/>
      <c r="V133" s="31" t="s">
        <v>36</v>
      </c>
      <c r="W133" s="31" t="s">
        <v>36</v>
      </c>
      <c r="X133" s="31" t="s">
        <v>36</v>
      </c>
      <c r="Y133" s="31" t="s">
        <v>36</v>
      </c>
      <c r="Z133" s="31" t="s">
        <v>36</v>
      </c>
      <c r="AA133" s="31" t="s">
        <v>36</v>
      </c>
      <c r="AB133" s="31" t="s">
        <v>36</v>
      </c>
      <c r="AC133" s="31" t="s">
        <v>36</v>
      </c>
      <c r="AD133" s="31" t="s">
        <v>36</v>
      </c>
      <c r="AE133" s="31" t="s">
        <v>36</v>
      </c>
      <c r="AF133" s="31" t="s">
        <v>36</v>
      </c>
      <c r="AG133" s="31" t="s">
        <v>36</v>
      </c>
      <c r="AH133" s="31" t="s">
        <v>36</v>
      </c>
      <c r="AI133" s="31" t="s">
        <v>36</v>
      </c>
      <c r="AJ133" s="31" t="s">
        <v>36</v>
      </c>
      <c r="AK133" s="31" t="s">
        <v>36</v>
      </c>
      <c r="AL133" s="31" t="s">
        <v>36</v>
      </c>
      <c r="AM133" s="22">
        <f t="shared" si="10"/>
        <v>27</v>
      </c>
    </row>
    <row r="134" spans="1:39" x14ac:dyDescent="0.25">
      <c r="A134" s="20" t="s">
        <v>55</v>
      </c>
      <c r="B134" s="38" t="s">
        <v>336</v>
      </c>
      <c r="C134" s="20" t="s">
        <v>337</v>
      </c>
      <c r="D134" s="20" t="s">
        <v>16</v>
      </c>
      <c r="E134" s="20" t="s">
        <v>16</v>
      </c>
      <c r="F134" s="20" t="s">
        <v>170</v>
      </c>
      <c r="G134" s="39"/>
      <c r="H134" s="40"/>
      <c r="I134" s="31" t="s">
        <v>36</v>
      </c>
      <c r="J134" s="31"/>
      <c r="K134" s="31"/>
      <c r="L134" s="31" t="s">
        <v>36</v>
      </c>
      <c r="M134" s="31" t="s">
        <v>36</v>
      </c>
      <c r="N134" s="31"/>
      <c r="O134" s="31" t="s">
        <v>36</v>
      </c>
      <c r="P134" s="31" t="s">
        <v>36</v>
      </c>
      <c r="Q134" s="31"/>
      <c r="R134" s="31" t="s">
        <v>36</v>
      </c>
      <c r="S134" s="31"/>
      <c r="T134" s="31"/>
      <c r="U134" s="31"/>
      <c r="V134" s="31" t="s">
        <v>36</v>
      </c>
      <c r="W134" s="31" t="s">
        <v>36</v>
      </c>
      <c r="X134" s="31"/>
      <c r="Y134" s="31"/>
      <c r="Z134" s="31"/>
      <c r="AA134" s="31" t="s">
        <v>36</v>
      </c>
      <c r="AB134" s="31" t="s">
        <v>36</v>
      </c>
      <c r="AC134" s="31" t="s">
        <v>36</v>
      </c>
      <c r="AD134" s="31" t="s">
        <v>36</v>
      </c>
      <c r="AE134" s="31" t="s">
        <v>36</v>
      </c>
      <c r="AF134" s="31" t="s">
        <v>36</v>
      </c>
      <c r="AG134" s="31" t="s">
        <v>36</v>
      </c>
      <c r="AH134" s="31" t="s">
        <v>36</v>
      </c>
      <c r="AI134" s="31" t="s">
        <v>36</v>
      </c>
      <c r="AJ134" s="31" t="s">
        <v>36</v>
      </c>
      <c r="AK134" s="31" t="s">
        <v>36</v>
      </c>
      <c r="AL134" s="31" t="s">
        <v>36</v>
      </c>
      <c r="AM134" s="22">
        <f t="shared" si="10"/>
        <v>20</v>
      </c>
    </row>
    <row r="135" spans="1:39" x14ac:dyDescent="0.25">
      <c r="A135" s="20" t="s">
        <v>55</v>
      </c>
      <c r="B135" s="38" t="s">
        <v>338</v>
      </c>
      <c r="C135" s="20" t="s">
        <v>339</v>
      </c>
      <c r="D135" s="20" t="s">
        <v>16</v>
      </c>
      <c r="E135" s="20" t="s">
        <v>16</v>
      </c>
      <c r="F135" s="20" t="s">
        <v>170</v>
      </c>
      <c r="G135" s="39"/>
      <c r="H135" s="40"/>
      <c r="I135" s="31" t="s">
        <v>36</v>
      </c>
      <c r="J135" s="31"/>
      <c r="K135" s="31"/>
      <c r="L135" s="31" t="s">
        <v>36</v>
      </c>
      <c r="M135" s="31" t="s">
        <v>36</v>
      </c>
      <c r="N135" s="31"/>
      <c r="O135" s="31" t="s">
        <v>36</v>
      </c>
      <c r="P135" s="31" t="s">
        <v>36</v>
      </c>
      <c r="Q135" s="31" t="s">
        <v>36</v>
      </c>
      <c r="R135" s="31" t="s">
        <v>36</v>
      </c>
      <c r="S135" s="31" t="s">
        <v>36</v>
      </c>
      <c r="T135" s="31" t="s">
        <v>36</v>
      </c>
      <c r="U135" s="31"/>
      <c r="V135" s="31" t="s">
        <v>36</v>
      </c>
      <c r="W135" s="31" t="s">
        <v>36</v>
      </c>
      <c r="X135" s="31" t="s">
        <v>36</v>
      </c>
      <c r="Y135" s="31" t="s">
        <v>36</v>
      </c>
      <c r="Z135" s="31" t="s">
        <v>36</v>
      </c>
      <c r="AA135" s="31" t="s">
        <v>36</v>
      </c>
      <c r="AB135" s="31" t="s">
        <v>36</v>
      </c>
      <c r="AC135" s="31" t="s">
        <v>36</v>
      </c>
      <c r="AD135" s="31" t="s">
        <v>36</v>
      </c>
      <c r="AE135" s="31" t="s">
        <v>36</v>
      </c>
      <c r="AF135" s="31" t="s">
        <v>36</v>
      </c>
      <c r="AG135" s="31" t="s">
        <v>36</v>
      </c>
      <c r="AH135" s="31" t="s">
        <v>36</v>
      </c>
      <c r="AI135" s="31" t="s">
        <v>36</v>
      </c>
      <c r="AJ135" s="31" t="s">
        <v>36</v>
      </c>
      <c r="AK135" s="31" t="s">
        <v>36</v>
      </c>
      <c r="AL135" s="31" t="s">
        <v>36</v>
      </c>
      <c r="AM135" s="22">
        <f t="shared" si="10"/>
        <v>26</v>
      </c>
    </row>
    <row r="136" spans="1:39" hidden="1" x14ac:dyDescent="0.25">
      <c r="A136" s="20" t="s">
        <v>55</v>
      </c>
      <c r="B136" s="38" t="s">
        <v>340</v>
      </c>
      <c r="C136" s="20" t="s">
        <v>341</v>
      </c>
      <c r="D136" s="20" t="s">
        <v>16</v>
      </c>
      <c r="E136" s="20" t="s">
        <v>16</v>
      </c>
      <c r="F136" s="20" t="s">
        <v>170</v>
      </c>
      <c r="G136" s="39"/>
      <c r="H136" s="40"/>
      <c r="I136" s="31"/>
      <c r="J136" s="33"/>
      <c r="N136" s="31"/>
      <c r="P136" s="31"/>
      <c r="U136" s="22"/>
      <c r="V136" s="31" t="s">
        <v>36</v>
      </c>
      <c r="W136" s="31" t="s">
        <v>36</v>
      </c>
      <c r="X136" s="31" t="s">
        <v>36</v>
      </c>
      <c r="Y136" s="31" t="s">
        <v>36</v>
      </c>
      <c r="Z136" s="31" t="s">
        <v>36</v>
      </c>
      <c r="AB136" s="31"/>
      <c r="AC136" s="31" t="s">
        <v>36</v>
      </c>
      <c r="AD136" s="31" t="s">
        <v>36</v>
      </c>
      <c r="AE136" s="31" t="s">
        <v>36</v>
      </c>
      <c r="AF136" s="31" t="s">
        <v>36</v>
      </c>
      <c r="AG136" s="31" t="s">
        <v>36</v>
      </c>
      <c r="AH136" s="31" t="s">
        <v>36</v>
      </c>
      <c r="AI136" s="31"/>
      <c r="AJ136" s="31" t="s">
        <v>36</v>
      </c>
      <c r="AK136" s="31"/>
      <c r="AL136" s="31" t="s">
        <v>36</v>
      </c>
      <c r="AM136" s="22">
        <f t="shared" si="10"/>
        <v>13</v>
      </c>
    </row>
    <row r="137" spans="1:39" hidden="1" x14ac:dyDescent="0.25">
      <c r="A137" s="20" t="s">
        <v>55</v>
      </c>
      <c r="B137" s="38" t="s">
        <v>342</v>
      </c>
      <c r="C137" s="20" t="s">
        <v>343</v>
      </c>
      <c r="D137" s="20" t="s">
        <v>14</v>
      </c>
      <c r="E137" s="20" t="s">
        <v>14</v>
      </c>
      <c r="F137" s="20" t="s">
        <v>58</v>
      </c>
      <c r="G137" s="39"/>
      <c r="H137" s="40"/>
      <c r="I137" s="22" t="s">
        <v>42</v>
      </c>
      <c r="J137" s="33"/>
      <c r="M137" s="22" t="s">
        <v>42</v>
      </c>
      <c r="O137" s="22" t="s">
        <v>42</v>
      </c>
      <c r="Q137" s="22" t="s">
        <v>42</v>
      </c>
      <c r="R137" s="22" t="s">
        <v>42</v>
      </c>
      <c r="S137" s="22" t="s">
        <v>42</v>
      </c>
      <c r="T137" s="22" t="s">
        <v>42</v>
      </c>
      <c r="U137" s="22"/>
      <c r="V137" s="22" t="s">
        <v>42</v>
      </c>
      <c r="W137" s="22" t="s">
        <v>42</v>
      </c>
      <c r="X137" s="22" t="s">
        <v>42</v>
      </c>
      <c r="Y137" s="22" t="s">
        <v>42</v>
      </c>
      <c r="Z137" s="22" t="s">
        <v>42</v>
      </c>
      <c r="AA137" s="22"/>
      <c r="AC137" s="22" t="s">
        <v>42</v>
      </c>
      <c r="AD137" s="22" t="s">
        <v>42</v>
      </c>
      <c r="AE137" s="22" t="s">
        <v>42</v>
      </c>
      <c r="AF137" s="22" t="s">
        <v>42</v>
      </c>
      <c r="AG137" s="22" t="s">
        <v>42</v>
      </c>
      <c r="AH137" s="22" t="s">
        <v>42</v>
      </c>
      <c r="AK137" s="22" t="s">
        <v>42</v>
      </c>
      <c r="AL137" s="22" t="s">
        <v>42</v>
      </c>
      <c r="AM137" s="22">
        <f t="shared" si="10"/>
        <v>20</v>
      </c>
    </row>
    <row r="138" spans="1:39" hidden="1" x14ac:dyDescent="0.25">
      <c r="A138" s="20" t="s">
        <v>55</v>
      </c>
      <c r="B138" s="38" t="s">
        <v>344</v>
      </c>
      <c r="C138" s="20" t="s">
        <v>345</v>
      </c>
      <c r="D138" s="20" t="s">
        <v>14</v>
      </c>
      <c r="E138" s="20" t="s">
        <v>14</v>
      </c>
      <c r="F138" s="20" t="s">
        <v>58</v>
      </c>
      <c r="G138" s="39"/>
      <c r="H138" s="40"/>
      <c r="I138" s="22" t="s">
        <v>42</v>
      </c>
      <c r="L138" s="22" t="s">
        <v>42</v>
      </c>
      <c r="O138" s="22" t="s">
        <v>42</v>
      </c>
      <c r="P138" s="22" t="s">
        <v>42</v>
      </c>
      <c r="Q138" s="22" t="s">
        <v>42</v>
      </c>
      <c r="R138" s="22" t="s">
        <v>42</v>
      </c>
      <c r="S138" s="22" t="s">
        <v>42</v>
      </c>
      <c r="T138" s="22" t="s">
        <v>42</v>
      </c>
      <c r="U138" s="22"/>
      <c r="V138" s="22" t="s">
        <v>42</v>
      </c>
      <c r="W138" s="22" t="s">
        <v>42</v>
      </c>
      <c r="X138" s="22" t="s">
        <v>42</v>
      </c>
      <c r="Y138" s="22" t="s">
        <v>42</v>
      </c>
      <c r="Z138" s="22" t="s">
        <v>42</v>
      </c>
      <c r="AA138" s="22" t="s">
        <v>42</v>
      </c>
      <c r="AB138" s="22"/>
      <c r="AC138" s="22" t="s">
        <v>42</v>
      </c>
      <c r="AD138" s="22" t="s">
        <v>42</v>
      </c>
      <c r="AE138" s="22" t="s">
        <v>42</v>
      </c>
      <c r="AF138" s="22" t="s">
        <v>42</v>
      </c>
      <c r="AG138" s="22" t="s">
        <v>42</v>
      </c>
      <c r="AH138" s="22" t="s">
        <v>42</v>
      </c>
      <c r="AJ138" s="22" t="s">
        <v>42</v>
      </c>
      <c r="AK138" s="22" t="s">
        <v>42</v>
      </c>
      <c r="AL138" s="22" t="s">
        <v>42</v>
      </c>
      <c r="AM138" s="22">
        <f t="shared" si="10"/>
        <v>23</v>
      </c>
    </row>
    <row r="139" spans="1:39" hidden="1" x14ac:dyDescent="0.25">
      <c r="A139" s="20" t="s">
        <v>55</v>
      </c>
      <c r="B139" s="38" t="s">
        <v>346</v>
      </c>
      <c r="C139" s="20" t="s">
        <v>347</v>
      </c>
      <c r="D139" s="20" t="s">
        <v>3</v>
      </c>
      <c r="E139" s="20" t="s">
        <v>7</v>
      </c>
      <c r="F139" s="20" t="s">
        <v>58</v>
      </c>
      <c r="G139" s="39"/>
      <c r="H139" s="40"/>
      <c r="I139" s="22" t="s">
        <v>42</v>
      </c>
      <c r="L139" s="22" t="s">
        <v>42</v>
      </c>
      <c r="M139" s="22" t="s">
        <v>42</v>
      </c>
      <c r="R139" s="22"/>
      <c r="S139" s="22"/>
      <c r="U139" s="22"/>
      <c r="V139" s="22" t="s">
        <v>42</v>
      </c>
      <c r="W139" s="22"/>
      <c r="X139" s="22" t="s">
        <v>42</v>
      </c>
      <c r="Y139" s="22" t="s">
        <v>42</v>
      </c>
      <c r="Z139" s="22" t="s">
        <v>42</v>
      </c>
      <c r="AA139" s="22" t="s">
        <v>42</v>
      </c>
      <c r="AB139" s="22"/>
      <c r="AC139" s="22" t="s">
        <v>42</v>
      </c>
      <c r="AD139" s="22" t="s">
        <v>42</v>
      </c>
      <c r="AE139" s="22" t="s">
        <v>42</v>
      </c>
      <c r="AF139" s="22" t="s">
        <v>42</v>
      </c>
      <c r="AG139" s="22" t="s">
        <v>42</v>
      </c>
      <c r="AH139" s="22" t="s">
        <v>42</v>
      </c>
      <c r="AM139" s="22">
        <f t="shared" si="10"/>
        <v>14</v>
      </c>
    </row>
    <row r="140" spans="1:39" hidden="1" x14ac:dyDescent="0.25">
      <c r="A140" s="20" t="s">
        <v>55</v>
      </c>
      <c r="B140" s="38" t="s">
        <v>348</v>
      </c>
      <c r="C140" s="20" t="s">
        <v>349</v>
      </c>
      <c r="D140" s="20" t="s">
        <v>28</v>
      </c>
      <c r="E140" s="20" t="s">
        <v>28</v>
      </c>
      <c r="F140" s="20" t="s">
        <v>58</v>
      </c>
      <c r="G140" s="39"/>
      <c r="H140" s="40"/>
      <c r="I140" s="22" t="s">
        <v>42</v>
      </c>
      <c r="L140" s="22" t="s">
        <v>42</v>
      </c>
      <c r="M140" s="22" t="s">
        <v>42</v>
      </c>
      <c r="O140" s="22" t="s">
        <v>42</v>
      </c>
      <c r="P140" s="22" t="s">
        <v>42</v>
      </c>
      <c r="Q140" s="22" t="s">
        <v>42</v>
      </c>
      <c r="R140" s="22" t="s">
        <v>42</v>
      </c>
      <c r="S140" s="22" t="s">
        <v>42</v>
      </c>
      <c r="T140" s="22" t="s">
        <v>42</v>
      </c>
      <c r="U140" s="22"/>
      <c r="V140" s="22" t="s">
        <v>42</v>
      </c>
      <c r="W140" s="22" t="s">
        <v>42</v>
      </c>
      <c r="X140" s="22" t="s">
        <v>42</v>
      </c>
      <c r="Y140" s="22" t="s">
        <v>42</v>
      </c>
      <c r="Z140" s="22" t="s">
        <v>42</v>
      </c>
      <c r="AA140" s="22" t="s">
        <v>42</v>
      </c>
      <c r="AB140" s="22"/>
      <c r="AC140" s="22" t="s">
        <v>42</v>
      </c>
      <c r="AD140" s="22" t="s">
        <v>42</v>
      </c>
      <c r="AE140" s="22" t="s">
        <v>42</v>
      </c>
      <c r="AF140" s="22" t="s">
        <v>42</v>
      </c>
      <c r="AG140" s="22" t="s">
        <v>42</v>
      </c>
      <c r="AH140" s="22" t="s">
        <v>42</v>
      </c>
      <c r="AJ140" s="22" t="s">
        <v>42</v>
      </c>
      <c r="AK140" s="22" t="s">
        <v>42</v>
      </c>
      <c r="AL140" s="22" t="s">
        <v>42</v>
      </c>
      <c r="AM140" s="22">
        <f t="shared" si="10"/>
        <v>24</v>
      </c>
    </row>
    <row r="141" spans="1:39" hidden="1" x14ac:dyDescent="0.25">
      <c r="A141" s="20" t="s">
        <v>55</v>
      </c>
      <c r="B141" s="38" t="s">
        <v>350</v>
      </c>
      <c r="C141" s="20" t="s">
        <v>351</v>
      </c>
      <c r="D141" s="20" t="s">
        <v>8</v>
      </c>
      <c r="E141" s="20" t="s">
        <v>8</v>
      </c>
      <c r="F141" s="20" t="s">
        <v>58</v>
      </c>
      <c r="G141" s="39"/>
      <c r="H141" s="40"/>
      <c r="I141" s="22" t="s">
        <v>42</v>
      </c>
      <c r="L141" s="22" t="s">
        <v>42</v>
      </c>
      <c r="M141" s="22" t="s">
        <v>42</v>
      </c>
      <c r="O141" s="22" t="s">
        <v>42</v>
      </c>
      <c r="P141" s="22" t="s">
        <v>42</v>
      </c>
      <c r="Q141" s="22" t="s">
        <v>42</v>
      </c>
      <c r="R141" s="22" t="s">
        <v>42</v>
      </c>
      <c r="S141" s="22" t="s">
        <v>42</v>
      </c>
      <c r="T141" s="22" t="s">
        <v>42</v>
      </c>
      <c r="U141" s="22"/>
      <c r="V141" s="22" t="s">
        <v>42</v>
      </c>
      <c r="W141" s="22" t="s">
        <v>42</v>
      </c>
      <c r="X141" s="22" t="s">
        <v>42</v>
      </c>
      <c r="Y141" s="22" t="s">
        <v>42</v>
      </c>
      <c r="Z141" s="22" t="s">
        <v>42</v>
      </c>
      <c r="AA141" s="22" t="s">
        <v>42</v>
      </c>
      <c r="AB141" s="22"/>
      <c r="AC141" s="22" t="s">
        <v>42</v>
      </c>
      <c r="AD141" s="22" t="s">
        <v>42</v>
      </c>
      <c r="AE141" s="22" t="s">
        <v>42</v>
      </c>
      <c r="AF141" s="22" t="s">
        <v>42</v>
      </c>
      <c r="AG141" s="22" t="s">
        <v>42</v>
      </c>
      <c r="AH141" s="22" t="s">
        <v>42</v>
      </c>
      <c r="AJ141" s="22" t="s">
        <v>42</v>
      </c>
      <c r="AK141" s="22" t="s">
        <v>42</v>
      </c>
      <c r="AM141" s="22">
        <f t="shared" si="10"/>
        <v>23</v>
      </c>
    </row>
    <row r="142" spans="1:39" hidden="1" x14ac:dyDescent="0.25">
      <c r="A142" s="20" t="s">
        <v>55</v>
      </c>
      <c r="B142" s="38" t="s">
        <v>352</v>
      </c>
      <c r="C142" s="20" t="s">
        <v>353</v>
      </c>
      <c r="D142" s="20" t="s">
        <v>14</v>
      </c>
      <c r="E142" s="20" t="s">
        <v>14</v>
      </c>
      <c r="F142" s="20" t="s">
        <v>58</v>
      </c>
      <c r="G142" s="39"/>
      <c r="H142" s="40"/>
      <c r="I142" s="22" t="s">
        <v>42</v>
      </c>
      <c r="J142" s="33"/>
      <c r="M142" s="22" t="s">
        <v>42</v>
      </c>
      <c r="O142" s="22" t="s">
        <v>42</v>
      </c>
      <c r="Q142" s="22" t="s">
        <v>42</v>
      </c>
      <c r="R142" s="22" t="s">
        <v>42</v>
      </c>
      <c r="S142" s="22" t="s">
        <v>42</v>
      </c>
      <c r="T142" s="22" t="s">
        <v>42</v>
      </c>
      <c r="U142" s="22"/>
      <c r="V142" s="22" t="s">
        <v>42</v>
      </c>
      <c r="W142" s="22" t="s">
        <v>42</v>
      </c>
      <c r="X142" s="22" t="s">
        <v>42</v>
      </c>
      <c r="Y142" s="22" t="s">
        <v>42</v>
      </c>
      <c r="Z142" s="22" t="s">
        <v>42</v>
      </c>
      <c r="AA142" s="22" t="s">
        <v>42</v>
      </c>
      <c r="AC142" s="22" t="s">
        <v>42</v>
      </c>
      <c r="AD142" s="22" t="s">
        <v>42</v>
      </c>
      <c r="AE142" s="22" t="s">
        <v>42</v>
      </c>
      <c r="AF142" s="22" t="s">
        <v>42</v>
      </c>
      <c r="AG142" s="22" t="s">
        <v>42</v>
      </c>
      <c r="AH142" s="22" t="s">
        <v>42</v>
      </c>
      <c r="AK142" s="22" t="s">
        <v>42</v>
      </c>
      <c r="AL142" s="22" t="s">
        <v>42</v>
      </c>
      <c r="AM142" s="22">
        <f t="shared" si="10"/>
        <v>21</v>
      </c>
    </row>
    <row r="143" spans="1:39" hidden="1" x14ac:dyDescent="0.25">
      <c r="A143" s="20" t="s">
        <v>55</v>
      </c>
      <c r="B143" s="38" t="s">
        <v>356</v>
      </c>
      <c r="C143" s="20" t="s">
        <v>357</v>
      </c>
      <c r="D143" s="20" t="s">
        <v>16</v>
      </c>
      <c r="E143" s="20" t="s">
        <v>16</v>
      </c>
      <c r="F143" s="20" t="s">
        <v>170</v>
      </c>
      <c r="G143" s="39"/>
      <c r="H143" s="40"/>
      <c r="I143" s="31" t="s">
        <v>36</v>
      </c>
      <c r="J143" s="31"/>
      <c r="K143" s="31"/>
      <c r="L143" s="29" t="s">
        <v>147</v>
      </c>
      <c r="M143" s="29" t="s">
        <v>147</v>
      </c>
      <c r="N143" s="31"/>
      <c r="O143" s="29" t="s">
        <v>147</v>
      </c>
      <c r="P143" s="29" t="s">
        <v>147</v>
      </c>
      <c r="Q143" s="31" t="s">
        <v>147</v>
      </c>
      <c r="R143" s="31" t="s">
        <v>147</v>
      </c>
      <c r="S143" s="31" t="s">
        <v>36</v>
      </c>
      <c r="T143" s="22" t="s">
        <v>147</v>
      </c>
      <c r="U143" s="31"/>
      <c r="V143" s="31" t="s">
        <v>147</v>
      </c>
      <c r="W143" s="31" t="s">
        <v>147</v>
      </c>
      <c r="X143" s="22" t="s">
        <v>147</v>
      </c>
      <c r="Y143" s="22" t="s">
        <v>147</v>
      </c>
      <c r="Z143" s="22" t="s">
        <v>147</v>
      </c>
      <c r="AA143" s="31" t="s">
        <v>147</v>
      </c>
      <c r="AB143" s="31"/>
      <c r="AC143" s="31" t="s">
        <v>147</v>
      </c>
      <c r="AD143" s="31" t="s">
        <v>147</v>
      </c>
      <c r="AE143" s="31" t="s">
        <v>147</v>
      </c>
      <c r="AF143" s="31" t="s">
        <v>147</v>
      </c>
      <c r="AG143" s="31" t="s">
        <v>147</v>
      </c>
      <c r="AH143" s="31" t="s">
        <v>147</v>
      </c>
      <c r="AI143" s="31"/>
      <c r="AJ143" s="31"/>
      <c r="AK143" s="31"/>
      <c r="AL143" s="31"/>
      <c r="AM143" s="22">
        <f t="shared" ref="AM143:AM206" si="11">COUNTA(I143:AL143)-COUNTIF(I143:AL143,"CT")</f>
        <v>2</v>
      </c>
    </row>
    <row r="144" spans="1:39" x14ac:dyDescent="0.25">
      <c r="A144" s="20" t="s">
        <v>55</v>
      </c>
      <c r="B144" s="38" t="s">
        <v>358</v>
      </c>
      <c r="C144" s="20" t="s">
        <v>359</v>
      </c>
      <c r="D144" s="20" t="s">
        <v>8</v>
      </c>
      <c r="E144" s="20" t="s">
        <v>8</v>
      </c>
      <c r="F144" s="20" t="s">
        <v>58</v>
      </c>
      <c r="G144" s="39"/>
      <c r="H144" s="40"/>
      <c r="I144" s="22" t="s">
        <v>42</v>
      </c>
      <c r="L144" s="22" t="s">
        <v>42</v>
      </c>
      <c r="M144" s="22" t="s">
        <v>42</v>
      </c>
      <c r="O144" s="22" t="s">
        <v>42</v>
      </c>
      <c r="P144" s="22" t="s">
        <v>42</v>
      </c>
      <c r="Q144" s="22" t="s">
        <v>42</v>
      </c>
      <c r="R144" s="22" t="s">
        <v>42</v>
      </c>
      <c r="S144" s="22" t="s">
        <v>42</v>
      </c>
      <c r="T144" s="22" t="s">
        <v>42</v>
      </c>
      <c r="U144" s="22"/>
      <c r="V144" s="22" t="s">
        <v>147</v>
      </c>
      <c r="W144" s="22" t="s">
        <v>147</v>
      </c>
      <c r="X144" s="22" t="s">
        <v>42</v>
      </c>
      <c r="Y144" s="22" t="s">
        <v>42</v>
      </c>
      <c r="Z144" s="22" t="s">
        <v>42</v>
      </c>
      <c r="AA144" s="22" t="s">
        <v>42</v>
      </c>
      <c r="AB144" s="22"/>
      <c r="AC144" s="22" t="s">
        <v>42</v>
      </c>
      <c r="AD144" s="22" t="s">
        <v>42</v>
      </c>
      <c r="AE144" s="22" t="s">
        <v>42</v>
      </c>
      <c r="AF144" s="22" t="s">
        <v>42</v>
      </c>
      <c r="AG144" s="22" t="s">
        <v>42</v>
      </c>
      <c r="AH144" s="22" t="s">
        <v>42</v>
      </c>
      <c r="AI144" s="22" t="s">
        <v>42</v>
      </c>
      <c r="AJ144" s="22" t="s">
        <v>42</v>
      </c>
      <c r="AK144" s="22" t="s">
        <v>42</v>
      </c>
      <c r="AL144" s="22" t="s">
        <v>42</v>
      </c>
      <c r="AM144" s="22">
        <f t="shared" si="11"/>
        <v>23</v>
      </c>
    </row>
    <row r="145" spans="1:39" hidden="1" x14ac:dyDescent="0.25">
      <c r="A145" s="20" t="s">
        <v>55</v>
      </c>
      <c r="B145" s="38" t="s">
        <v>360</v>
      </c>
      <c r="C145" s="20" t="s">
        <v>361</v>
      </c>
      <c r="D145" s="20" t="s">
        <v>23</v>
      </c>
      <c r="E145" s="20" t="s">
        <v>23</v>
      </c>
      <c r="F145" s="20" t="s">
        <v>58</v>
      </c>
      <c r="G145" s="39"/>
      <c r="H145" s="40"/>
      <c r="I145" s="22" t="s">
        <v>42</v>
      </c>
      <c r="L145" s="22" t="s">
        <v>42</v>
      </c>
      <c r="O145" s="22" t="s">
        <v>42</v>
      </c>
      <c r="P145" s="22" t="s">
        <v>42</v>
      </c>
      <c r="R145" s="22"/>
      <c r="S145" s="22"/>
      <c r="T145" s="22"/>
      <c r="U145" s="22"/>
      <c r="V145" s="22" t="s">
        <v>42</v>
      </c>
      <c r="W145" s="22"/>
      <c r="X145" s="22"/>
      <c r="Y145" s="22" t="s">
        <v>42</v>
      </c>
      <c r="Z145" s="22" t="s">
        <v>42</v>
      </c>
      <c r="AA145" s="22" t="s">
        <v>42</v>
      </c>
      <c r="AB145" s="22"/>
      <c r="AC145" s="22"/>
      <c r="AD145" s="22" t="s">
        <v>42</v>
      </c>
      <c r="AE145" s="22" t="s">
        <v>42</v>
      </c>
      <c r="AF145" s="22" t="s">
        <v>42</v>
      </c>
      <c r="AG145" s="22" t="s">
        <v>42</v>
      </c>
      <c r="AH145" s="22" t="s">
        <v>42</v>
      </c>
      <c r="AJ145" s="22" t="s">
        <v>42</v>
      </c>
      <c r="AK145" s="22" t="s">
        <v>42</v>
      </c>
      <c r="AL145" s="22" t="s">
        <v>42</v>
      </c>
      <c r="AM145" s="22">
        <f t="shared" si="11"/>
        <v>16</v>
      </c>
    </row>
    <row r="146" spans="1:39" hidden="1" x14ac:dyDescent="0.25">
      <c r="A146" s="20" t="s">
        <v>55</v>
      </c>
      <c r="B146" s="38" t="s">
        <v>364</v>
      </c>
      <c r="C146" s="20" t="s">
        <v>365</v>
      </c>
      <c r="D146" s="20" t="s">
        <v>15</v>
      </c>
      <c r="E146" s="20" t="s">
        <v>15</v>
      </c>
      <c r="F146" s="20" t="s">
        <v>63</v>
      </c>
      <c r="G146" s="39"/>
      <c r="H146" s="40"/>
      <c r="I146" s="33" t="s">
        <v>38</v>
      </c>
      <c r="J146" s="33"/>
      <c r="K146" s="33"/>
      <c r="L146" s="33" t="s">
        <v>38</v>
      </c>
      <c r="M146" s="33" t="s">
        <v>38</v>
      </c>
      <c r="N146" s="33"/>
      <c r="O146" s="33" t="s">
        <v>38</v>
      </c>
      <c r="P146" s="33" t="s">
        <v>38</v>
      </c>
      <c r="Q146" s="33" t="s">
        <v>38</v>
      </c>
      <c r="R146" s="33"/>
      <c r="S146" s="33" t="s">
        <v>38</v>
      </c>
      <c r="T146" s="33" t="s">
        <v>38</v>
      </c>
      <c r="U146" s="33"/>
      <c r="V146" s="33" t="s">
        <v>38</v>
      </c>
      <c r="W146" s="33" t="s">
        <v>38</v>
      </c>
      <c r="X146" s="33" t="s">
        <v>38</v>
      </c>
      <c r="Y146" s="33" t="s">
        <v>38</v>
      </c>
      <c r="Z146" s="33" t="s">
        <v>38</v>
      </c>
      <c r="AA146" s="33" t="s">
        <v>38</v>
      </c>
      <c r="AB146" s="33"/>
      <c r="AC146" s="33" t="s">
        <v>38</v>
      </c>
      <c r="AD146" s="33" t="s">
        <v>38</v>
      </c>
      <c r="AE146" s="33" t="s">
        <v>38</v>
      </c>
      <c r="AF146" s="33" t="s">
        <v>38</v>
      </c>
      <c r="AG146" s="33"/>
      <c r="AH146" s="33" t="s">
        <v>38</v>
      </c>
      <c r="AI146" s="33"/>
      <c r="AJ146" s="33"/>
      <c r="AK146" s="33" t="s">
        <v>38</v>
      </c>
      <c r="AL146" s="33" t="s">
        <v>38</v>
      </c>
      <c r="AM146" s="22">
        <f t="shared" si="11"/>
        <v>21</v>
      </c>
    </row>
    <row r="147" spans="1:39" hidden="1" x14ac:dyDescent="0.25">
      <c r="A147" s="20" t="s">
        <v>55</v>
      </c>
      <c r="B147" s="38" t="s">
        <v>366</v>
      </c>
      <c r="C147" s="20" t="s">
        <v>367</v>
      </c>
      <c r="D147" s="20" t="s">
        <v>8</v>
      </c>
      <c r="E147" s="20" t="s">
        <v>8</v>
      </c>
      <c r="F147" s="20" t="s">
        <v>58</v>
      </c>
      <c r="G147" s="39"/>
      <c r="H147" s="40"/>
      <c r="I147" s="22" t="s">
        <v>42</v>
      </c>
      <c r="L147" s="22" t="s">
        <v>42</v>
      </c>
      <c r="M147" s="22" t="s">
        <v>42</v>
      </c>
      <c r="O147" s="22" t="s">
        <v>42</v>
      </c>
      <c r="P147" s="22" t="s">
        <v>42</v>
      </c>
      <c r="Q147" s="22" t="s">
        <v>42</v>
      </c>
      <c r="R147" s="22" t="s">
        <v>42</v>
      </c>
      <c r="S147" s="22" t="s">
        <v>42</v>
      </c>
      <c r="T147" s="22" t="s">
        <v>42</v>
      </c>
      <c r="U147" s="22"/>
      <c r="V147" s="22" t="s">
        <v>42</v>
      </c>
      <c r="W147" s="22" t="s">
        <v>42</v>
      </c>
      <c r="X147" s="22" t="s">
        <v>42</v>
      </c>
      <c r="Y147" s="22" t="s">
        <v>42</v>
      </c>
      <c r="Z147" s="22" t="s">
        <v>42</v>
      </c>
      <c r="AA147" s="22" t="s">
        <v>42</v>
      </c>
      <c r="AB147" s="22"/>
      <c r="AC147" s="22" t="s">
        <v>42</v>
      </c>
      <c r="AD147" s="22" t="s">
        <v>42</v>
      </c>
      <c r="AE147" s="22" t="s">
        <v>42</v>
      </c>
      <c r="AF147" s="22" t="s">
        <v>42</v>
      </c>
      <c r="AG147" s="22" t="s">
        <v>42</v>
      </c>
      <c r="AH147" s="22" t="s">
        <v>42</v>
      </c>
      <c r="AJ147" s="22" t="s">
        <v>42</v>
      </c>
      <c r="AK147" s="22" t="s">
        <v>42</v>
      </c>
      <c r="AL147" s="22" t="s">
        <v>42</v>
      </c>
      <c r="AM147" s="22">
        <f t="shared" si="11"/>
        <v>24</v>
      </c>
    </row>
    <row r="148" spans="1:39" hidden="1" x14ac:dyDescent="0.25">
      <c r="A148" s="20" t="s">
        <v>55</v>
      </c>
      <c r="B148" s="38" t="s">
        <v>368</v>
      </c>
      <c r="C148" s="20" t="s">
        <v>369</v>
      </c>
      <c r="D148" s="20" t="s">
        <v>28</v>
      </c>
      <c r="E148" s="20" t="s">
        <v>28</v>
      </c>
      <c r="F148" s="20" t="s">
        <v>58</v>
      </c>
      <c r="G148" s="39"/>
      <c r="H148" s="40"/>
      <c r="I148" s="22" t="s">
        <v>42</v>
      </c>
      <c r="L148" s="22" t="s">
        <v>42</v>
      </c>
      <c r="M148" s="22" t="s">
        <v>42</v>
      </c>
      <c r="O148" s="22" t="s">
        <v>42</v>
      </c>
      <c r="P148" s="22" t="s">
        <v>42</v>
      </c>
      <c r="Q148" s="22" t="s">
        <v>42</v>
      </c>
      <c r="R148" s="22" t="s">
        <v>42</v>
      </c>
      <c r="S148" s="22" t="s">
        <v>42</v>
      </c>
      <c r="T148" s="22" t="s">
        <v>42</v>
      </c>
      <c r="U148" s="22"/>
      <c r="V148" s="22" t="s">
        <v>42</v>
      </c>
      <c r="W148" s="22" t="s">
        <v>42</v>
      </c>
      <c r="X148" s="22" t="s">
        <v>42</v>
      </c>
      <c r="Y148" s="22" t="s">
        <v>42</v>
      </c>
      <c r="Z148" s="22" t="s">
        <v>42</v>
      </c>
      <c r="AA148" s="22" t="s">
        <v>42</v>
      </c>
      <c r="AB148" s="22"/>
      <c r="AC148" s="22" t="s">
        <v>42</v>
      </c>
      <c r="AD148" s="22" t="s">
        <v>42</v>
      </c>
      <c r="AE148" s="22" t="s">
        <v>42</v>
      </c>
      <c r="AF148" s="22" t="s">
        <v>42</v>
      </c>
      <c r="AG148" s="22" t="s">
        <v>42</v>
      </c>
      <c r="AH148" s="22" t="s">
        <v>42</v>
      </c>
      <c r="AJ148" s="22" t="s">
        <v>42</v>
      </c>
      <c r="AK148" s="22" t="s">
        <v>42</v>
      </c>
      <c r="AL148" s="22" t="s">
        <v>42</v>
      </c>
      <c r="AM148" s="22">
        <f t="shared" si="11"/>
        <v>24</v>
      </c>
    </row>
    <row r="149" spans="1:39" hidden="1" x14ac:dyDescent="0.25">
      <c r="A149" s="20" t="s">
        <v>55</v>
      </c>
      <c r="B149" s="38" t="s">
        <v>370</v>
      </c>
      <c r="C149" s="20" t="s">
        <v>371</v>
      </c>
      <c r="D149" s="20" t="s">
        <v>25</v>
      </c>
      <c r="E149" s="20" t="s">
        <v>25</v>
      </c>
      <c r="F149" s="20" t="s">
        <v>58</v>
      </c>
      <c r="G149" s="39"/>
      <c r="H149" s="40"/>
      <c r="I149" s="22" t="s">
        <v>42</v>
      </c>
      <c r="L149" s="22" t="s">
        <v>42</v>
      </c>
      <c r="M149" s="22" t="s">
        <v>42</v>
      </c>
      <c r="O149" s="22" t="s">
        <v>42</v>
      </c>
      <c r="P149" s="22" t="s">
        <v>42</v>
      </c>
      <c r="Q149" s="22" t="s">
        <v>42</v>
      </c>
      <c r="R149" s="22" t="s">
        <v>42</v>
      </c>
      <c r="S149" s="22" t="s">
        <v>42</v>
      </c>
      <c r="T149" s="22" t="s">
        <v>42</v>
      </c>
      <c r="U149" s="22"/>
      <c r="V149" s="22" t="s">
        <v>42</v>
      </c>
      <c r="W149" s="22" t="s">
        <v>42</v>
      </c>
      <c r="X149" s="22" t="s">
        <v>42</v>
      </c>
      <c r="Y149" s="22" t="s">
        <v>42</v>
      </c>
      <c r="Z149" s="22" t="s">
        <v>42</v>
      </c>
      <c r="AA149" s="22" t="s">
        <v>42</v>
      </c>
      <c r="AB149" s="22"/>
      <c r="AC149" s="22" t="s">
        <v>42</v>
      </c>
      <c r="AD149" s="22" t="s">
        <v>42</v>
      </c>
      <c r="AE149" s="22" t="s">
        <v>42</v>
      </c>
      <c r="AF149" s="22" t="s">
        <v>42</v>
      </c>
      <c r="AG149" s="22" t="s">
        <v>42</v>
      </c>
      <c r="AH149" s="22" t="s">
        <v>42</v>
      </c>
      <c r="AJ149" s="22" t="s">
        <v>42</v>
      </c>
      <c r="AK149" s="22" t="s">
        <v>42</v>
      </c>
      <c r="AL149" s="22" t="s">
        <v>42</v>
      </c>
      <c r="AM149" s="22">
        <f t="shared" si="11"/>
        <v>24</v>
      </c>
    </row>
    <row r="150" spans="1:39" hidden="1" x14ac:dyDescent="0.25">
      <c r="A150" s="20" t="s">
        <v>55</v>
      </c>
      <c r="B150" s="38" t="s">
        <v>372</v>
      </c>
      <c r="C150" s="20" t="s">
        <v>373</v>
      </c>
      <c r="D150" s="20" t="s">
        <v>23</v>
      </c>
      <c r="E150" s="20" t="s">
        <v>23</v>
      </c>
      <c r="F150" s="20" t="s">
        <v>58</v>
      </c>
      <c r="G150" s="39"/>
      <c r="H150" s="40"/>
      <c r="I150" s="22" t="s">
        <v>42</v>
      </c>
      <c r="J150" s="33"/>
      <c r="L150" s="22" t="s">
        <v>42</v>
      </c>
      <c r="M150" s="22" t="s">
        <v>42</v>
      </c>
      <c r="O150" s="22" t="s">
        <v>42</v>
      </c>
      <c r="R150" s="22" t="s">
        <v>42</v>
      </c>
      <c r="S150" s="22" t="s">
        <v>42</v>
      </c>
      <c r="T150" s="22" t="s">
        <v>42</v>
      </c>
      <c r="U150" s="22"/>
      <c r="V150" s="22" t="s">
        <v>42</v>
      </c>
      <c r="W150" s="22" t="s">
        <v>42</v>
      </c>
      <c r="X150" s="22"/>
      <c r="Y150" s="22"/>
      <c r="Z150" s="22"/>
      <c r="AA150" s="22"/>
      <c r="AB150" s="22"/>
      <c r="AD150" s="22"/>
      <c r="AE150" s="22"/>
      <c r="AF150" s="22"/>
      <c r="AG150" s="22"/>
      <c r="AH150" s="22"/>
      <c r="AM150" s="22">
        <f t="shared" si="11"/>
        <v>9</v>
      </c>
    </row>
    <row r="151" spans="1:39" hidden="1" x14ac:dyDescent="0.25">
      <c r="A151" s="20" t="s">
        <v>55</v>
      </c>
      <c r="B151" s="38" t="s">
        <v>375</v>
      </c>
      <c r="C151" s="20" t="s">
        <v>376</v>
      </c>
      <c r="D151" s="20" t="s">
        <v>19</v>
      </c>
      <c r="E151" s="20" t="s">
        <v>19</v>
      </c>
      <c r="F151" s="20" t="s">
        <v>58</v>
      </c>
      <c r="G151" s="39"/>
      <c r="H151" s="40"/>
      <c r="I151" s="22" t="s">
        <v>42</v>
      </c>
      <c r="J151" s="33"/>
      <c r="O151" s="22" t="s">
        <v>42</v>
      </c>
      <c r="P151" s="22" t="s">
        <v>42</v>
      </c>
      <c r="Q151" s="22" t="s">
        <v>42</v>
      </c>
      <c r="R151" s="22" t="s">
        <v>42</v>
      </c>
      <c r="T151" s="22" t="s">
        <v>42</v>
      </c>
      <c r="U151" s="22"/>
      <c r="V151" s="22" t="s">
        <v>42</v>
      </c>
      <c r="W151" s="22" t="s">
        <v>42</v>
      </c>
      <c r="X151" s="22" t="s">
        <v>42</v>
      </c>
      <c r="Y151" s="22" t="s">
        <v>42</v>
      </c>
      <c r="Z151" s="22" t="s">
        <v>42</v>
      </c>
      <c r="AB151" s="22"/>
      <c r="AC151" s="22" t="s">
        <v>42</v>
      </c>
      <c r="AD151" s="22" t="s">
        <v>42</v>
      </c>
      <c r="AG151" s="22"/>
      <c r="AH151" s="22"/>
      <c r="AJ151" s="22" t="s">
        <v>42</v>
      </c>
      <c r="AM151" s="22">
        <f t="shared" si="11"/>
        <v>14</v>
      </c>
    </row>
    <row r="152" spans="1:39" hidden="1" x14ac:dyDescent="0.25">
      <c r="A152" s="20" t="s">
        <v>55</v>
      </c>
      <c r="B152" s="38" t="s">
        <v>377</v>
      </c>
      <c r="C152" s="20" t="s">
        <v>378</v>
      </c>
      <c r="D152" s="20" t="s">
        <v>19</v>
      </c>
      <c r="E152" s="20" t="s">
        <v>19</v>
      </c>
      <c r="F152" s="20" t="s">
        <v>58</v>
      </c>
      <c r="G152" s="39"/>
      <c r="H152" s="40"/>
      <c r="I152" s="22" t="s">
        <v>42</v>
      </c>
      <c r="L152" s="22" t="s">
        <v>42</v>
      </c>
      <c r="M152" s="22" t="s">
        <v>42</v>
      </c>
      <c r="O152" s="22" t="s">
        <v>42</v>
      </c>
      <c r="P152" s="22" t="s">
        <v>42</v>
      </c>
      <c r="Q152" s="22" t="s">
        <v>42</v>
      </c>
      <c r="R152" s="22" t="s">
        <v>42</v>
      </c>
      <c r="S152" s="22" t="s">
        <v>42</v>
      </c>
      <c r="T152" s="22" t="s">
        <v>42</v>
      </c>
      <c r="U152" s="22"/>
      <c r="V152" s="22" t="s">
        <v>42</v>
      </c>
      <c r="W152" s="22" t="s">
        <v>42</v>
      </c>
      <c r="X152" s="22" t="s">
        <v>42</v>
      </c>
      <c r="Y152" s="22" t="s">
        <v>42</v>
      </c>
      <c r="Z152" s="22" t="s">
        <v>42</v>
      </c>
      <c r="AA152" s="22"/>
      <c r="AB152" s="22"/>
      <c r="AC152" s="22"/>
      <c r="AD152" s="22"/>
      <c r="AE152" s="22"/>
      <c r="AF152" s="22"/>
      <c r="AG152" s="22"/>
      <c r="AH152" s="22"/>
      <c r="AL152" s="22" t="s">
        <v>42</v>
      </c>
      <c r="AM152" s="22">
        <f t="shared" si="11"/>
        <v>15</v>
      </c>
    </row>
    <row r="153" spans="1:39" hidden="1" x14ac:dyDescent="0.25">
      <c r="A153" s="20" t="s">
        <v>55</v>
      </c>
      <c r="B153" s="38" t="s">
        <v>379</v>
      </c>
      <c r="C153" s="20" t="s">
        <v>380</v>
      </c>
      <c r="D153" s="20" t="s">
        <v>19</v>
      </c>
      <c r="E153" s="20" t="s">
        <v>19</v>
      </c>
      <c r="F153" s="20" t="s">
        <v>58</v>
      </c>
      <c r="G153" s="39"/>
      <c r="H153" s="40"/>
      <c r="I153" s="22" t="s">
        <v>42</v>
      </c>
      <c r="L153" s="22" t="s">
        <v>42</v>
      </c>
      <c r="M153" s="22" t="s">
        <v>42</v>
      </c>
      <c r="O153" s="22" t="s">
        <v>42</v>
      </c>
      <c r="P153" s="22" t="s">
        <v>42</v>
      </c>
      <c r="Q153" s="22" t="s">
        <v>42</v>
      </c>
      <c r="R153" s="22" t="s">
        <v>42</v>
      </c>
      <c r="S153" s="22" t="s">
        <v>42</v>
      </c>
      <c r="T153" s="22" t="s">
        <v>42</v>
      </c>
      <c r="U153" s="22"/>
      <c r="V153" s="22" t="s">
        <v>42</v>
      </c>
      <c r="W153" s="22" t="s">
        <v>42</v>
      </c>
      <c r="X153" s="22" t="s">
        <v>42</v>
      </c>
      <c r="Y153" s="22" t="s">
        <v>42</v>
      </c>
      <c r="Z153" s="22" t="s">
        <v>42</v>
      </c>
      <c r="AA153" s="22" t="s">
        <v>42</v>
      </c>
      <c r="AB153" s="22"/>
      <c r="AC153" s="22" t="s">
        <v>42</v>
      </c>
      <c r="AD153" s="22" t="s">
        <v>42</v>
      </c>
      <c r="AE153" s="22" t="s">
        <v>42</v>
      </c>
      <c r="AF153" s="22" t="s">
        <v>42</v>
      </c>
      <c r="AG153" s="22"/>
      <c r="AH153" s="22"/>
      <c r="AJ153" s="22" t="s">
        <v>42</v>
      </c>
      <c r="AK153" s="22" t="s">
        <v>42</v>
      </c>
      <c r="AM153" s="22">
        <f t="shared" si="11"/>
        <v>21</v>
      </c>
    </row>
    <row r="154" spans="1:39" hidden="1" x14ac:dyDescent="0.25">
      <c r="A154" s="20" t="s">
        <v>55</v>
      </c>
      <c r="B154" s="38" t="s">
        <v>381</v>
      </c>
      <c r="C154" s="20" t="s">
        <v>382</v>
      </c>
      <c r="D154" s="20" t="s">
        <v>19</v>
      </c>
      <c r="E154" s="20" t="s">
        <v>19</v>
      </c>
      <c r="F154" s="20" t="s">
        <v>58</v>
      </c>
      <c r="G154" s="39"/>
      <c r="H154" s="40"/>
      <c r="I154" s="22" t="s">
        <v>42</v>
      </c>
      <c r="L154" s="22" t="s">
        <v>42</v>
      </c>
      <c r="M154" s="22" t="s">
        <v>42</v>
      </c>
      <c r="O154" s="22" t="s">
        <v>42</v>
      </c>
      <c r="P154" s="22" t="s">
        <v>42</v>
      </c>
      <c r="Q154" s="22" t="s">
        <v>42</v>
      </c>
      <c r="R154" s="22" t="s">
        <v>42</v>
      </c>
      <c r="S154" s="22" t="s">
        <v>42</v>
      </c>
      <c r="T154" s="22" t="s">
        <v>42</v>
      </c>
      <c r="U154" s="22"/>
      <c r="V154" s="22" t="s">
        <v>42</v>
      </c>
      <c r="W154" s="22" t="s">
        <v>42</v>
      </c>
      <c r="X154" s="22" t="s">
        <v>42</v>
      </c>
      <c r="Y154" s="22" t="s">
        <v>42</v>
      </c>
      <c r="Z154" s="22" t="s">
        <v>42</v>
      </c>
      <c r="AA154" s="22" t="s">
        <v>42</v>
      </c>
      <c r="AB154" s="22"/>
      <c r="AC154" s="22" t="s">
        <v>42</v>
      </c>
      <c r="AD154" s="22" t="s">
        <v>42</v>
      </c>
      <c r="AE154" s="22" t="s">
        <v>42</v>
      </c>
      <c r="AF154" s="22" t="s">
        <v>42</v>
      </c>
      <c r="AG154" s="22" t="s">
        <v>42</v>
      </c>
      <c r="AH154" s="22" t="s">
        <v>42</v>
      </c>
      <c r="AJ154" s="22" t="s">
        <v>42</v>
      </c>
      <c r="AK154" s="22" t="s">
        <v>42</v>
      </c>
      <c r="AL154" s="22" t="s">
        <v>42</v>
      </c>
      <c r="AM154" s="22">
        <f t="shared" si="11"/>
        <v>24</v>
      </c>
    </row>
    <row r="155" spans="1:39" hidden="1" x14ac:dyDescent="0.25">
      <c r="A155" s="20" t="s">
        <v>55</v>
      </c>
      <c r="B155" s="38" t="s">
        <v>383</v>
      </c>
      <c r="C155" s="20" t="s">
        <v>384</v>
      </c>
      <c r="D155" s="20" t="s">
        <v>19</v>
      </c>
      <c r="E155" s="20" t="s">
        <v>19</v>
      </c>
      <c r="F155" s="20" t="s">
        <v>58</v>
      </c>
      <c r="G155" s="39"/>
      <c r="H155" s="40"/>
      <c r="I155" s="22" t="s">
        <v>42</v>
      </c>
      <c r="L155" s="22" t="s">
        <v>42</v>
      </c>
      <c r="M155" s="22" t="s">
        <v>42</v>
      </c>
      <c r="O155" s="22" t="s">
        <v>42</v>
      </c>
      <c r="P155" s="22" t="s">
        <v>42</v>
      </c>
      <c r="Q155" s="22" t="s">
        <v>42</v>
      </c>
      <c r="R155" s="22" t="s">
        <v>42</v>
      </c>
      <c r="S155" s="22" t="s">
        <v>42</v>
      </c>
      <c r="T155" s="22" t="s">
        <v>42</v>
      </c>
      <c r="U155" s="22"/>
      <c r="V155" s="22" t="s">
        <v>42</v>
      </c>
      <c r="W155" s="22" t="s">
        <v>42</v>
      </c>
      <c r="X155" s="22" t="s">
        <v>42</v>
      </c>
      <c r="Y155" s="22" t="s">
        <v>42</v>
      </c>
      <c r="Z155" s="22" t="s">
        <v>42</v>
      </c>
      <c r="AA155" s="22" t="s">
        <v>42</v>
      </c>
      <c r="AB155" s="22"/>
      <c r="AC155" s="22" t="s">
        <v>42</v>
      </c>
      <c r="AD155" s="22" t="s">
        <v>42</v>
      </c>
      <c r="AE155" s="22" t="s">
        <v>42</v>
      </c>
      <c r="AF155" s="22" t="s">
        <v>42</v>
      </c>
      <c r="AG155" s="22" t="s">
        <v>42</v>
      </c>
      <c r="AH155" s="22" t="s">
        <v>42</v>
      </c>
      <c r="AJ155" s="22" t="s">
        <v>42</v>
      </c>
      <c r="AK155" s="22" t="s">
        <v>42</v>
      </c>
      <c r="AL155" s="22" t="s">
        <v>42</v>
      </c>
      <c r="AM155" s="22">
        <f t="shared" si="11"/>
        <v>24</v>
      </c>
    </row>
    <row r="156" spans="1:39" hidden="1" x14ac:dyDescent="0.25">
      <c r="A156" s="20" t="s">
        <v>55</v>
      </c>
      <c r="B156" s="38" t="s">
        <v>385</v>
      </c>
      <c r="C156" s="20" t="s">
        <v>386</v>
      </c>
      <c r="D156" s="20" t="s">
        <v>19</v>
      </c>
      <c r="E156" s="20" t="s">
        <v>19</v>
      </c>
      <c r="F156" s="20" t="s">
        <v>58</v>
      </c>
      <c r="G156" s="39"/>
      <c r="H156" s="40"/>
      <c r="I156" s="22" t="s">
        <v>42</v>
      </c>
      <c r="L156" s="22" t="s">
        <v>42</v>
      </c>
      <c r="M156" s="22" t="s">
        <v>42</v>
      </c>
      <c r="O156" s="22" t="s">
        <v>42</v>
      </c>
      <c r="P156" s="22" t="s">
        <v>42</v>
      </c>
      <c r="Q156" s="22" t="s">
        <v>42</v>
      </c>
      <c r="R156" s="22" t="s">
        <v>42</v>
      </c>
      <c r="S156" s="22" t="s">
        <v>42</v>
      </c>
      <c r="T156" s="22" t="s">
        <v>42</v>
      </c>
      <c r="U156" s="22"/>
      <c r="V156" s="22" t="s">
        <v>42</v>
      </c>
      <c r="W156" s="22" t="s">
        <v>42</v>
      </c>
      <c r="X156" s="22" t="s">
        <v>42</v>
      </c>
      <c r="Y156" s="22" t="s">
        <v>42</v>
      </c>
      <c r="Z156" s="22" t="s">
        <v>42</v>
      </c>
      <c r="AA156" s="22" t="s">
        <v>42</v>
      </c>
      <c r="AB156" s="22"/>
      <c r="AC156" s="22" t="s">
        <v>42</v>
      </c>
      <c r="AD156" s="22" t="s">
        <v>42</v>
      </c>
      <c r="AE156" s="22" t="s">
        <v>42</v>
      </c>
      <c r="AF156" s="22" t="s">
        <v>42</v>
      </c>
      <c r="AG156" s="22" t="s">
        <v>42</v>
      </c>
      <c r="AH156" s="22" t="s">
        <v>42</v>
      </c>
      <c r="AJ156" s="22" t="s">
        <v>42</v>
      </c>
      <c r="AK156" s="22" t="s">
        <v>42</v>
      </c>
      <c r="AL156" s="22" t="s">
        <v>42</v>
      </c>
      <c r="AM156" s="22">
        <f t="shared" si="11"/>
        <v>24</v>
      </c>
    </row>
    <row r="157" spans="1:39" hidden="1" x14ac:dyDescent="0.25">
      <c r="A157" s="20" t="s">
        <v>55</v>
      </c>
      <c r="B157" s="38" t="s">
        <v>387</v>
      </c>
      <c r="C157" s="20" t="s">
        <v>388</v>
      </c>
      <c r="D157" s="20" t="s">
        <v>19</v>
      </c>
      <c r="E157" s="20" t="s">
        <v>19</v>
      </c>
      <c r="F157" s="20" t="s">
        <v>58</v>
      </c>
      <c r="G157" s="39"/>
      <c r="H157" s="40"/>
      <c r="I157" s="22" t="s">
        <v>42</v>
      </c>
      <c r="O157" s="22" t="s">
        <v>42</v>
      </c>
      <c r="P157" s="22" t="s">
        <v>42</v>
      </c>
      <c r="Q157" s="22" t="s">
        <v>42</v>
      </c>
      <c r="R157" s="22" t="s">
        <v>42</v>
      </c>
      <c r="S157" s="22" t="s">
        <v>42</v>
      </c>
      <c r="T157" s="22" t="s">
        <v>42</v>
      </c>
      <c r="U157" s="22"/>
      <c r="V157" s="22" t="s">
        <v>42</v>
      </c>
      <c r="W157" s="22" t="s">
        <v>42</v>
      </c>
      <c r="X157" s="22" t="s">
        <v>42</v>
      </c>
      <c r="Y157" s="22" t="s">
        <v>42</v>
      </c>
      <c r="Z157" s="22" t="s">
        <v>42</v>
      </c>
      <c r="AA157" s="22" t="s">
        <v>42</v>
      </c>
      <c r="AB157" s="22"/>
      <c r="AC157" s="22" t="s">
        <v>42</v>
      </c>
      <c r="AD157" s="22" t="s">
        <v>42</v>
      </c>
      <c r="AE157" s="22" t="s">
        <v>42</v>
      </c>
      <c r="AF157" s="22" t="s">
        <v>42</v>
      </c>
      <c r="AG157" s="22" t="s">
        <v>42</v>
      </c>
      <c r="AH157" s="22" t="s">
        <v>42</v>
      </c>
      <c r="AJ157" s="22" t="s">
        <v>42</v>
      </c>
      <c r="AK157" s="22" t="s">
        <v>42</v>
      </c>
      <c r="AL157" s="22" t="s">
        <v>42</v>
      </c>
      <c r="AM157" s="22">
        <f t="shared" si="11"/>
        <v>22</v>
      </c>
    </row>
    <row r="158" spans="1:39" hidden="1" x14ac:dyDescent="0.25">
      <c r="A158" s="20" t="s">
        <v>55</v>
      </c>
      <c r="B158" s="38" t="s">
        <v>389</v>
      </c>
      <c r="C158" s="20" t="s">
        <v>390</v>
      </c>
      <c r="D158" s="20" t="s">
        <v>19</v>
      </c>
      <c r="E158" s="20" t="s">
        <v>19</v>
      </c>
      <c r="F158" s="20" t="s">
        <v>58</v>
      </c>
      <c r="G158" s="39"/>
      <c r="H158" s="40"/>
      <c r="I158" s="22" t="s">
        <v>42</v>
      </c>
      <c r="L158" s="22" t="s">
        <v>42</v>
      </c>
      <c r="M158" s="22" t="s">
        <v>42</v>
      </c>
      <c r="O158" s="22" t="s">
        <v>42</v>
      </c>
      <c r="P158" s="22" t="s">
        <v>42</v>
      </c>
      <c r="Q158" s="22" t="s">
        <v>42</v>
      </c>
      <c r="R158" s="22" t="s">
        <v>42</v>
      </c>
      <c r="S158" s="22" t="s">
        <v>42</v>
      </c>
      <c r="T158" s="22" t="s">
        <v>42</v>
      </c>
      <c r="U158" s="22"/>
      <c r="V158" s="22" t="s">
        <v>42</v>
      </c>
      <c r="W158" s="22" t="s">
        <v>42</v>
      </c>
      <c r="X158" s="22" t="s">
        <v>42</v>
      </c>
      <c r="Y158" s="22" t="s">
        <v>42</v>
      </c>
      <c r="Z158" s="22" t="s">
        <v>42</v>
      </c>
      <c r="AA158" s="22" t="s">
        <v>42</v>
      </c>
      <c r="AB158" s="22"/>
      <c r="AC158" s="22" t="s">
        <v>42</v>
      </c>
      <c r="AD158" s="22" t="s">
        <v>42</v>
      </c>
      <c r="AE158" s="22" t="s">
        <v>42</v>
      </c>
      <c r="AF158" s="22" t="s">
        <v>42</v>
      </c>
      <c r="AG158" s="22" t="s">
        <v>42</v>
      </c>
      <c r="AH158" s="22" t="s">
        <v>42</v>
      </c>
      <c r="AJ158" s="22" t="s">
        <v>42</v>
      </c>
      <c r="AK158" s="22" t="s">
        <v>42</v>
      </c>
      <c r="AL158" s="22" t="s">
        <v>42</v>
      </c>
      <c r="AM158" s="22">
        <f t="shared" si="11"/>
        <v>24</v>
      </c>
    </row>
    <row r="159" spans="1:39" hidden="1" x14ac:dyDescent="0.25">
      <c r="A159" s="20" t="s">
        <v>55</v>
      </c>
      <c r="B159" s="38" t="s">
        <v>391</v>
      </c>
      <c r="C159" s="20" t="s">
        <v>392</v>
      </c>
      <c r="D159" s="20" t="s">
        <v>11</v>
      </c>
      <c r="E159" s="20" t="s">
        <v>11</v>
      </c>
      <c r="F159" s="20" t="s">
        <v>58</v>
      </c>
      <c r="G159" s="39"/>
      <c r="H159" s="40"/>
      <c r="I159" s="22" t="s">
        <v>42</v>
      </c>
      <c r="L159" s="22" t="s">
        <v>42</v>
      </c>
      <c r="M159" s="22" t="s">
        <v>42</v>
      </c>
      <c r="O159" s="22" t="s">
        <v>42</v>
      </c>
      <c r="R159" s="22"/>
      <c r="S159" s="22" t="s">
        <v>42</v>
      </c>
      <c r="T159" s="22" t="s">
        <v>42</v>
      </c>
      <c r="U159" s="22"/>
      <c r="V159" s="22" t="s">
        <v>42</v>
      </c>
      <c r="W159" s="22" t="s">
        <v>42</v>
      </c>
      <c r="X159" s="22" t="s">
        <v>42</v>
      </c>
      <c r="Y159" s="22" t="s">
        <v>42</v>
      </c>
      <c r="Z159" s="22" t="s">
        <v>42</v>
      </c>
      <c r="AA159" s="22" t="s">
        <v>42</v>
      </c>
      <c r="AB159" s="22"/>
      <c r="AC159" s="22" t="s">
        <v>42</v>
      </c>
      <c r="AD159" s="22" t="s">
        <v>42</v>
      </c>
      <c r="AE159" s="22" t="s">
        <v>42</v>
      </c>
      <c r="AF159" s="22" t="s">
        <v>42</v>
      </c>
      <c r="AG159" s="22" t="s">
        <v>42</v>
      </c>
      <c r="AH159" s="22" t="s">
        <v>42</v>
      </c>
      <c r="AJ159" s="22" t="s">
        <v>42</v>
      </c>
      <c r="AK159" s="22" t="s">
        <v>42</v>
      </c>
      <c r="AL159" s="22" t="s">
        <v>42</v>
      </c>
      <c r="AM159" s="22">
        <f t="shared" si="11"/>
        <v>21</v>
      </c>
    </row>
    <row r="160" spans="1:39" hidden="1" x14ac:dyDescent="0.25">
      <c r="A160" s="20" t="s">
        <v>55</v>
      </c>
      <c r="B160" s="38" t="s">
        <v>393</v>
      </c>
      <c r="C160" s="20" t="s">
        <v>394</v>
      </c>
      <c r="D160" s="20" t="s">
        <v>11</v>
      </c>
      <c r="E160" s="20" t="s">
        <v>11</v>
      </c>
      <c r="F160" s="20" t="s">
        <v>58</v>
      </c>
      <c r="G160" s="39"/>
      <c r="H160" s="40"/>
      <c r="I160" s="22" t="s">
        <v>42</v>
      </c>
      <c r="L160" s="22" t="s">
        <v>42</v>
      </c>
      <c r="M160" s="22" t="s">
        <v>42</v>
      </c>
      <c r="O160" s="22" t="s">
        <v>42</v>
      </c>
      <c r="P160" s="22" t="s">
        <v>42</v>
      </c>
      <c r="Q160" s="22" t="s">
        <v>42</v>
      </c>
      <c r="R160" s="22" t="s">
        <v>42</v>
      </c>
      <c r="S160" s="22"/>
      <c r="T160" s="22"/>
      <c r="U160" s="22"/>
      <c r="V160" s="22" t="s">
        <v>42</v>
      </c>
      <c r="W160" s="22" t="s">
        <v>42</v>
      </c>
      <c r="X160" s="22" t="s">
        <v>42</v>
      </c>
      <c r="Y160" s="22" t="s">
        <v>42</v>
      </c>
      <c r="Z160" s="22" t="s">
        <v>42</v>
      </c>
      <c r="AA160" s="22" t="s">
        <v>42</v>
      </c>
      <c r="AB160" s="22"/>
      <c r="AC160" s="22" t="s">
        <v>42</v>
      </c>
      <c r="AD160" s="22" t="s">
        <v>42</v>
      </c>
      <c r="AE160" s="22" t="s">
        <v>42</v>
      </c>
      <c r="AF160" s="22" t="s">
        <v>42</v>
      </c>
      <c r="AG160" s="22" t="s">
        <v>42</v>
      </c>
      <c r="AH160" s="22" t="s">
        <v>42</v>
      </c>
      <c r="AJ160" s="22" t="s">
        <v>42</v>
      </c>
      <c r="AK160" s="22" t="s">
        <v>42</v>
      </c>
      <c r="AL160" s="22" t="s">
        <v>42</v>
      </c>
      <c r="AM160" s="22">
        <f t="shared" si="11"/>
        <v>22</v>
      </c>
    </row>
    <row r="161" spans="1:39" hidden="1" x14ac:dyDescent="0.25">
      <c r="A161" s="20" t="s">
        <v>55</v>
      </c>
      <c r="B161" s="38" t="s">
        <v>395</v>
      </c>
      <c r="C161" s="20" t="s">
        <v>396</v>
      </c>
      <c r="D161" s="20" t="s">
        <v>11</v>
      </c>
      <c r="E161" s="20" t="s">
        <v>11</v>
      </c>
      <c r="F161" s="20" t="s">
        <v>58</v>
      </c>
      <c r="G161" s="39"/>
      <c r="H161" s="40"/>
      <c r="I161" s="22" t="s">
        <v>42</v>
      </c>
      <c r="J161" s="33"/>
      <c r="L161" s="22" t="s">
        <v>42</v>
      </c>
      <c r="M161" s="22" t="s">
        <v>42</v>
      </c>
      <c r="O161" s="22" t="s">
        <v>42</v>
      </c>
      <c r="P161" s="22" t="s">
        <v>42</v>
      </c>
      <c r="Q161" s="22" t="s">
        <v>42</v>
      </c>
      <c r="R161" s="22" t="s">
        <v>42</v>
      </c>
      <c r="S161" s="22"/>
      <c r="T161" s="22"/>
      <c r="U161" s="22"/>
      <c r="V161" s="22" t="s">
        <v>42</v>
      </c>
      <c r="W161" s="22" t="s">
        <v>42</v>
      </c>
      <c r="X161" s="22" t="s">
        <v>42</v>
      </c>
      <c r="Y161" s="22" t="s">
        <v>42</v>
      </c>
      <c r="Z161" s="22" t="s">
        <v>42</v>
      </c>
      <c r="AA161" s="22" t="s">
        <v>42</v>
      </c>
      <c r="AB161" s="22"/>
      <c r="AC161" s="22" t="s">
        <v>42</v>
      </c>
      <c r="AD161" s="22" t="s">
        <v>42</v>
      </c>
      <c r="AE161" s="22" t="s">
        <v>42</v>
      </c>
      <c r="AF161" s="22" t="s">
        <v>42</v>
      </c>
      <c r="AG161" s="22" t="s">
        <v>42</v>
      </c>
      <c r="AH161" s="22" t="s">
        <v>42</v>
      </c>
      <c r="AJ161" s="22" t="s">
        <v>42</v>
      </c>
      <c r="AK161" s="22" t="s">
        <v>42</v>
      </c>
      <c r="AL161" s="22" t="s">
        <v>42</v>
      </c>
      <c r="AM161" s="22">
        <f t="shared" si="11"/>
        <v>22</v>
      </c>
    </row>
    <row r="162" spans="1:39" hidden="1" x14ac:dyDescent="0.25">
      <c r="A162" s="20" t="s">
        <v>55</v>
      </c>
      <c r="B162" s="38" t="s">
        <v>397</v>
      </c>
      <c r="C162" s="20" t="s">
        <v>398</v>
      </c>
      <c r="D162" s="20" t="s">
        <v>11</v>
      </c>
      <c r="E162" s="20" t="s">
        <v>11</v>
      </c>
      <c r="F162" s="20" t="s">
        <v>58</v>
      </c>
      <c r="G162" s="39"/>
      <c r="H162" s="40"/>
      <c r="I162" s="22" t="s">
        <v>42</v>
      </c>
      <c r="L162" s="22" t="s">
        <v>42</v>
      </c>
      <c r="M162" s="22" t="s">
        <v>42</v>
      </c>
      <c r="O162" s="22" t="s">
        <v>42</v>
      </c>
      <c r="P162" s="22" t="s">
        <v>42</v>
      </c>
      <c r="Q162" s="22" t="s">
        <v>42</v>
      </c>
      <c r="R162" s="22" t="s">
        <v>42</v>
      </c>
      <c r="S162" s="22"/>
      <c r="U162" s="22"/>
      <c r="V162" s="22" t="s">
        <v>42</v>
      </c>
      <c r="W162" s="22" t="s">
        <v>42</v>
      </c>
      <c r="X162" s="22" t="s">
        <v>42</v>
      </c>
      <c r="Y162" s="22" t="s">
        <v>42</v>
      </c>
      <c r="Z162" s="22" t="s">
        <v>42</v>
      </c>
      <c r="AA162" s="22" t="s">
        <v>42</v>
      </c>
      <c r="AB162" s="22"/>
      <c r="AC162" s="22" t="s">
        <v>42</v>
      </c>
      <c r="AD162" s="22" t="s">
        <v>42</v>
      </c>
      <c r="AE162" s="22" t="s">
        <v>42</v>
      </c>
      <c r="AF162" s="22" t="s">
        <v>42</v>
      </c>
      <c r="AG162" s="22" t="s">
        <v>42</v>
      </c>
      <c r="AH162" s="22" t="s">
        <v>42</v>
      </c>
      <c r="AJ162" s="22" t="s">
        <v>42</v>
      </c>
      <c r="AK162" s="22" t="s">
        <v>42</v>
      </c>
      <c r="AL162" s="22" t="s">
        <v>42</v>
      </c>
      <c r="AM162" s="22">
        <f t="shared" si="11"/>
        <v>22</v>
      </c>
    </row>
    <row r="163" spans="1:39" hidden="1" x14ac:dyDescent="0.25">
      <c r="A163" s="20" t="s">
        <v>55</v>
      </c>
      <c r="B163" s="38" t="s">
        <v>399</v>
      </c>
      <c r="C163" s="20" t="s">
        <v>400</v>
      </c>
      <c r="D163" s="20" t="s">
        <v>11</v>
      </c>
      <c r="E163" s="20" t="s">
        <v>11</v>
      </c>
      <c r="F163" s="20" t="s">
        <v>58</v>
      </c>
      <c r="G163" s="39"/>
      <c r="H163" s="40"/>
      <c r="I163" s="22" t="s">
        <v>42</v>
      </c>
      <c r="L163" s="22" t="s">
        <v>42</v>
      </c>
      <c r="M163" s="22" t="s">
        <v>42</v>
      </c>
      <c r="O163" s="22" t="s">
        <v>42</v>
      </c>
      <c r="R163" s="22"/>
      <c r="S163" s="22"/>
      <c r="T163" s="22" t="s">
        <v>42</v>
      </c>
      <c r="U163" s="22"/>
      <c r="V163" s="22" t="s">
        <v>42</v>
      </c>
      <c r="W163" s="22" t="s">
        <v>42</v>
      </c>
      <c r="X163" s="22" t="s">
        <v>42</v>
      </c>
      <c r="Y163" s="22" t="s">
        <v>42</v>
      </c>
      <c r="Z163" s="22" t="s">
        <v>42</v>
      </c>
      <c r="AA163" s="22" t="s">
        <v>42</v>
      </c>
      <c r="AB163" s="22"/>
      <c r="AC163" s="22"/>
      <c r="AD163" s="22" t="s">
        <v>42</v>
      </c>
      <c r="AE163" s="22" t="s">
        <v>42</v>
      </c>
      <c r="AF163" s="22" t="s">
        <v>42</v>
      </c>
      <c r="AG163" s="22" t="s">
        <v>42</v>
      </c>
      <c r="AH163" s="22" t="s">
        <v>42</v>
      </c>
      <c r="AJ163" s="22" t="s">
        <v>42</v>
      </c>
      <c r="AK163" s="22" t="s">
        <v>42</v>
      </c>
      <c r="AL163" s="22" t="s">
        <v>42</v>
      </c>
      <c r="AM163" s="22">
        <f t="shared" si="11"/>
        <v>19</v>
      </c>
    </row>
    <row r="164" spans="1:39" hidden="1" x14ac:dyDescent="0.25">
      <c r="A164" s="20" t="s">
        <v>55</v>
      </c>
      <c r="B164" s="38" t="s">
        <v>401</v>
      </c>
      <c r="C164" s="20" t="s">
        <v>402</v>
      </c>
      <c r="D164" s="20" t="s">
        <v>11</v>
      </c>
      <c r="E164" s="20" t="s">
        <v>11</v>
      </c>
      <c r="F164" s="20" t="s">
        <v>58</v>
      </c>
      <c r="G164" s="39"/>
      <c r="H164" s="40"/>
      <c r="I164" s="22" t="s">
        <v>42</v>
      </c>
      <c r="L164" s="22" t="s">
        <v>42</v>
      </c>
      <c r="O164" s="22" t="s">
        <v>42</v>
      </c>
      <c r="P164" s="22" t="s">
        <v>42</v>
      </c>
      <c r="Q164" s="22" t="s">
        <v>42</v>
      </c>
      <c r="R164" s="22" t="s">
        <v>42</v>
      </c>
      <c r="T164" s="22"/>
      <c r="U164" s="22"/>
      <c r="V164" s="22" t="s">
        <v>42</v>
      </c>
      <c r="W164" s="22" t="s">
        <v>42</v>
      </c>
      <c r="X164" s="22" t="s">
        <v>42</v>
      </c>
      <c r="Y164" s="22" t="s">
        <v>42</v>
      </c>
      <c r="Z164" s="22" t="s">
        <v>42</v>
      </c>
      <c r="AA164" s="22" t="s">
        <v>42</v>
      </c>
      <c r="AB164" s="22"/>
      <c r="AC164" s="22" t="s">
        <v>42</v>
      </c>
      <c r="AD164" s="22" t="s">
        <v>42</v>
      </c>
      <c r="AE164" s="22" t="s">
        <v>42</v>
      </c>
      <c r="AF164" s="22" t="s">
        <v>42</v>
      </c>
      <c r="AG164" s="22" t="s">
        <v>42</v>
      </c>
      <c r="AH164" s="22" t="s">
        <v>42</v>
      </c>
      <c r="AJ164" s="22" t="s">
        <v>42</v>
      </c>
      <c r="AK164" s="22" t="s">
        <v>42</v>
      </c>
      <c r="AL164" s="22" t="s">
        <v>42</v>
      </c>
      <c r="AM164" s="22">
        <f t="shared" si="11"/>
        <v>21</v>
      </c>
    </row>
    <row r="165" spans="1:39" hidden="1" x14ac:dyDescent="0.25">
      <c r="A165" s="20" t="s">
        <v>55</v>
      </c>
      <c r="B165" s="38" t="s">
        <v>403</v>
      </c>
      <c r="C165" s="20" t="s">
        <v>404</v>
      </c>
      <c r="D165" s="20" t="s">
        <v>28</v>
      </c>
      <c r="E165" s="20" t="s">
        <v>28</v>
      </c>
      <c r="F165" s="20" t="s">
        <v>58</v>
      </c>
      <c r="G165" s="39"/>
      <c r="H165" s="40"/>
      <c r="I165" s="22" t="s">
        <v>42</v>
      </c>
      <c r="L165" s="22" t="s">
        <v>42</v>
      </c>
      <c r="M165" s="22" t="s">
        <v>42</v>
      </c>
      <c r="O165" s="22" t="s">
        <v>42</v>
      </c>
      <c r="P165" s="22" t="s">
        <v>42</v>
      </c>
      <c r="Q165" s="22" t="s">
        <v>42</v>
      </c>
      <c r="R165" s="22" t="s">
        <v>42</v>
      </c>
      <c r="S165" s="22" t="s">
        <v>42</v>
      </c>
      <c r="T165" s="22" t="s">
        <v>42</v>
      </c>
      <c r="U165" s="22"/>
      <c r="V165" s="22" t="s">
        <v>42</v>
      </c>
      <c r="W165" s="22" t="s">
        <v>42</v>
      </c>
      <c r="X165" s="22" t="s">
        <v>42</v>
      </c>
      <c r="Y165" s="22" t="s">
        <v>42</v>
      </c>
      <c r="Z165" s="22" t="s">
        <v>42</v>
      </c>
      <c r="AA165" s="22"/>
      <c r="AB165" s="22"/>
      <c r="AC165" s="22" t="s">
        <v>42</v>
      </c>
      <c r="AD165" s="22" t="s">
        <v>42</v>
      </c>
      <c r="AE165" s="22" t="s">
        <v>42</v>
      </c>
      <c r="AF165" s="22" t="s">
        <v>42</v>
      </c>
      <c r="AG165" s="22" t="s">
        <v>42</v>
      </c>
      <c r="AH165" s="22" t="s">
        <v>42</v>
      </c>
      <c r="AJ165" s="22" t="s">
        <v>42</v>
      </c>
      <c r="AK165" s="22" t="s">
        <v>42</v>
      </c>
      <c r="AL165" s="22" t="s">
        <v>42</v>
      </c>
      <c r="AM165" s="22">
        <f t="shared" si="11"/>
        <v>23</v>
      </c>
    </row>
    <row r="166" spans="1:39" hidden="1" x14ac:dyDescent="0.25">
      <c r="A166" s="20" t="s">
        <v>55</v>
      </c>
      <c r="B166" s="38" t="s">
        <v>405</v>
      </c>
      <c r="C166" s="20" t="s">
        <v>406</v>
      </c>
      <c r="D166" s="20" t="s">
        <v>28</v>
      </c>
      <c r="E166" s="20" t="s">
        <v>28</v>
      </c>
      <c r="F166" s="20" t="s">
        <v>58</v>
      </c>
      <c r="G166" s="39"/>
      <c r="H166" s="40"/>
      <c r="I166" s="22" t="s">
        <v>42</v>
      </c>
      <c r="L166" s="22" t="s">
        <v>42</v>
      </c>
      <c r="M166" s="22" t="s">
        <v>42</v>
      </c>
      <c r="O166" s="22" t="s">
        <v>42</v>
      </c>
      <c r="P166" s="22" t="s">
        <v>42</v>
      </c>
      <c r="R166" s="22" t="s">
        <v>42</v>
      </c>
      <c r="S166" s="22" t="s">
        <v>42</v>
      </c>
      <c r="T166" s="22" t="s">
        <v>42</v>
      </c>
      <c r="U166" s="22"/>
      <c r="V166" s="22" t="s">
        <v>42</v>
      </c>
      <c r="W166" s="22" t="s">
        <v>42</v>
      </c>
      <c r="X166" s="22" t="s">
        <v>42</v>
      </c>
      <c r="Y166" s="22" t="s">
        <v>42</v>
      </c>
      <c r="Z166" s="22" t="s">
        <v>42</v>
      </c>
      <c r="AA166" s="22" t="s">
        <v>42</v>
      </c>
      <c r="AB166" s="22"/>
      <c r="AC166" s="22" t="s">
        <v>42</v>
      </c>
      <c r="AD166" s="22" t="s">
        <v>42</v>
      </c>
      <c r="AE166" s="22" t="s">
        <v>42</v>
      </c>
      <c r="AF166" s="22" t="s">
        <v>42</v>
      </c>
      <c r="AG166" s="22" t="s">
        <v>42</v>
      </c>
      <c r="AH166" s="22" t="s">
        <v>42</v>
      </c>
      <c r="AJ166" s="22" t="s">
        <v>42</v>
      </c>
      <c r="AK166" s="22" t="s">
        <v>42</v>
      </c>
      <c r="AL166" s="22" t="s">
        <v>42</v>
      </c>
      <c r="AM166" s="22">
        <f t="shared" si="11"/>
        <v>23</v>
      </c>
    </row>
    <row r="167" spans="1:39" hidden="1" x14ac:dyDescent="0.25">
      <c r="A167" s="20" t="s">
        <v>55</v>
      </c>
      <c r="B167" s="38" t="s">
        <v>407</v>
      </c>
      <c r="C167" s="20" t="s">
        <v>408</v>
      </c>
      <c r="D167" s="20" t="s">
        <v>10</v>
      </c>
      <c r="E167" s="20" t="s">
        <v>10</v>
      </c>
      <c r="F167" s="20" t="s">
        <v>58</v>
      </c>
      <c r="G167" s="39"/>
      <c r="H167" s="40"/>
      <c r="I167" s="22" t="s">
        <v>42</v>
      </c>
      <c r="L167" s="22" t="s">
        <v>42</v>
      </c>
      <c r="O167" s="22" t="s">
        <v>42</v>
      </c>
      <c r="P167" s="22" t="s">
        <v>42</v>
      </c>
      <c r="Q167" s="22" t="s">
        <v>42</v>
      </c>
      <c r="R167" s="22"/>
      <c r="S167" s="22" t="s">
        <v>42</v>
      </c>
      <c r="T167" s="22" t="s">
        <v>42</v>
      </c>
      <c r="U167" s="22"/>
      <c r="V167" s="22" t="s">
        <v>42</v>
      </c>
      <c r="W167" s="22" t="s">
        <v>42</v>
      </c>
      <c r="X167" s="22" t="s">
        <v>42</v>
      </c>
      <c r="Y167" s="22" t="s">
        <v>42</v>
      </c>
      <c r="Z167" s="22" t="s">
        <v>42</v>
      </c>
      <c r="AA167" s="22" t="s">
        <v>42</v>
      </c>
      <c r="AB167" s="22"/>
      <c r="AC167" s="22" t="s">
        <v>42</v>
      </c>
      <c r="AD167" s="22" t="s">
        <v>42</v>
      </c>
      <c r="AE167" s="22" t="s">
        <v>42</v>
      </c>
      <c r="AF167" s="22" t="s">
        <v>42</v>
      </c>
      <c r="AG167" s="22" t="s">
        <v>42</v>
      </c>
      <c r="AH167" s="22" t="s">
        <v>42</v>
      </c>
      <c r="AK167" s="22" t="s">
        <v>42</v>
      </c>
      <c r="AL167" s="22" t="s">
        <v>42</v>
      </c>
      <c r="AM167" s="22">
        <f t="shared" si="11"/>
        <v>21</v>
      </c>
    </row>
    <row r="168" spans="1:39" hidden="1" x14ac:dyDescent="0.25">
      <c r="A168" s="20" t="s">
        <v>55</v>
      </c>
      <c r="B168" s="38" t="s">
        <v>409</v>
      </c>
      <c r="C168" s="20" t="s">
        <v>410</v>
      </c>
      <c r="D168" s="20" t="s">
        <v>16</v>
      </c>
      <c r="E168" s="20" t="s">
        <v>16</v>
      </c>
      <c r="F168" s="20" t="s">
        <v>170</v>
      </c>
      <c r="G168" s="39"/>
      <c r="H168" s="40"/>
      <c r="I168" s="31" t="s">
        <v>36</v>
      </c>
      <c r="J168" s="31"/>
      <c r="K168" s="31"/>
      <c r="L168" s="31" t="s">
        <v>36</v>
      </c>
      <c r="M168" s="31" t="s">
        <v>36</v>
      </c>
      <c r="N168" s="31"/>
      <c r="O168" s="31" t="s">
        <v>36</v>
      </c>
      <c r="P168" s="31" t="s">
        <v>36</v>
      </c>
      <c r="Q168" s="31" t="s">
        <v>36</v>
      </c>
      <c r="R168" s="31" t="s">
        <v>36</v>
      </c>
      <c r="S168" s="31" t="s">
        <v>36</v>
      </c>
      <c r="T168" s="31" t="s">
        <v>36</v>
      </c>
      <c r="U168" s="31"/>
      <c r="V168" s="31" t="s">
        <v>36</v>
      </c>
      <c r="W168" s="31" t="s">
        <v>36</v>
      </c>
      <c r="X168" s="31" t="s">
        <v>36</v>
      </c>
      <c r="Y168" s="31" t="s">
        <v>36</v>
      </c>
      <c r="Z168" s="31" t="s">
        <v>36</v>
      </c>
      <c r="AA168" s="31" t="s">
        <v>36</v>
      </c>
      <c r="AB168" s="31"/>
      <c r="AC168" s="31"/>
      <c r="AD168" s="31" t="s">
        <v>36</v>
      </c>
      <c r="AE168" s="31" t="s">
        <v>36</v>
      </c>
      <c r="AF168" s="31" t="s">
        <v>36</v>
      </c>
      <c r="AG168" s="31" t="s">
        <v>36</v>
      </c>
      <c r="AH168" s="31" t="s">
        <v>36</v>
      </c>
      <c r="AI168" s="31"/>
      <c r="AJ168" s="31"/>
      <c r="AK168" s="31" t="s">
        <v>36</v>
      </c>
      <c r="AL168" s="31" t="s">
        <v>36</v>
      </c>
      <c r="AM168" s="22">
        <f t="shared" si="11"/>
        <v>22</v>
      </c>
    </row>
    <row r="169" spans="1:39" hidden="1" x14ac:dyDescent="0.25">
      <c r="A169" s="20" t="s">
        <v>55</v>
      </c>
      <c r="B169" s="38" t="s">
        <v>411</v>
      </c>
      <c r="C169" s="20" t="s">
        <v>412</v>
      </c>
      <c r="D169" s="20" t="s">
        <v>25</v>
      </c>
      <c r="E169" s="20" t="s">
        <v>25</v>
      </c>
      <c r="F169" s="20" t="s">
        <v>58</v>
      </c>
      <c r="G169" s="39"/>
      <c r="H169" s="40"/>
      <c r="I169" s="22" t="s">
        <v>42</v>
      </c>
      <c r="L169" s="22" t="s">
        <v>42</v>
      </c>
      <c r="M169" s="22" t="s">
        <v>42</v>
      </c>
      <c r="O169" s="22" t="s">
        <v>42</v>
      </c>
      <c r="P169" s="22" t="s">
        <v>42</v>
      </c>
      <c r="Q169" s="22" t="s">
        <v>42</v>
      </c>
      <c r="R169" s="22" t="s">
        <v>42</v>
      </c>
      <c r="S169" s="22" t="s">
        <v>42</v>
      </c>
      <c r="T169" s="22" t="s">
        <v>42</v>
      </c>
      <c r="U169" s="22"/>
      <c r="V169" s="22" t="s">
        <v>42</v>
      </c>
      <c r="W169" s="22" t="s">
        <v>42</v>
      </c>
      <c r="X169" s="22" t="s">
        <v>42</v>
      </c>
      <c r="Y169" s="22" t="s">
        <v>42</v>
      </c>
      <c r="Z169" s="22" t="s">
        <v>42</v>
      </c>
      <c r="AA169" s="22"/>
      <c r="AB169" s="22"/>
      <c r="AC169" s="22"/>
      <c r="AD169" s="22" t="s">
        <v>42</v>
      </c>
      <c r="AE169" s="22" t="s">
        <v>42</v>
      </c>
      <c r="AF169" s="22" t="s">
        <v>42</v>
      </c>
      <c r="AG169" s="22" t="s">
        <v>42</v>
      </c>
      <c r="AH169" s="22" t="s">
        <v>42</v>
      </c>
      <c r="AJ169" s="22" t="s">
        <v>42</v>
      </c>
      <c r="AK169" s="22" t="s">
        <v>42</v>
      </c>
      <c r="AL169" s="22" t="s">
        <v>42</v>
      </c>
      <c r="AM169" s="22">
        <f t="shared" si="11"/>
        <v>22</v>
      </c>
    </row>
    <row r="170" spans="1:39" hidden="1" x14ac:dyDescent="0.25">
      <c r="A170" s="20" t="s">
        <v>55</v>
      </c>
      <c r="B170" s="38" t="s">
        <v>413</v>
      </c>
      <c r="C170" s="20" t="s">
        <v>414</v>
      </c>
      <c r="D170" s="20" t="s">
        <v>20</v>
      </c>
      <c r="E170" s="20" t="s">
        <v>20</v>
      </c>
      <c r="F170" s="20" t="s">
        <v>63</v>
      </c>
      <c r="G170" s="39"/>
      <c r="H170" s="40"/>
      <c r="I170" s="33" t="s">
        <v>38</v>
      </c>
      <c r="J170" s="33"/>
      <c r="K170" s="33"/>
      <c r="L170" s="33" t="s">
        <v>38</v>
      </c>
      <c r="M170" s="33" t="s">
        <v>38</v>
      </c>
      <c r="N170" s="33"/>
      <c r="O170" s="33" t="s">
        <v>38</v>
      </c>
      <c r="P170" s="33" t="s">
        <v>38</v>
      </c>
      <c r="Q170" s="33" t="s">
        <v>40</v>
      </c>
      <c r="R170" s="33" t="s">
        <v>38</v>
      </c>
      <c r="S170" s="33" t="s">
        <v>38</v>
      </c>
      <c r="T170" s="33" t="s">
        <v>38</v>
      </c>
      <c r="U170" s="33"/>
      <c r="V170" s="33" t="s">
        <v>38</v>
      </c>
      <c r="W170" s="33" t="s">
        <v>38</v>
      </c>
      <c r="X170" s="33" t="s">
        <v>38</v>
      </c>
      <c r="Y170" s="33" t="s">
        <v>38</v>
      </c>
      <c r="Z170" s="33" t="s">
        <v>38</v>
      </c>
      <c r="AA170" s="33" t="s">
        <v>38</v>
      </c>
      <c r="AB170" s="33"/>
      <c r="AC170" s="33" t="s">
        <v>38</v>
      </c>
      <c r="AD170" s="33" t="s">
        <v>38</v>
      </c>
      <c r="AE170" s="33" t="s">
        <v>38</v>
      </c>
      <c r="AF170" s="33" t="s">
        <v>38</v>
      </c>
      <c r="AG170" s="33" t="s">
        <v>38</v>
      </c>
      <c r="AH170" s="33" t="s">
        <v>38</v>
      </c>
      <c r="AI170" s="33"/>
      <c r="AJ170" s="33" t="s">
        <v>38</v>
      </c>
      <c r="AK170" s="33" t="s">
        <v>38</v>
      </c>
      <c r="AL170" s="33" t="s">
        <v>38</v>
      </c>
      <c r="AM170" s="22">
        <f t="shared" si="11"/>
        <v>24</v>
      </c>
    </row>
    <row r="171" spans="1:39" hidden="1" x14ac:dyDescent="0.25">
      <c r="A171" s="20" t="s">
        <v>55</v>
      </c>
      <c r="B171" s="38" t="s">
        <v>415</v>
      </c>
      <c r="C171" s="20" t="s">
        <v>416</v>
      </c>
      <c r="D171" s="20" t="s">
        <v>9</v>
      </c>
      <c r="E171" s="20" t="s">
        <v>7</v>
      </c>
      <c r="F171" s="20" t="s">
        <v>63</v>
      </c>
      <c r="G171" s="39"/>
      <c r="H171" s="40"/>
      <c r="I171" s="33" t="s">
        <v>38</v>
      </c>
      <c r="J171" s="33"/>
      <c r="K171" s="33"/>
      <c r="L171" s="33" t="s">
        <v>38</v>
      </c>
      <c r="M171" s="33" t="s">
        <v>38</v>
      </c>
      <c r="N171" s="33"/>
      <c r="O171" s="33" t="s">
        <v>38</v>
      </c>
      <c r="P171" s="33" t="s">
        <v>38</v>
      </c>
      <c r="Q171" s="33" t="s">
        <v>38</v>
      </c>
      <c r="R171" s="33" t="s">
        <v>38</v>
      </c>
      <c r="S171" s="33" t="s">
        <v>38</v>
      </c>
      <c r="T171" s="33" t="s">
        <v>38</v>
      </c>
      <c r="U171" s="33"/>
      <c r="V171" s="33" t="s">
        <v>38</v>
      </c>
      <c r="W171" s="33" t="s">
        <v>38</v>
      </c>
      <c r="X171" s="33" t="s">
        <v>38</v>
      </c>
      <c r="Y171" s="33" t="s">
        <v>38</v>
      </c>
      <c r="Z171" s="33" t="s">
        <v>38</v>
      </c>
      <c r="AA171" s="33" t="s">
        <v>38</v>
      </c>
      <c r="AB171" s="33"/>
      <c r="AC171" s="33" t="s">
        <v>38</v>
      </c>
      <c r="AD171" s="33" t="s">
        <v>38</v>
      </c>
      <c r="AE171" s="33" t="s">
        <v>38</v>
      </c>
      <c r="AF171" s="33" t="s">
        <v>38</v>
      </c>
      <c r="AG171" s="33" t="s">
        <v>38</v>
      </c>
      <c r="AH171" s="33" t="s">
        <v>38</v>
      </c>
      <c r="AI171" s="33"/>
      <c r="AJ171" s="33" t="s">
        <v>38</v>
      </c>
      <c r="AK171" s="33" t="s">
        <v>38</v>
      </c>
      <c r="AL171" s="33" t="s">
        <v>38</v>
      </c>
      <c r="AM171" s="22">
        <f t="shared" si="11"/>
        <v>24</v>
      </c>
    </row>
    <row r="172" spans="1:39" hidden="1" x14ac:dyDescent="0.25">
      <c r="A172" s="20" t="s">
        <v>55</v>
      </c>
      <c r="B172" s="38" t="s">
        <v>417</v>
      </c>
      <c r="C172" s="20" t="s">
        <v>418</v>
      </c>
      <c r="D172" s="20" t="s">
        <v>15</v>
      </c>
      <c r="E172" s="20" t="s">
        <v>15</v>
      </c>
      <c r="F172" s="20" t="s">
        <v>63</v>
      </c>
      <c r="G172" s="39"/>
      <c r="H172" s="40"/>
      <c r="I172" s="33"/>
      <c r="J172" s="33"/>
      <c r="K172" s="33"/>
      <c r="L172" s="33" t="s">
        <v>38</v>
      </c>
      <c r="M172" s="33" t="s">
        <v>38</v>
      </c>
      <c r="O172" s="33" t="s">
        <v>38</v>
      </c>
      <c r="P172" s="33" t="s">
        <v>38</v>
      </c>
      <c r="Q172" s="33" t="s">
        <v>38</v>
      </c>
      <c r="R172" s="33" t="s">
        <v>38</v>
      </c>
      <c r="S172" s="33" t="s">
        <v>38</v>
      </c>
      <c r="T172" s="33"/>
      <c r="U172" s="22"/>
      <c r="V172" s="33" t="s">
        <v>38</v>
      </c>
      <c r="W172" s="33" t="s">
        <v>38</v>
      </c>
      <c r="X172" s="33" t="s">
        <v>38</v>
      </c>
      <c r="Y172" s="33"/>
      <c r="Z172" s="33" t="s">
        <v>38</v>
      </c>
      <c r="AA172" s="33" t="s">
        <v>38</v>
      </c>
      <c r="AB172" s="33"/>
      <c r="AC172" s="33" t="s">
        <v>38</v>
      </c>
      <c r="AD172" s="33"/>
      <c r="AE172" s="33"/>
      <c r="AF172" s="33" t="s">
        <v>38</v>
      </c>
      <c r="AG172" s="33" t="s">
        <v>38</v>
      </c>
      <c r="AH172" s="33" t="s">
        <v>38</v>
      </c>
      <c r="AI172" s="33"/>
      <c r="AJ172" s="33" t="s">
        <v>38</v>
      </c>
      <c r="AK172" s="33" t="s">
        <v>38</v>
      </c>
      <c r="AL172" s="33" t="s">
        <v>38</v>
      </c>
      <c r="AM172" s="22">
        <f t="shared" si="11"/>
        <v>19</v>
      </c>
    </row>
    <row r="173" spans="1:39" hidden="1" x14ac:dyDescent="0.25">
      <c r="A173" s="20" t="s">
        <v>55</v>
      </c>
      <c r="B173" s="38" t="s">
        <v>419</v>
      </c>
      <c r="C173" s="20" t="s">
        <v>420</v>
      </c>
      <c r="D173" s="20" t="s">
        <v>6</v>
      </c>
      <c r="E173" s="20" t="s">
        <v>7</v>
      </c>
      <c r="F173" s="20" t="s">
        <v>63</v>
      </c>
      <c r="G173" s="39"/>
      <c r="H173" s="40"/>
      <c r="I173" s="22" t="s">
        <v>42</v>
      </c>
      <c r="M173" s="22" t="s">
        <v>42</v>
      </c>
      <c r="O173" s="33" t="s">
        <v>38</v>
      </c>
      <c r="P173" s="33" t="s">
        <v>38</v>
      </c>
      <c r="Q173" s="33" t="s">
        <v>38</v>
      </c>
      <c r="R173" s="33" t="s">
        <v>38</v>
      </c>
      <c r="S173" s="33" t="s">
        <v>38</v>
      </c>
      <c r="T173" s="22"/>
      <c r="U173" s="22"/>
      <c r="V173" s="22" t="s">
        <v>42</v>
      </c>
      <c r="W173" s="33" t="s">
        <v>38</v>
      </c>
      <c r="X173" s="33" t="s">
        <v>38</v>
      </c>
      <c r="Y173" s="33" t="s">
        <v>38</v>
      </c>
      <c r="Z173" s="33" t="s">
        <v>38</v>
      </c>
      <c r="AA173" s="22"/>
      <c r="AB173" s="22"/>
      <c r="AC173" s="33" t="s">
        <v>38</v>
      </c>
      <c r="AD173" s="33" t="s">
        <v>38</v>
      </c>
      <c r="AE173" s="33" t="s">
        <v>38</v>
      </c>
      <c r="AF173" s="33" t="s">
        <v>38</v>
      </c>
      <c r="AG173" s="22"/>
      <c r="AH173" s="33"/>
      <c r="AJ173" s="33" t="s">
        <v>38</v>
      </c>
      <c r="AK173" s="33" t="s">
        <v>38</v>
      </c>
      <c r="AL173" s="33" t="s">
        <v>38</v>
      </c>
      <c r="AM173" s="22">
        <f t="shared" si="11"/>
        <v>19</v>
      </c>
    </row>
    <row r="174" spans="1:39" hidden="1" x14ac:dyDescent="0.25">
      <c r="A174" s="20" t="s">
        <v>55</v>
      </c>
      <c r="B174" s="38" t="s">
        <v>421</v>
      </c>
      <c r="C174" s="20" t="s">
        <v>422</v>
      </c>
      <c r="D174" s="20" t="s">
        <v>21</v>
      </c>
      <c r="E174" s="20" t="s">
        <v>21</v>
      </c>
      <c r="F174" s="20" t="s">
        <v>58</v>
      </c>
      <c r="G174" s="39"/>
      <c r="H174" s="40"/>
      <c r="I174" s="22" t="s">
        <v>42</v>
      </c>
      <c r="L174" s="22" t="s">
        <v>42</v>
      </c>
      <c r="M174" s="22" t="s">
        <v>42</v>
      </c>
      <c r="O174" s="22" t="s">
        <v>42</v>
      </c>
      <c r="P174" s="22" t="s">
        <v>42</v>
      </c>
      <c r="Q174" s="22" t="s">
        <v>42</v>
      </c>
      <c r="R174" s="22" t="s">
        <v>42</v>
      </c>
      <c r="S174" s="22" t="s">
        <v>42</v>
      </c>
      <c r="T174" s="22" t="s">
        <v>42</v>
      </c>
      <c r="U174" s="22"/>
      <c r="V174" s="22" t="s">
        <v>42</v>
      </c>
      <c r="W174" s="22" t="s">
        <v>42</v>
      </c>
      <c r="X174" s="22" t="s">
        <v>42</v>
      </c>
      <c r="Y174" s="22" t="s">
        <v>42</v>
      </c>
      <c r="Z174" s="22" t="s">
        <v>42</v>
      </c>
      <c r="AA174" s="22" t="s">
        <v>42</v>
      </c>
      <c r="AB174" s="22"/>
      <c r="AC174" s="22" t="s">
        <v>42</v>
      </c>
      <c r="AD174" s="22" t="s">
        <v>42</v>
      </c>
      <c r="AE174" s="22" t="s">
        <v>42</v>
      </c>
      <c r="AF174" s="22" t="s">
        <v>42</v>
      </c>
      <c r="AG174" s="22" t="s">
        <v>42</v>
      </c>
      <c r="AH174" s="22" t="s">
        <v>42</v>
      </c>
      <c r="AJ174" s="22" t="s">
        <v>42</v>
      </c>
      <c r="AK174" s="22" t="s">
        <v>42</v>
      </c>
      <c r="AL174" s="22" t="s">
        <v>42</v>
      </c>
      <c r="AM174" s="22">
        <f t="shared" si="11"/>
        <v>24</v>
      </c>
    </row>
    <row r="175" spans="1:39" x14ac:dyDescent="0.25">
      <c r="A175" s="20" t="s">
        <v>55</v>
      </c>
      <c r="B175" s="38" t="s">
        <v>423</v>
      </c>
      <c r="C175" s="20" t="s">
        <v>424</v>
      </c>
      <c r="D175" s="20" t="s">
        <v>8</v>
      </c>
      <c r="E175" s="20" t="s">
        <v>8</v>
      </c>
      <c r="F175" s="20" t="s">
        <v>58</v>
      </c>
      <c r="G175" s="39"/>
      <c r="H175" s="40"/>
      <c r="I175" s="22" t="s">
        <v>42</v>
      </c>
      <c r="J175" s="33"/>
      <c r="L175" s="22" t="s">
        <v>42</v>
      </c>
      <c r="M175" s="22" t="s">
        <v>42</v>
      </c>
      <c r="N175" s="22" t="s">
        <v>42</v>
      </c>
      <c r="O175" s="22" t="s">
        <v>42</v>
      </c>
      <c r="P175" s="22" t="s">
        <v>42</v>
      </c>
      <c r="Q175" s="22" t="s">
        <v>42</v>
      </c>
      <c r="R175" s="22" t="s">
        <v>42</v>
      </c>
      <c r="S175" s="22" t="s">
        <v>42</v>
      </c>
      <c r="T175" s="22" t="s">
        <v>42</v>
      </c>
      <c r="U175" s="22"/>
      <c r="V175" s="22" t="s">
        <v>42</v>
      </c>
      <c r="W175" s="22" t="s">
        <v>42</v>
      </c>
      <c r="X175" s="22" t="s">
        <v>42</v>
      </c>
      <c r="Y175" s="22" t="s">
        <v>42</v>
      </c>
      <c r="Z175" s="22" t="s">
        <v>42</v>
      </c>
      <c r="AA175" s="22" t="s">
        <v>42</v>
      </c>
      <c r="AB175" s="22"/>
      <c r="AC175" s="22" t="s">
        <v>42</v>
      </c>
      <c r="AD175" s="22" t="s">
        <v>42</v>
      </c>
      <c r="AE175" s="22" t="s">
        <v>42</v>
      </c>
      <c r="AF175" s="22"/>
      <c r="AG175" s="22" t="s">
        <v>42</v>
      </c>
      <c r="AH175" s="22" t="s">
        <v>42</v>
      </c>
      <c r="AI175" s="22" t="s">
        <v>42</v>
      </c>
      <c r="AJ175" s="22" t="s">
        <v>42</v>
      </c>
      <c r="AK175" s="22" t="s">
        <v>42</v>
      </c>
      <c r="AL175" s="22" t="s">
        <v>42</v>
      </c>
      <c r="AM175" s="22">
        <f t="shared" si="11"/>
        <v>25</v>
      </c>
    </row>
    <row r="176" spans="1:39" hidden="1" x14ac:dyDescent="0.25">
      <c r="A176" s="20" t="s">
        <v>55</v>
      </c>
      <c r="B176" s="38" t="s">
        <v>425</v>
      </c>
      <c r="C176" s="20" t="s">
        <v>426</v>
      </c>
      <c r="D176" s="20" t="s">
        <v>10</v>
      </c>
      <c r="E176" s="20" t="s">
        <v>10</v>
      </c>
      <c r="F176" s="20" t="s">
        <v>58</v>
      </c>
      <c r="G176" s="39"/>
      <c r="H176" s="40"/>
      <c r="I176" s="22" t="s">
        <v>42</v>
      </c>
      <c r="L176" s="22" t="s">
        <v>147</v>
      </c>
      <c r="M176" s="22" t="s">
        <v>42</v>
      </c>
      <c r="O176" s="22" t="s">
        <v>42</v>
      </c>
      <c r="P176" s="22" t="s">
        <v>42</v>
      </c>
      <c r="Q176" s="31" t="s">
        <v>147</v>
      </c>
      <c r="R176" s="22" t="s">
        <v>42</v>
      </c>
      <c r="S176" s="31" t="s">
        <v>147</v>
      </c>
      <c r="T176" s="22" t="s">
        <v>147</v>
      </c>
      <c r="U176" s="22"/>
      <c r="V176" s="22" t="s">
        <v>42</v>
      </c>
      <c r="W176" s="31" t="s">
        <v>147</v>
      </c>
      <c r="X176" s="22" t="s">
        <v>42</v>
      </c>
      <c r="Y176" s="22"/>
      <c r="Z176" s="22" t="s">
        <v>42</v>
      </c>
      <c r="AA176" s="22" t="s">
        <v>42</v>
      </c>
      <c r="AB176" s="22"/>
      <c r="AC176" s="22"/>
      <c r="AD176" s="22"/>
      <c r="AE176" s="22"/>
      <c r="AF176" s="22"/>
      <c r="AH176" s="22"/>
      <c r="AM176" s="22">
        <f t="shared" si="11"/>
        <v>9</v>
      </c>
    </row>
    <row r="177" spans="1:39" hidden="1" x14ac:dyDescent="0.25">
      <c r="A177" s="20" t="s">
        <v>55</v>
      </c>
      <c r="B177" s="38" t="s">
        <v>427</v>
      </c>
      <c r="C177" s="20" t="s">
        <v>428</v>
      </c>
      <c r="D177" s="20" t="s">
        <v>10</v>
      </c>
      <c r="E177" s="20" t="s">
        <v>10</v>
      </c>
      <c r="F177" s="20" t="s">
        <v>58</v>
      </c>
      <c r="G177" s="39"/>
      <c r="H177" s="40"/>
      <c r="I177" s="31" t="s">
        <v>147</v>
      </c>
      <c r="L177" s="29" t="s">
        <v>147</v>
      </c>
      <c r="M177" s="31" t="s">
        <v>147</v>
      </c>
      <c r="O177" s="29" t="s">
        <v>147</v>
      </c>
      <c r="P177" s="29" t="s">
        <v>147</v>
      </c>
      <c r="Q177" s="31" t="s">
        <v>147</v>
      </c>
      <c r="R177" s="31" t="s">
        <v>147</v>
      </c>
      <c r="S177" s="31" t="s">
        <v>147</v>
      </c>
      <c r="T177" s="31" t="s">
        <v>147</v>
      </c>
      <c r="U177" s="22"/>
      <c r="V177" s="22" t="s">
        <v>42</v>
      </c>
      <c r="W177" s="31" t="s">
        <v>147</v>
      </c>
      <c r="X177" s="31" t="s">
        <v>147</v>
      </c>
      <c r="Y177" s="31" t="s">
        <v>147</v>
      </c>
      <c r="Z177" s="31" t="s">
        <v>147</v>
      </c>
      <c r="AA177" s="31" t="s">
        <v>147</v>
      </c>
      <c r="AB177" s="22"/>
      <c r="AC177" s="22" t="s">
        <v>147</v>
      </c>
      <c r="AD177" s="31" t="s">
        <v>147</v>
      </c>
      <c r="AE177" s="31" t="s">
        <v>147</v>
      </c>
      <c r="AF177" s="22" t="s">
        <v>42</v>
      </c>
      <c r="AG177" s="31" t="s">
        <v>147</v>
      </c>
      <c r="AH177" s="31" t="s">
        <v>147</v>
      </c>
      <c r="AJ177" s="31" t="s">
        <v>147</v>
      </c>
      <c r="AK177" s="22" t="s">
        <v>42</v>
      </c>
      <c r="AL177" s="31" t="s">
        <v>147</v>
      </c>
      <c r="AM177" s="22">
        <f t="shared" si="11"/>
        <v>3</v>
      </c>
    </row>
    <row r="178" spans="1:39" hidden="1" x14ac:dyDescent="0.25">
      <c r="A178" s="20" t="s">
        <v>55</v>
      </c>
      <c r="B178" s="38" t="s">
        <v>433</v>
      </c>
      <c r="C178" s="20" t="s">
        <v>434</v>
      </c>
      <c r="D178" s="20" t="s">
        <v>25</v>
      </c>
      <c r="E178" s="20" t="s">
        <v>25</v>
      </c>
      <c r="F178" s="20" t="s">
        <v>58</v>
      </c>
      <c r="G178" s="39"/>
      <c r="H178" s="40"/>
      <c r="I178" s="22" t="s">
        <v>42</v>
      </c>
      <c r="L178" s="22" t="s">
        <v>42</v>
      </c>
      <c r="M178" s="22" t="s">
        <v>42</v>
      </c>
      <c r="O178" s="22" t="s">
        <v>42</v>
      </c>
      <c r="P178" s="22" t="s">
        <v>42</v>
      </c>
      <c r="Q178" s="22" t="s">
        <v>42</v>
      </c>
      <c r="R178" s="22" t="s">
        <v>42</v>
      </c>
      <c r="S178" s="22" t="s">
        <v>42</v>
      </c>
      <c r="T178" s="22" t="s">
        <v>42</v>
      </c>
      <c r="U178" s="22"/>
      <c r="V178" s="22" t="s">
        <v>42</v>
      </c>
      <c r="W178" s="22" t="s">
        <v>42</v>
      </c>
      <c r="X178" s="22" t="s">
        <v>42</v>
      </c>
      <c r="Y178" s="22" t="s">
        <v>42</v>
      </c>
      <c r="Z178" s="22" t="s">
        <v>42</v>
      </c>
      <c r="AA178" s="22" t="s">
        <v>42</v>
      </c>
      <c r="AB178" s="22"/>
      <c r="AC178" s="22" t="s">
        <v>42</v>
      </c>
      <c r="AD178" s="22" t="s">
        <v>42</v>
      </c>
      <c r="AE178" s="22" t="s">
        <v>42</v>
      </c>
      <c r="AF178" s="22" t="s">
        <v>42</v>
      </c>
      <c r="AG178" s="22" t="s">
        <v>42</v>
      </c>
      <c r="AH178" s="22" t="s">
        <v>42</v>
      </c>
      <c r="AJ178" s="22" t="s">
        <v>42</v>
      </c>
      <c r="AK178" s="22" t="s">
        <v>42</v>
      </c>
      <c r="AL178" s="22" t="s">
        <v>42</v>
      </c>
      <c r="AM178" s="22">
        <f t="shared" si="11"/>
        <v>24</v>
      </c>
    </row>
    <row r="179" spans="1:39" hidden="1" x14ac:dyDescent="0.25">
      <c r="A179" s="20" t="s">
        <v>55</v>
      </c>
      <c r="B179" s="38" t="s">
        <v>435</v>
      </c>
      <c r="C179" s="20" t="s">
        <v>436</v>
      </c>
      <c r="D179" s="20" t="s">
        <v>15</v>
      </c>
      <c r="E179" s="20" t="s">
        <v>15</v>
      </c>
      <c r="F179" s="20" t="s">
        <v>63</v>
      </c>
      <c r="G179" s="39"/>
      <c r="H179" s="40"/>
      <c r="I179" s="33" t="s">
        <v>38</v>
      </c>
      <c r="J179" s="33"/>
      <c r="K179" s="33"/>
      <c r="L179" s="33" t="s">
        <v>38</v>
      </c>
      <c r="M179" s="33" t="s">
        <v>38</v>
      </c>
      <c r="N179" s="33"/>
      <c r="O179" s="33" t="s">
        <v>38</v>
      </c>
      <c r="P179" s="33" t="s">
        <v>38</v>
      </c>
      <c r="Q179" s="33" t="s">
        <v>38</v>
      </c>
      <c r="R179" s="33" t="s">
        <v>38</v>
      </c>
      <c r="S179" s="33" t="s">
        <v>38</v>
      </c>
      <c r="T179" s="33" t="s">
        <v>38</v>
      </c>
      <c r="U179" s="33"/>
      <c r="V179" s="33" t="s">
        <v>38</v>
      </c>
      <c r="W179" s="22"/>
      <c r="X179" s="33" t="s">
        <v>38</v>
      </c>
      <c r="Y179" s="33" t="s">
        <v>38</v>
      </c>
      <c r="Z179" s="33" t="s">
        <v>38</v>
      </c>
      <c r="AA179" s="33" t="s">
        <v>38</v>
      </c>
      <c r="AB179" s="33"/>
      <c r="AC179" s="33" t="s">
        <v>38</v>
      </c>
      <c r="AD179" s="33" t="s">
        <v>38</v>
      </c>
      <c r="AE179" s="33" t="s">
        <v>38</v>
      </c>
      <c r="AF179" s="33" t="s">
        <v>38</v>
      </c>
      <c r="AG179" s="33" t="s">
        <v>38</v>
      </c>
      <c r="AH179" s="33" t="s">
        <v>38</v>
      </c>
      <c r="AI179" s="33"/>
      <c r="AJ179" s="33" t="s">
        <v>38</v>
      </c>
      <c r="AK179" s="33" t="s">
        <v>38</v>
      </c>
      <c r="AL179" s="33" t="s">
        <v>38</v>
      </c>
      <c r="AM179" s="22">
        <f t="shared" si="11"/>
        <v>23</v>
      </c>
    </row>
    <row r="180" spans="1:39" hidden="1" x14ac:dyDescent="0.25">
      <c r="A180" s="20" t="s">
        <v>55</v>
      </c>
      <c r="B180" s="38" t="s">
        <v>437</v>
      </c>
      <c r="C180" s="20" t="s">
        <v>438</v>
      </c>
      <c r="D180" s="20" t="s">
        <v>25</v>
      </c>
      <c r="E180" s="20" t="s">
        <v>25</v>
      </c>
      <c r="F180" s="20" t="s">
        <v>58</v>
      </c>
      <c r="G180" s="39"/>
      <c r="H180" s="40"/>
      <c r="I180" s="22" t="s">
        <v>42</v>
      </c>
      <c r="O180" s="22" t="s">
        <v>42</v>
      </c>
      <c r="P180" s="22" t="s">
        <v>42</v>
      </c>
      <c r="Q180" s="22" t="s">
        <v>42</v>
      </c>
      <c r="R180" s="22" t="s">
        <v>42</v>
      </c>
      <c r="S180" s="22" t="s">
        <v>42</v>
      </c>
      <c r="T180" s="22" t="s">
        <v>42</v>
      </c>
      <c r="U180" s="22"/>
      <c r="V180" s="22" t="s">
        <v>42</v>
      </c>
      <c r="W180" s="22"/>
      <c r="X180" s="22" t="s">
        <v>42</v>
      </c>
      <c r="Y180" s="22" t="s">
        <v>42</v>
      </c>
      <c r="Z180" s="22" t="s">
        <v>42</v>
      </c>
      <c r="AA180" s="22" t="s">
        <v>42</v>
      </c>
      <c r="AB180" s="22"/>
      <c r="AC180" s="22" t="s">
        <v>42</v>
      </c>
      <c r="AD180" s="22" t="s">
        <v>42</v>
      </c>
      <c r="AE180" s="22" t="s">
        <v>42</v>
      </c>
      <c r="AF180" s="22" t="s">
        <v>42</v>
      </c>
      <c r="AG180" s="22" t="s">
        <v>42</v>
      </c>
      <c r="AH180" s="22" t="s">
        <v>42</v>
      </c>
      <c r="AJ180" s="22" t="s">
        <v>42</v>
      </c>
      <c r="AK180" s="22" t="s">
        <v>42</v>
      </c>
      <c r="AL180" s="22" t="s">
        <v>42</v>
      </c>
      <c r="AM180" s="22">
        <f t="shared" si="11"/>
        <v>21</v>
      </c>
    </row>
    <row r="181" spans="1:39" hidden="1" x14ac:dyDescent="0.25">
      <c r="A181" s="20" t="s">
        <v>55</v>
      </c>
      <c r="B181" s="38" t="s">
        <v>439</v>
      </c>
      <c r="C181" s="20" t="s">
        <v>440</v>
      </c>
      <c r="D181" s="20" t="s">
        <v>25</v>
      </c>
      <c r="E181" s="20" t="s">
        <v>25</v>
      </c>
      <c r="F181" s="20" t="s">
        <v>58</v>
      </c>
      <c r="G181" s="39"/>
      <c r="H181" s="40"/>
      <c r="I181" s="22" t="s">
        <v>42</v>
      </c>
      <c r="L181" s="22" t="s">
        <v>42</v>
      </c>
      <c r="M181" s="22" t="s">
        <v>42</v>
      </c>
      <c r="O181" s="22" t="s">
        <v>42</v>
      </c>
      <c r="P181" s="22" t="s">
        <v>42</v>
      </c>
      <c r="Q181" s="22" t="s">
        <v>42</v>
      </c>
      <c r="R181" s="22" t="s">
        <v>42</v>
      </c>
      <c r="S181" s="22" t="s">
        <v>42</v>
      </c>
      <c r="T181" s="22" t="s">
        <v>42</v>
      </c>
      <c r="U181" s="22"/>
      <c r="V181" s="22" t="s">
        <v>42</v>
      </c>
      <c r="W181" s="22" t="s">
        <v>42</v>
      </c>
      <c r="X181" s="22" t="s">
        <v>42</v>
      </c>
      <c r="Y181" s="22" t="s">
        <v>42</v>
      </c>
      <c r="Z181" s="22" t="s">
        <v>42</v>
      </c>
      <c r="AA181" s="22" t="s">
        <v>42</v>
      </c>
      <c r="AB181" s="22"/>
      <c r="AC181" s="22" t="s">
        <v>42</v>
      </c>
      <c r="AD181" s="22" t="s">
        <v>42</v>
      </c>
      <c r="AE181" s="22" t="s">
        <v>42</v>
      </c>
      <c r="AF181" s="22" t="s">
        <v>42</v>
      </c>
      <c r="AG181" s="22" t="s">
        <v>42</v>
      </c>
      <c r="AH181" s="22"/>
      <c r="AJ181" s="22" t="s">
        <v>42</v>
      </c>
      <c r="AK181" s="22" t="s">
        <v>42</v>
      </c>
      <c r="AL181" s="22" t="s">
        <v>42</v>
      </c>
      <c r="AM181" s="22">
        <f t="shared" si="11"/>
        <v>23</v>
      </c>
    </row>
    <row r="182" spans="1:39" hidden="1" x14ac:dyDescent="0.25">
      <c r="A182" s="20" t="s">
        <v>55</v>
      </c>
      <c r="B182" s="38" t="s">
        <v>441</v>
      </c>
      <c r="C182" s="20" t="s">
        <v>442</v>
      </c>
      <c r="D182" s="20" t="s">
        <v>10</v>
      </c>
      <c r="E182" s="20" t="s">
        <v>10</v>
      </c>
      <c r="F182" s="20" t="s">
        <v>63</v>
      </c>
      <c r="G182" s="39"/>
      <c r="H182" s="40"/>
      <c r="I182" s="33" t="s">
        <v>38</v>
      </c>
      <c r="J182" s="33"/>
      <c r="K182" s="33"/>
      <c r="L182" s="33"/>
      <c r="M182" s="33"/>
      <c r="N182" s="33"/>
      <c r="O182" s="33" t="s">
        <v>38</v>
      </c>
      <c r="P182" s="33" t="s">
        <v>38</v>
      </c>
      <c r="Q182" s="33" t="s">
        <v>38</v>
      </c>
      <c r="R182" s="33" t="s">
        <v>38</v>
      </c>
      <c r="S182" s="33" t="s">
        <v>38</v>
      </c>
      <c r="T182" s="33" t="s">
        <v>38</v>
      </c>
      <c r="U182" s="33"/>
      <c r="V182" s="33" t="s">
        <v>38</v>
      </c>
      <c r="W182" s="33" t="s">
        <v>38</v>
      </c>
      <c r="X182" s="33" t="s">
        <v>38</v>
      </c>
      <c r="Y182" s="33" t="s">
        <v>38</v>
      </c>
      <c r="Z182" s="33" t="s">
        <v>38</v>
      </c>
      <c r="AA182" s="33" t="s">
        <v>38</v>
      </c>
      <c r="AB182" s="33"/>
      <c r="AC182" s="33" t="s">
        <v>38</v>
      </c>
      <c r="AD182" s="33" t="s">
        <v>38</v>
      </c>
      <c r="AE182" s="33" t="s">
        <v>38</v>
      </c>
      <c r="AF182" s="33" t="s">
        <v>38</v>
      </c>
      <c r="AG182" s="33" t="s">
        <v>38</v>
      </c>
      <c r="AH182" s="33"/>
      <c r="AJ182" s="33" t="s">
        <v>38</v>
      </c>
      <c r="AK182" s="33" t="s">
        <v>38</v>
      </c>
      <c r="AL182" s="33" t="s">
        <v>38</v>
      </c>
      <c r="AM182" s="22">
        <f t="shared" si="11"/>
        <v>21</v>
      </c>
    </row>
    <row r="183" spans="1:39" hidden="1" x14ac:dyDescent="0.25">
      <c r="A183" s="20" t="s">
        <v>55</v>
      </c>
      <c r="B183" s="38" t="s">
        <v>443</v>
      </c>
      <c r="C183" s="20" t="s">
        <v>444</v>
      </c>
      <c r="D183" s="20" t="s">
        <v>7</v>
      </c>
      <c r="E183" s="20" t="s">
        <v>7</v>
      </c>
      <c r="F183" s="20" t="s">
        <v>63</v>
      </c>
      <c r="G183" s="39" t="s">
        <v>64</v>
      </c>
      <c r="H183" s="40"/>
      <c r="I183" s="33"/>
      <c r="J183" s="33"/>
      <c r="K183" s="33"/>
      <c r="L183" s="33" t="s">
        <v>40</v>
      </c>
      <c r="M183" s="33" t="s">
        <v>40</v>
      </c>
      <c r="N183" s="33"/>
      <c r="O183" s="33" t="s">
        <v>40</v>
      </c>
      <c r="P183" s="33" t="s">
        <v>40</v>
      </c>
      <c r="Q183" s="33" t="s">
        <v>40</v>
      </c>
      <c r="R183" s="33" t="s">
        <v>40</v>
      </c>
      <c r="S183" s="33" t="s">
        <v>40</v>
      </c>
      <c r="T183" s="33" t="s">
        <v>40</v>
      </c>
      <c r="U183" s="33"/>
      <c r="V183" s="33" t="s">
        <v>40</v>
      </c>
      <c r="W183" s="33" t="s">
        <v>40</v>
      </c>
      <c r="X183" s="33" t="s">
        <v>40</v>
      </c>
      <c r="Y183" s="33" t="s">
        <v>40</v>
      </c>
      <c r="Z183" s="33" t="s">
        <v>40</v>
      </c>
      <c r="AA183" s="33" t="s">
        <v>40</v>
      </c>
      <c r="AB183" s="33"/>
      <c r="AC183" s="33" t="s">
        <v>40</v>
      </c>
      <c r="AD183" s="33" t="s">
        <v>40</v>
      </c>
      <c r="AE183" s="33" t="s">
        <v>40</v>
      </c>
      <c r="AF183" s="33" t="s">
        <v>40</v>
      </c>
      <c r="AG183" s="33" t="s">
        <v>40</v>
      </c>
      <c r="AH183" s="33" t="s">
        <v>40</v>
      </c>
      <c r="AI183" s="33"/>
      <c r="AJ183" s="33" t="s">
        <v>40</v>
      </c>
      <c r="AK183" s="33" t="s">
        <v>40</v>
      </c>
      <c r="AL183" s="33" t="s">
        <v>40</v>
      </c>
      <c r="AM183" s="22">
        <f t="shared" si="11"/>
        <v>23</v>
      </c>
    </row>
    <row r="184" spans="1:39" hidden="1" x14ac:dyDescent="0.25">
      <c r="A184" s="20" t="s">
        <v>55</v>
      </c>
      <c r="B184" s="38" t="s">
        <v>445</v>
      </c>
      <c r="C184" s="20" t="s">
        <v>446</v>
      </c>
      <c r="D184" s="20" t="s">
        <v>22</v>
      </c>
      <c r="E184" s="20" t="s">
        <v>22</v>
      </c>
      <c r="F184" s="20" t="s">
        <v>58</v>
      </c>
      <c r="G184" s="39"/>
      <c r="H184" s="40"/>
      <c r="I184" s="22" t="s">
        <v>42</v>
      </c>
      <c r="L184" s="22" t="s">
        <v>42</v>
      </c>
      <c r="M184" s="22" t="s">
        <v>42</v>
      </c>
      <c r="O184" s="22" t="s">
        <v>42</v>
      </c>
      <c r="P184" s="22" t="s">
        <v>42</v>
      </c>
      <c r="Q184" s="22" t="s">
        <v>42</v>
      </c>
      <c r="R184" s="22" t="s">
        <v>42</v>
      </c>
      <c r="S184" s="22" t="s">
        <v>42</v>
      </c>
      <c r="T184" s="22" t="s">
        <v>42</v>
      </c>
      <c r="U184" s="22"/>
      <c r="V184" s="22" t="s">
        <v>42</v>
      </c>
      <c r="W184" s="22" t="s">
        <v>42</v>
      </c>
      <c r="X184" s="22" t="s">
        <v>42</v>
      </c>
      <c r="Y184" s="22" t="s">
        <v>42</v>
      </c>
      <c r="Z184" s="22" t="s">
        <v>42</v>
      </c>
      <c r="AA184" s="22" t="s">
        <v>42</v>
      </c>
      <c r="AB184" s="22"/>
      <c r="AC184" s="22" t="s">
        <v>42</v>
      </c>
      <c r="AD184" s="22" t="s">
        <v>42</v>
      </c>
      <c r="AE184" s="22" t="s">
        <v>42</v>
      </c>
      <c r="AF184" s="22" t="s">
        <v>42</v>
      </c>
      <c r="AG184" s="22" t="s">
        <v>42</v>
      </c>
      <c r="AH184" s="22" t="s">
        <v>42</v>
      </c>
      <c r="AJ184" s="22" t="s">
        <v>42</v>
      </c>
      <c r="AK184" s="22" t="s">
        <v>42</v>
      </c>
      <c r="AL184" s="22" t="s">
        <v>42</v>
      </c>
      <c r="AM184" s="22">
        <f t="shared" si="11"/>
        <v>24</v>
      </c>
    </row>
    <row r="185" spans="1:39" hidden="1" x14ac:dyDescent="0.25">
      <c r="A185" s="20" t="s">
        <v>55</v>
      </c>
      <c r="B185" s="38" t="s">
        <v>447</v>
      </c>
      <c r="C185" s="20" t="s">
        <v>448</v>
      </c>
      <c r="D185" s="20" t="s">
        <v>21</v>
      </c>
      <c r="E185" s="20" t="s">
        <v>21</v>
      </c>
      <c r="F185" s="20" t="s">
        <v>58</v>
      </c>
      <c r="G185" s="39"/>
      <c r="H185" s="40"/>
      <c r="I185" s="22" t="s">
        <v>42</v>
      </c>
      <c r="L185" s="22" t="s">
        <v>42</v>
      </c>
      <c r="M185" s="22" t="s">
        <v>42</v>
      </c>
      <c r="N185" s="22" t="s">
        <v>42</v>
      </c>
      <c r="O185" s="22" t="s">
        <v>42</v>
      </c>
      <c r="P185" s="22" t="s">
        <v>42</v>
      </c>
      <c r="Q185" s="22" t="s">
        <v>42</v>
      </c>
      <c r="R185" s="22" t="s">
        <v>42</v>
      </c>
      <c r="S185" s="22" t="s">
        <v>42</v>
      </c>
      <c r="T185" s="22" t="s">
        <v>42</v>
      </c>
      <c r="U185" s="22"/>
      <c r="V185" s="22" t="s">
        <v>42</v>
      </c>
      <c r="W185" s="22" t="s">
        <v>42</v>
      </c>
      <c r="X185" s="22" t="s">
        <v>42</v>
      </c>
      <c r="Y185" s="22" t="s">
        <v>42</v>
      </c>
      <c r="Z185" s="22" t="s">
        <v>42</v>
      </c>
      <c r="AA185" s="22" t="s">
        <v>42</v>
      </c>
      <c r="AB185" s="22" t="s">
        <v>42</v>
      </c>
      <c r="AC185" s="22" t="s">
        <v>42</v>
      </c>
      <c r="AD185" s="22" t="s">
        <v>42</v>
      </c>
      <c r="AE185" s="22" t="s">
        <v>42</v>
      </c>
      <c r="AF185" s="22" t="s">
        <v>42</v>
      </c>
      <c r="AG185" s="22" t="s">
        <v>42</v>
      </c>
      <c r="AH185" s="22"/>
      <c r="AJ185" s="22" t="s">
        <v>42</v>
      </c>
      <c r="AK185" s="22" t="s">
        <v>42</v>
      </c>
      <c r="AL185" s="22" t="s">
        <v>42</v>
      </c>
      <c r="AM185" s="22">
        <f t="shared" si="11"/>
        <v>25</v>
      </c>
    </row>
    <row r="186" spans="1:39" hidden="1" x14ac:dyDescent="0.25">
      <c r="A186" s="20" t="s">
        <v>55</v>
      </c>
      <c r="B186" s="38" t="s">
        <v>449</v>
      </c>
      <c r="C186" s="20" t="s">
        <v>450</v>
      </c>
      <c r="D186" s="20" t="s">
        <v>21</v>
      </c>
      <c r="E186" s="20" t="s">
        <v>21</v>
      </c>
      <c r="F186" s="20" t="s">
        <v>58</v>
      </c>
      <c r="G186" s="39"/>
      <c r="H186" s="40"/>
      <c r="I186" s="22" t="s">
        <v>42</v>
      </c>
      <c r="L186" s="22" t="s">
        <v>42</v>
      </c>
      <c r="M186" s="22" t="s">
        <v>42</v>
      </c>
      <c r="O186" s="22" t="s">
        <v>42</v>
      </c>
      <c r="P186" s="22" t="s">
        <v>42</v>
      </c>
      <c r="Q186" s="22" t="s">
        <v>42</v>
      </c>
      <c r="R186" s="22" t="s">
        <v>42</v>
      </c>
      <c r="S186" s="22" t="s">
        <v>42</v>
      </c>
      <c r="T186" s="22" t="s">
        <v>42</v>
      </c>
      <c r="U186" s="22"/>
      <c r="V186" s="22" t="s">
        <v>42</v>
      </c>
      <c r="W186" s="22" t="s">
        <v>42</v>
      </c>
      <c r="X186" s="22" t="s">
        <v>42</v>
      </c>
      <c r="Y186" s="22" t="s">
        <v>42</v>
      </c>
      <c r="Z186" s="22" t="s">
        <v>42</v>
      </c>
      <c r="AA186" s="22" t="s">
        <v>42</v>
      </c>
      <c r="AB186" s="22"/>
      <c r="AC186" s="22" t="s">
        <v>42</v>
      </c>
      <c r="AD186" s="22" t="s">
        <v>42</v>
      </c>
      <c r="AE186" s="22" t="s">
        <v>42</v>
      </c>
      <c r="AF186" s="22" t="s">
        <v>42</v>
      </c>
      <c r="AG186" s="22" t="s">
        <v>42</v>
      </c>
      <c r="AH186" s="22" t="s">
        <v>42</v>
      </c>
      <c r="AJ186" s="22" t="s">
        <v>42</v>
      </c>
      <c r="AK186" s="22" t="s">
        <v>42</v>
      </c>
      <c r="AL186" s="22" t="s">
        <v>42</v>
      </c>
      <c r="AM186" s="22">
        <f t="shared" si="11"/>
        <v>24</v>
      </c>
    </row>
    <row r="187" spans="1:39" x14ac:dyDescent="0.25">
      <c r="A187" s="20" t="s">
        <v>55</v>
      </c>
      <c r="B187" s="38" t="s">
        <v>451</v>
      </c>
      <c r="C187" s="20" t="s">
        <v>452</v>
      </c>
      <c r="D187" s="20" t="s">
        <v>21</v>
      </c>
      <c r="E187" s="20" t="s">
        <v>21</v>
      </c>
      <c r="F187" s="20" t="s">
        <v>58</v>
      </c>
      <c r="G187" s="39"/>
      <c r="H187" s="40"/>
      <c r="I187" s="22" t="s">
        <v>42</v>
      </c>
      <c r="L187" s="22" t="s">
        <v>42</v>
      </c>
      <c r="M187" s="22" t="s">
        <v>42</v>
      </c>
      <c r="N187" s="22" t="s">
        <v>42</v>
      </c>
      <c r="O187" s="22" t="s">
        <v>42</v>
      </c>
      <c r="P187" s="22" t="s">
        <v>42</v>
      </c>
      <c r="Q187" s="22" t="s">
        <v>42</v>
      </c>
      <c r="R187" s="22" t="s">
        <v>42</v>
      </c>
      <c r="S187" s="22" t="s">
        <v>42</v>
      </c>
      <c r="T187" s="22" t="s">
        <v>42</v>
      </c>
      <c r="U187" s="22"/>
      <c r="V187" s="22" t="s">
        <v>42</v>
      </c>
      <c r="W187" s="22" t="s">
        <v>42</v>
      </c>
      <c r="X187" s="22" t="s">
        <v>42</v>
      </c>
      <c r="Y187" s="22" t="s">
        <v>42</v>
      </c>
      <c r="Z187" s="22" t="s">
        <v>42</v>
      </c>
      <c r="AA187" s="22" t="s">
        <v>42</v>
      </c>
      <c r="AB187" s="22" t="s">
        <v>42</v>
      </c>
      <c r="AC187" s="22" t="s">
        <v>42</v>
      </c>
      <c r="AD187" s="22" t="s">
        <v>42</v>
      </c>
      <c r="AE187" s="22" t="s">
        <v>42</v>
      </c>
      <c r="AF187" s="22" t="s">
        <v>42</v>
      </c>
      <c r="AG187" s="22" t="s">
        <v>42</v>
      </c>
      <c r="AH187" s="22" t="s">
        <v>42</v>
      </c>
      <c r="AI187" s="22" t="s">
        <v>42</v>
      </c>
      <c r="AJ187" s="22" t="s">
        <v>42</v>
      </c>
      <c r="AK187" s="22" t="s">
        <v>42</v>
      </c>
      <c r="AL187" s="22" t="s">
        <v>42</v>
      </c>
      <c r="AM187" s="22">
        <f t="shared" si="11"/>
        <v>27</v>
      </c>
    </row>
    <row r="188" spans="1:39" hidden="1" x14ac:dyDescent="0.25">
      <c r="A188" s="20" t="s">
        <v>55</v>
      </c>
      <c r="B188" s="38" t="s">
        <v>455</v>
      </c>
      <c r="C188" s="20" t="s">
        <v>456</v>
      </c>
      <c r="D188" s="20" t="s">
        <v>23</v>
      </c>
      <c r="E188" s="20" t="s">
        <v>23</v>
      </c>
      <c r="F188" s="20" t="s">
        <v>58</v>
      </c>
      <c r="G188" s="39"/>
      <c r="H188" s="40"/>
      <c r="I188" s="22" t="s">
        <v>42</v>
      </c>
      <c r="L188" s="22" t="s">
        <v>42</v>
      </c>
      <c r="M188" s="22" t="s">
        <v>42</v>
      </c>
      <c r="O188" s="22" t="s">
        <v>42</v>
      </c>
      <c r="Q188" s="22" t="s">
        <v>42</v>
      </c>
      <c r="R188" s="22" t="s">
        <v>42</v>
      </c>
      <c r="S188" s="22" t="s">
        <v>42</v>
      </c>
      <c r="T188" s="22" t="s">
        <v>42</v>
      </c>
      <c r="U188" s="22"/>
      <c r="V188" s="22" t="s">
        <v>42</v>
      </c>
      <c r="W188" s="22" t="s">
        <v>42</v>
      </c>
      <c r="X188" s="22" t="s">
        <v>42</v>
      </c>
      <c r="Y188" s="22" t="s">
        <v>42</v>
      </c>
      <c r="Z188" s="22" t="s">
        <v>42</v>
      </c>
      <c r="AA188" s="22" t="s">
        <v>42</v>
      </c>
      <c r="AB188" s="22"/>
      <c r="AC188" s="22"/>
      <c r="AD188" s="22"/>
      <c r="AE188" s="22"/>
      <c r="AF188" s="22"/>
      <c r="AG188" s="22"/>
      <c r="AH188" s="22"/>
      <c r="AM188" s="22">
        <f t="shared" si="11"/>
        <v>14</v>
      </c>
    </row>
    <row r="189" spans="1:39" hidden="1" x14ac:dyDescent="0.25">
      <c r="A189" s="20" t="s">
        <v>55</v>
      </c>
      <c r="B189" s="38" t="s">
        <v>457</v>
      </c>
      <c r="C189" s="20" t="s">
        <v>458</v>
      </c>
      <c r="D189" s="20" t="s">
        <v>19</v>
      </c>
      <c r="E189" s="20" t="s">
        <v>19</v>
      </c>
      <c r="F189" s="20" t="s">
        <v>58</v>
      </c>
      <c r="G189" s="39"/>
      <c r="H189" s="40"/>
      <c r="I189" s="22" t="s">
        <v>42</v>
      </c>
      <c r="L189" s="22" t="s">
        <v>42</v>
      </c>
      <c r="M189" s="22" t="s">
        <v>42</v>
      </c>
      <c r="O189" s="22" t="s">
        <v>42</v>
      </c>
      <c r="P189" s="22" t="s">
        <v>42</v>
      </c>
      <c r="Q189" s="22" t="s">
        <v>42</v>
      </c>
      <c r="R189" s="22" t="s">
        <v>42</v>
      </c>
      <c r="S189" s="22" t="s">
        <v>42</v>
      </c>
      <c r="T189" s="22" t="s">
        <v>42</v>
      </c>
      <c r="U189" s="22"/>
      <c r="V189" s="22" t="s">
        <v>42</v>
      </c>
      <c r="W189" s="22" t="s">
        <v>42</v>
      </c>
      <c r="X189" s="22" t="s">
        <v>42</v>
      </c>
      <c r="Y189" s="22" t="s">
        <v>42</v>
      </c>
      <c r="Z189" s="22" t="s">
        <v>42</v>
      </c>
      <c r="AA189" s="22" t="s">
        <v>42</v>
      </c>
      <c r="AB189" s="22"/>
      <c r="AC189" s="22" t="s">
        <v>42</v>
      </c>
      <c r="AD189" s="22" t="s">
        <v>42</v>
      </c>
      <c r="AE189" s="22" t="s">
        <v>42</v>
      </c>
      <c r="AF189" s="22" t="s">
        <v>42</v>
      </c>
      <c r="AG189" s="22" t="s">
        <v>42</v>
      </c>
      <c r="AH189" s="22" t="s">
        <v>42</v>
      </c>
      <c r="AJ189" s="22" t="s">
        <v>42</v>
      </c>
      <c r="AK189" s="22" t="s">
        <v>42</v>
      </c>
      <c r="AL189" s="22" t="s">
        <v>42</v>
      </c>
      <c r="AM189" s="22">
        <f t="shared" si="11"/>
        <v>24</v>
      </c>
    </row>
    <row r="190" spans="1:39" hidden="1" x14ac:dyDescent="0.25">
      <c r="A190" s="20" t="s">
        <v>55</v>
      </c>
      <c r="B190" s="38" t="s">
        <v>459</v>
      </c>
      <c r="C190" s="20" t="s">
        <v>460</v>
      </c>
      <c r="D190" s="20" t="s">
        <v>19</v>
      </c>
      <c r="E190" s="20" t="s">
        <v>19</v>
      </c>
      <c r="F190" s="20" t="s">
        <v>58</v>
      </c>
      <c r="G190" s="39"/>
      <c r="H190" s="40"/>
      <c r="I190" s="22" t="s">
        <v>42</v>
      </c>
      <c r="L190" s="22" t="s">
        <v>42</v>
      </c>
      <c r="M190" s="22" t="s">
        <v>42</v>
      </c>
      <c r="O190" s="22" t="s">
        <v>42</v>
      </c>
      <c r="P190" s="22" t="s">
        <v>42</v>
      </c>
      <c r="Q190" s="22" t="s">
        <v>42</v>
      </c>
      <c r="R190" s="22" t="s">
        <v>42</v>
      </c>
      <c r="S190" s="22" t="s">
        <v>42</v>
      </c>
      <c r="T190" s="22"/>
      <c r="U190" s="22"/>
      <c r="V190" s="22" t="s">
        <v>42</v>
      </c>
      <c r="W190" s="22" t="s">
        <v>42</v>
      </c>
      <c r="X190" s="22" t="s">
        <v>42</v>
      </c>
      <c r="Y190" s="22" t="s">
        <v>42</v>
      </c>
      <c r="Z190" s="22" t="s">
        <v>42</v>
      </c>
      <c r="AA190" s="22" t="s">
        <v>42</v>
      </c>
      <c r="AB190" s="22"/>
      <c r="AC190" s="22" t="s">
        <v>42</v>
      </c>
      <c r="AD190" s="22" t="s">
        <v>42</v>
      </c>
      <c r="AE190" s="22" t="s">
        <v>42</v>
      </c>
      <c r="AF190" s="22" t="s">
        <v>42</v>
      </c>
      <c r="AG190" s="22" t="s">
        <v>42</v>
      </c>
      <c r="AH190" s="22" t="s">
        <v>42</v>
      </c>
      <c r="AJ190" s="22" t="s">
        <v>42</v>
      </c>
      <c r="AK190" s="22" t="s">
        <v>42</v>
      </c>
      <c r="AL190" s="22" t="s">
        <v>42</v>
      </c>
      <c r="AM190" s="22">
        <f t="shared" si="11"/>
        <v>23</v>
      </c>
    </row>
    <row r="191" spans="1:39" hidden="1" x14ac:dyDescent="0.25">
      <c r="A191" s="20" t="s">
        <v>55</v>
      </c>
      <c r="B191" s="38" t="s">
        <v>461</v>
      </c>
      <c r="C191" s="20" t="s">
        <v>462</v>
      </c>
      <c r="D191" s="20" t="s">
        <v>19</v>
      </c>
      <c r="E191" s="20" t="s">
        <v>19</v>
      </c>
      <c r="F191" s="20" t="s">
        <v>58</v>
      </c>
      <c r="G191" s="39"/>
      <c r="H191" s="40"/>
      <c r="I191" s="22" t="s">
        <v>42</v>
      </c>
      <c r="L191" s="22" t="s">
        <v>42</v>
      </c>
      <c r="M191" s="22" t="s">
        <v>42</v>
      </c>
      <c r="O191" s="22" t="s">
        <v>42</v>
      </c>
      <c r="P191" s="22" t="s">
        <v>42</v>
      </c>
      <c r="Q191" s="22" t="s">
        <v>42</v>
      </c>
      <c r="R191" s="22" t="s">
        <v>42</v>
      </c>
      <c r="S191" s="22" t="s">
        <v>42</v>
      </c>
      <c r="T191" s="22" t="s">
        <v>42</v>
      </c>
      <c r="U191" s="22"/>
      <c r="V191" s="22" t="s">
        <v>42</v>
      </c>
      <c r="W191" s="22" t="s">
        <v>42</v>
      </c>
      <c r="X191" s="22" t="s">
        <v>42</v>
      </c>
      <c r="Y191" s="22" t="s">
        <v>42</v>
      </c>
      <c r="Z191" s="22" t="s">
        <v>42</v>
      </c>
      <c r="AA191" s="22" t="s">
        <v>42</v>
      </c>
      <c r="AB191" s="22"/>
      <c r="AC191" s="22" t="s">
        <v>42</v>
      </c>
      <c r="AD191" s="22" t="s">
        <v>42</v>
      </c>
      <c r="AE191" s="22" t="s">
        <v>42</v>
      </c>
      <c r="AF191" s="22" t="s">
        <v>42</v>
      </c>
      <c r="AG191" s="22" t="s">
        <v>42</v>
      </c>
      <c r="AH191" s="22" t="s">
        <v>42</v>
      </c>
      <c r="AJ191" s="22" t="s">
        <v>42</v>
      </c>
      <c r="AK191" s="22" t="s">
        <v>42</v>
      </c>
      <c r="AL191" s="22" t="s">
        <v>42</v>
      </c>
      <c r="AM191" s="22">
        <f t="shared" si="11"/>
        <v>24</v>
      </c>
    </row>
    <row r="192" spans="1:39" hidden="1" x14ac:dyDescent="0.25">
      <c r="A192" s="20" t="s">
        <v>55</v>
      </c>
      <c r="B192" s="38" t="s">
        <v>463</v>
      </c>
      <c r="C192" s="20" t="s">
        <v>464</v>
      </c>
      <c r="D192" s="20" t="s">
        <v>19</v>
      </c>
      <c r="E192" s="20" t="s">
        <v>19</v>
      </c>
      <c r="F192" s="20" t="s">
        <v>58</v>
      </c>
      <c r="G192" s="39"/>
      <c r="H192" s="40"/>
      <c r="I192" s="22" t="s">
        <v>42</v>
      </c>
      <c r="L192" s="22" t="s">
        <v>42</v>
      </c>
      <c r="M192" s="22" t="s">
        <v>42</v>
      </c>
      <c r="O192" s="22" t="s">
        <v>42</v>
      </c>
      <c r="P192" s="22" t="s">
        <v>42</v>
      </c>
      <c r="Q192" s="22" t="s">
        <v>42</v>
      </c>
      <c r="R192" s="22" t="s">
        <v>42</v>
      </c>
      <c r="S192" s="22" t="s">
        <v>42</v>
      </c>
      <c r="T192" s="22" t="s">
        <v>42</v>
      </c>
      <c r="U192" s="22"/>
      <c r="V192" s="22" t="s">
        <v>42</v>
      </c>
      <c r="W192" s="22" t="s">
        <v>42</v>
      </c>
      <c r="X192" s="22" t="s">
        <v>42</v>
      </c>
      <c r="Y192" s="22" t="s">
        <v>42</v>
      </c>
      <c r="Z192" s="22" t="s">
        <v>42</v>
      </c>
      <c r="AA192" s="22" t="s">
        <v>42</v>
      </c>
      <c r="AB192" s="22"/>
      <c r="AC192" s="22" t="s">
        <v>42</v>
      </c>
      <c r="AD192" s="22" t="s">
        <v>42</v>
      </c>
      <c r="AE192" s="22" t="s">
        <v>42</v>
      </c>
      <c r="AF192" s="22" t="s">
        <v>42</v>
      </c>
      <c r="AG192" s="22" t="s">
        <v>42</v>
      </c>
      <c r="AH192" s="22" t="s">
        <v>42</v>
      </c>
      <c r="AJ192" s="22" t="s">
        <v>42</v>
      </c>
      <c r="AK192" s="22" t="s">
        <v>42</v>
      </c>
      <c r="AL192" s="22" t="s">
        <v>42</v>
      </c>
      <c r="AM192" s="22">
        <f t="shared" si="11"/>
        <v>24</v>
      </c>
    </row>
    <row r="193" spans="1:39" hidden="1" x14ac:dyDescent="0.25">
      <c r="A193" s="20" t="s">
        <v>55</v>
      </c>
      <c r="B193" s="38" t="s">
        <v>465</v>
      </c>
      <c r="C193" s="20" t="s">
        <v>466</v>
      </c>
      <c r="D193" s="20" t="s">
        <v>19</v>
      </c>
      <c r="E193" s="20" t="s">
        <v>19</v>
      </c>
      <c r="F193" s="20" t="s">
        <v>58</v>
      </c>
      <c r="G193" s="39"/>
      <c r="H193" s="40"/>
      <c r="I193" s="22" t="s">
        <v>42</v>
      </c>
      <c r="L193" s="22" t="s">
        <v>42</v>
      </c>
      <c r="M193" s="22" t="s">
        <v>42</v>
      </c>
      <c r="O193" s="22" t="s">
        <v>42</v>
      </c>
      <c r="P193" s="22" t="s">
        <v>42</v>
      </c>
      <c r="Q193" s="22" t="s">
        <v>42</v>
      </c>
      <c r="R193" s="22" t="s">
        <v>42</v>
      </c>
      <c r="S193" s="22" t="s">
        <v>42</v>
      </c>
      <c r="T193" s="22" t="s">
        <v>42</v>
      </c>
      <c r="U193" s="22"/>
      <c r="V193" s="22" t="s">
        <v>42</v>
      </c>
      <c r="W193" s="22" t="s">
        <v>42</v>
      </c>
      <c r="X193" s="22" t="s">
        <v>42</v>
      </c>
      <c r="Y193" s="22" t="s">
        <v>42</v>
      </c>
      <c r="Z193" s="22" t="s">
        <v>42</v>
      </c>
      <c r="AA193" s="22" t="s">
        <v>42</v>
      </c>
      <c r="AB193" s="22"/>
      <c r="AC193" s="22" t="s">
        <v>42</v>
      </c>
      <c r="AD193" s="22" t="s">
        <v>42</v>
      </c>
      <c r="AE193" s="22" t="s">
        <v>42</v>
      </c>
      <c r="AF193" s="22" t="s">
        <v>42</v>
      </c>
      <c r="AG193" s="22" t="s">
        <v>42</v>
      </c>
      <c r="AH193" s="22" t="s">
        <v>42</v>
      </c>
      <c r="AJ193" s="22" t="s">
        <v>42</v>
      </c>
      <c r="AK193" s="22" t="s">
        <v>42</v>
      </c>
      <c r="AL193" s="22" t="s">
        <v>42</v>
      </c>
      <c r="AM193" s="22">
        <f t="shared" si="11"/>
        <v>24</v>
      </c>
    </row>
    <row r="194" spans="1:39" hidden="1" x14ac:dyDescent="0.25">
      <c r="A194" s="20" t="s">
        <v>55</v>
      </c>
      <c r="B194" s="38" t="s">
        <v>467</v>
      </c>
      <c r="C194" s="20" t="s">
        <v>468</v>
      </c>
      <c r="D194" s="20" t="s">
        <v>19</v>
      </c>
      <c r="E194" s="20" t="s">
        <v>19</v>
      </c>
      <c r="F194" s="20" t="s">
        <v>58</v>
      </c>
      <c r="G194" s="39"/>
      <c r="H194" s="40"/>
      <c r="I194" s="22" t="s">
        <v>42</v>
      </c>
      <c r="L194" s="22" t="s">
        <v>42</v>
      </c>
      <c r="M194" s="22" t="s">
        <v>42</v>
      </c>
      <c r="O194" s="22" t="s">
        <v>42</v>
      </c>
      <c r="P194" s="22" t="s">
        <v>42</v>
      </c>
      <c r="Q194" s="22" t="s">
        <v>42</v>
      </c>
      <c r="R194" s="22" t="s">
        <v>42</v>
      </c>
      <c r="S194" s="22" t="s">
        <v>42</v>
      </c>
      <c r="T194" s="22" t="s">
        <v>42</v>
      </c>
      <c r="U194" s="22"/>
      <c r="V194" s="22" t="s">
        <v>42</v>
      </c>
      <c r="W194" s="22" t="s">
        <v>42</v>
      </c>
      <c r="X194" s="22" t="s">
        <v>42</v>
      </c>
      <c r="Y194" s="22" t="s">
        <v>42</v>
      </c>
      <c r="Z194" s="22" t="s">
        <v>42</v>
      </c>
      <c r="AA194" s="22" t="s">
        <v>42</v>
      </c>
      <c r="AB194" s="22"/>
      <c r="AC194" s="22" t="s">
        <v>42</v>
      </c>
      <c r="AD194" s="22" t="s">
        <v>42</v>
      </c>
      <c r="AE194" s="22" t="s">
        <v>42</v>
      </c>
      <c r="AF194" s="22" t="s">
        <v>42</v>
      </c>
      <c r="AG194" s="22" t="s">
        <v>42</v>
      </c>
      <c r="AH194" s="22" t="s">
        <v>42</v>
      </c>
      <c r="AJ194" s="22" t="s">
        <v>42</v>
      </c>
      <c r="AK194" s="22" t="s">
        <v>42</v>
      </c>
      <c r="AL194" s="22" t="s">
        <v>42</v>
      </c>
      <c r="AM194" s="22">
        <f t="shared" si="11"/>
        <v>24</v>
      </c>
    </row>
    <row r="195" spans="1:39" hidden="1" x14ac:dyDescent="0.25">
      <c r="A195" s="20" t="s">
        <v>55</v>
      </c>
      <c r="B195" s="38" t="s">
        <v>469</v>
      </c>
      <c r="C195" s="20" t="s">
        <v>470</v>
      </c>
      <c r="D195" s="20" t="s">
        <v>19</v>
      </c>
      <c r="E195" s="20" t="s">
        <v>19</v>
      </c>
      <c r="F195" s="20" t="s">
        <v>58</v>
      </c>
      <c r="G195" s="39"/>
      <c r="H195" s="40"/>
      <c r="I195" s="22" t="s">
        <v>42</v>
      </c>
      <c r="L195" s="22" t="s">
        <v>42</v>
      </c>
      <c r="M195" s="22" t="s">
        <v>42</v>
      </c>
      <c r="O195" s="22" t="s">
        <v>42</v>
      </c>
      <c r="P195" s="22" t="s">
        <v>42</v>
      </c>
      <c r="Q195" s="22" t="s">
        <v>42</v>
      </c>
      <c r="R195" s="22" t="s">
        <v>42</v>
      </c>
      <c r="S195" s="22" t="s">
        <v>42</v>
      </c>
      <c r="T195" s="22" t="s">
        <v>42</v>
      </c>
      <c r="U195" s="22"/>
      <c r="V195" s="22" t="s">
        <v>42</v>
      </c>
      <c r="W195" s="22" t="s">
        <v>42</v>
      </c>
      <c r="X195" s="22" t="s">
        <v>42</v>
      </c>
      <c r="Y195" s="22" t="s">
        <v>42</v>
      </c>
      <c r="Z195" s="22" t="s">
        <v>42</v>
      </c>
      <c r="AA195" s="22" t="s">
        <v>42</v>
      </c>
      <c r="AB195" s="22"/>
      <c r="AC195" s="22" t="s">
        <v>42</v>
      </c>
      <c r="AD195" s="22" t="s">
        <v>42</v>
      </c>
      <c r="AE195" s="22" t="s">
        <v>42</v>
      </c>
      <c r="AF195" s="22" t="s">
        <v>42</v>
      </c>
      <c r="AG195" s="22" t="s">
        <v>42</v>
      </c>
      <c r="AH195" s="22" t="s">
        <v>42</v>
      </c>
      <c r="AJ195" s="22" t="s">
        <v>42</v>
      </c>
      <c r="AK195" s="22" t="s">
        <v>42</v>
      </c>
      <c r="AL195" s="22" t="s">
        <v>42</v>
      </c>
      <c r="AM195" s="22">
        <f t="shared" si="11"/>
        <v>24</v>
      </c>
    </row>
    <row r="196" spans="1:39" hidden="1" x14ac:dyDescent="0.25">
      <c r="A196" s="20" t="s">
        <v>55</v>
      </c>
      <c r="B196" s="38" t="s">
        <v>471</v>
      </c>
      <c r="C196" s="20" t="s">
        <v>472</v>
      </c>
      <c r="D196" s="20" t="s">
        <v>19</v>
      </c>
      <c r="E196" s="20" t="s">
        <v>19</v>
      </c>
      <c r="F196" s="20" t="s">
        <v>58</v>
      </c>
      <c r="G196" s="39"/>
      <c r="H196" s="40"/>
      <c r="I196" s="22" t="s">
        <v>42</v>
      </c>
      <c r="L196" s="22" t="s">
        <v>42</v>
      </c>
      <c r="M196" s="22" t="s">
        <v>42</v>
      </c>
      <c r="O196" s="22" t="s">
        <v>42</v>
      </c>
      <c r="P196" s="22" t="s">
        <v>42</v>
      </c>
      <c r="Q196" s="22" t="s">
        <v>42</v>
      </c>
      <c r="R196" s="22" t="s">
        <v>42</v>
      </c>
      <c r="S196" s="22" t="s">
        <v>42</v>
      </c>
      <c r="T196" s="22" t="s">
        <v>42</v>
      </c>
      <c r="U196" s="22"/>
      <c r="V196" s="22" t="s">
        <v>42</v>
      </c>
      <c r="W196" s="22" t="s">
        <v>42</v>
      </c>
      <c r="X196" s="22" t="s">
        <v>42</v>
      </c>
      <c r="Y196" s="22" t="s">
        <v>42</v>
      </c>
      <c r="Z196" s="22" t="s">
        <v>42</v>
      </c>
      <c r="AA196" s="22"/>
      <c r="AB196" s="22"/>
      <c r="AD196" s="22"/>
      <c r="AE196" s="22"/>
      <c r="AF196" s="22"/>
      <c r="AG196" s="22"/>
      <c r="AH196" s="22"/>
      <c r="AM196" s="22">
        <f t="shared" si="11"/>
        <v>14</v>
      </c>
    </row>
    <row r="197" spans="1:39" x14ac:dyDescent="0.25">
      <c r="A197" s="20" t="s">
        <v>55</v>
      </c>
      <c r="B197" s="38" t="s">
        <v>473</v>
      </c>
      <c r="C197" s="20" t="s">
        <v>474</v>
      </c>
      <c r="D197" s="20" t="s">
        <v>21</v>
      </c>
      <c r="E197" s="20" t="s">
        <v>21</v>
      </c>
      <c r="F197" s="20" t="s">
        <v>58</v>
      </c>
      <c r="G197" s="39"/>
      <c r="H197" s="40"/>
      <c r="I197" s="22" t="s">
        <v>42</v>
      </c>
      <c r="J197" s="33"/>
      <c r="L197" s="22" t="s">
        <v>42</v>
      </c>
      <c r="M197" s="22" t="s">
        <v>42</v>
      </c>
      <c r="N197" s="22" t="s">
        <v>42</v>
      </c>
      <c r="P197" s="22" t="s">
        <v>42</v>
      </c>
      <c r="Q197" s="22" t="s">
        <v>42</v>
      </c>
      <c r="R197" s="22" t="s">
        <v>42</v>
      </c>
      <c r="S197" s="22" t="s">
        <v>42</v>
      </c>
      <c r="T197" s="22" t="s">
        <v>42</v>
      </c>
      <c r="U197" s="22"/>
      <c r="V197" s="22" t="s">
        <v>42</v>
      </c>
      <c r="W197" s="22" t="s">
        <v>42</v>
      </c>
      <c r="X197" s="22"/>
      <c r="Y197" s="22" t="s">
        <v>42</v>
      </c>
      <c r="Z197" s="22" t="s">
        <v>42</v>
      </c>
      <c r="AA197" s="22" t="s">
        <v>42</v>
      </c>
      <c r="AB197" s="22" t="s">
        <v>42</v>
      </c>
      <c r="AC197" s="22" t="s">
        <v>42</v>
      </c>
      <c r="AD197" s="22" t="s">
        <v>42</v>
      </c>
      <c r="AE197" s="22" t="s">
        <v>42</v>
      </c>
      <c r="AF197" s="22" t="s">
        <v>42</v>
      </c>
      <c r="AG197" s="22" t="s">
        <v>42</v>
      </c>
      <c r="AH197" s="22" t="s">
        <v>42</v>
      </c>
      <c r="AI197" s="22" t="s">
        <v>42</v>
      </c>
      <c r="AJ197" s="22" t="s">
        <v>42</v>
      </c>
      <c r="AK197" s="22" t="s">
        <v>42</v>
      </c>
      <c r="AL197" s="22" t="s">
        <v>42</v>
      </c>
      <c r="AM197" s="22">
        <f t="shared" si="11"/>
        <v>25</v>
      </c>
    </row>
    <row r="198" spans="1:39" hidden="1" x14ac:dyDescent="0.25">
      <c r="A198" s="20" t="s">
        <v>55</v>
      </c>
      <c r="B198" s="38" t="s">
        <v>475</v>
      </c>
      <c r="C198" s="20" t="s">
        <v>476</v>
      </c>
      <c r="D198" s="20" t="s">
        <v>10</v>
      </c>
      <c r="E198" s="20" t="s">
        <v>10</v>
      </c>
      <c r="F198" s="20" t="s">
        <v>58</v>
      </c>
      <c r="G198" s="39"/>
      <c r="H198" s="40"/>
      <c r="I198" s="22" t="s">
        <v>42</v>
      </c>
      <c r="L198" s="22" t="s">
        <v>42</v>
      </c>
      <c r="M198" s="22" t="s">
        <v>42</v>
      </c>
      <c r="O198" s="22" t="s">
        <v>42</v>
      </c>
      <c r="P198" s="22" t="s">
        <v>42</v>
      </c>
      <c r="R198" s="22" t="s">
        <v>42</v>
      </c>
      <c r="S198" s="22" t="s">
        <v>42</v>
      </c>
      <c r="T198" s="22" t="s">
        <v>42</v>
      </c>
      <c r="U198" s="22"/>
      <c r="V198" s="22" t="s">
        <v>42</v>
      </c>
      <c r="W198" s="22" t="s">
        <v>42</v>
      </c>
      <c r="X198" s="22" t="s">
        <v>42</v>
      </c>
      <c r="Y198" s="22" t="s">
        <v>42</v>
      </c>
      <c r="Z198" s="22" t="s">
        <v>42</v>
      </c>
      <c r="AA198" s="22" t="s">
        <v>42</v>
      </c>
      <c r="AB198" s="22"/>
      <c r="AC198" s="22" t="s">
        <v>42</v>
      </c>
      <c r="AD198" s="22" t="s">
        <v>42</v>
      </c>
      <c r="AE198" s="22" t="s">
        <v>42</v>
      </c>
      <c r="AF198" s="22" t="s">
        <v>42</v>
      </c>
      <c r="AG198" s="22" t="s">
        <v>42</v>
      </c>
      <c r="AH198" s="22" t="s">
        <v>42</v>
      </c>
      <c r="AJ198" s="22" t="s">
        <v>42</v>
      </c>
      <c r="AK198" s="22" t="s">
        <v>42</v>
      </c>
      <c r="AL198" s="22" t="s">
        <v>42</v>
      </c>
      <c r="AM198" s="22">
        <f t="shared" si="11"/>
        <v>23</v>
      </c>
    </row>
    <row r="199" spans="1:39" hidden="1" x14ac:dyDescent="0.25">
      <c r="A199" s="20" t="s">
        <v>55</v>
      </c>
      <c r="B199" s="38" t="s">
        <v>477</v>
      </c>
      <c r="C199" s="20" t="s">
        <v>478</v>
      </c>
      <c r="D199" s="20" t="s">
        <v>10</v>
      </c>
      <c r="E199" s="20" t="s">
        <v>10</v>
      </c>
      <c r="F199" s="20" t="s">
        <v>58</v>
      </c>
      <c r="G199" s="39"/>
      <c r="H199" s="40"/>
      <c r="I199" s="31" t="s">
        <v>147</v>
      </c>
      <c r="L199" s="29" t="s">
        <v>147</v>
      </c>
      <c r="R199" s="22"/>
      <c r="S199" s="22"/>
      <c r="T199" s="22"/>
      <c r="U199" s="22"/>
      <c r="V199" s="22" t="s">
        <v>42</v>
      </c>
      <c r="W199" s="22"/>
      <c r="X199" s="22"/>
      <c r="Z199" s="22"/>
      <c r="AA199" s="22"/>
      <c r="AB199" s="22"/>
      <c r="AC199" s="22"/>
      <c r="AD199" s="22"/>
      <c r="AE199" s="22"/>
      <c r="AF199" s="22"/>
      <c r="AG199" s="22"/>
      <c r="AH199" s="22"/>
      <c r="AM199" s="22">
        <f t="shared" si="11"/>
        <v>1</v>
      </c>
    </row>
    <row r="200" spans="1:39" hidden="1" x14ac:dyDescent="0.25">
      <c r="A200" s="20" t="s">
        <v>55</v>
      </c>
      <c r="B200" s="38" t="s">
        <v>479</v>
      </c>
      <c r="C200" s="20" t="s">
        <v>480</v>
      </c>
      <c r="D200" s="20" t="s">
        <v>8</v>
      </c>
      <c r="E200" s="20" t="s">
        <v>8</v>
      </c>
      <c r="F200" s="20" t="s">
        <v>58</v>
      </c>
      <c r="G200" s="39"/>
      <c r="H200" s="40"/>
      <c r="I200" s="22" t="s">
        <v>42</v>
      </c>
      <c r="L200" s="22" t="s">
        <v>42</v>
      </c>
      <c r="M200" s="22" t="s">
        <v>42</v>
      </c>
      <c r="O200" s="22" t="s">
        <v>42</v>
      </c>
      <c r="P200" s="22" t="s">
        <v>42</v>
      </c>
      <c r="Q200" s="22" t="s">
        <v>42</v>
      </c>
      <c r="R200" s="22" t="s">
        <v>42</v>
      </c>
      <c r="S200" s="22" t="s">
        <v>42</v>
      </c>
      <c r="T200" s="22" t="s">
        <v>42</v>
      </c>
      <c r="U200" s="22"/>
      <c r="V200" s="22" t="s">
        <v>42</v>
      </c>
      <c r="W200" s="22" t="s">
        <v>42</v>
      </c>
      <c r="X200" s="22" t="s">
        <v>42</v>
      </c>
      <c r="Y200" s="22" t="s">
        <v>42</v>
      </c>
      <c r="Z200" s="22" t="s">
        <v>42</v>
      </c>
      <c r="AA200" s="22" t="s">
        <v>42</v>
      </c>
      <c r="AB200" s="22"/>
      <c r="AC200" s="22" t="s">
        <v>42</v>
      </c>
      <c r="AD200" s="22" t="s">
        <v>42</v>
      </c>
      <c r="AE200" s="22" t="s">
        <v>42</v>
      </c>
      <c r="AF200" s="22" t="s">
        <v>42</v>
      </c>
      <c r="AG200" s="22" t="s">
        <v>42</v>
      </c>
      <c r="AH200" s="22" t="s">
        <v>42</v>
      </c>
      <c r="AJ200" s="22" t="s">
        <v>42</v>
      </c>
      <c r="AK200" s="22" t="s">
        <v>42</v>
      </c>
      <c r="AL200" s="22" t="s">
        <v>42</v>
      </c>
      <c r="AM200" s="22">
        <f t="shared" si="11"/>
        <v>24</v>
      </c>
    </row>
    <row r="201" spans="1:39" hidden="1" x14ac:dyDescent="0.25">
      <c r="A201" s="20" t="s">
        <v>55</v>
      </c>
      <c r="B201" s="38" t="s">
        <v>481</v>
      </c>
      <c r="C201" s="20" t="s">
        <v>482</v>
      </c>
      <c r="D201" s="20" t="s">
        <v>8</v>
      </c>
      <c r="E201" s="20" t="s">
        <v>8</v>
      </c>
      <c r="F201" s="20" t="s">
        <v>58</v>
      </c>
      <c r="G201" s="39"/>
      <c r="H201" s="40"/>
      <c r="I201" s="22" t="s">
        <v>42</v>
      </c>
      <c r="L201" s="22" t="s">
        <v>42</v>
      </c>
      <c r="M201" s="22" t="s">
        <v>42</v>
      </c>
      <c r="O201" s="22" t="s">
        <v>42</v>
      </c>
      <c r="P201" s="22" t="s">
        <v>42</v>
      </c>
      <c r="Q201" s="22" t="s">
        <v>42</v>
      </c>
      <c r="R201" s="22" t="s">
        <v>42</v>
      </c>
      <c r="S201" s="22" t="s">
        <v>42</v>
      </c>
      <c r="T201" s="22" t="s">
        <v>42</v>
      </c>
      <c r="U201" s="22"/>
      <c r="V201" s="22" t="s">
        <v>42</v>
      </c>
      <c r="W201" s="22" t="s">
        <v>42</v>
      </c>
      <c r="X201" s="22" t="s">
        <v>42</v>
      </c>
      <c r="Y201" s="22" t="s">
        <v>42</v>
      </c>
      <c r="Z201" s="22" t="s">
        <v>42</v>
      </c>
      <c r="AA201" s="22" t="s">
        <v>42</v>
      </c>
      <c r="AB201" s="22"/>
      <c r="AC201" s="22" t="s">
        <v>42</v>
      </c>
      <c r="AD201" s="22" t="s">
        <v>42</v>
      </c>
      <c r="AE201" s="22" t="s">
        <v>42</v>
      </c>
      <c r="AF201" s="22" t="s">
        <v>42</v>
      </c>
      <c r="AG201" s="22" t="s">
        <v>42</v>
      </c>
      <c r="AH201" s="22" t="s">
        <v>42</v>
      </c>
      <c r="AJ201" s="22" t="s">
        <v>42</v>
      </c>
      <c r="AK201" s="22" t="s">
        <v>42</v>
      </c>
      <c r="AL201" s="22" t="s">
        <v>42</v>
      </c>
      <c r="AM201" s="22">
        <f t="shared" si="11"/>
        <v>24</v>
      </c>
    </row>
    <row r="202" spans="1:39" hidden="1" x14ac:dyDescent="0.25">
      <c r="A202" s="20" t="s">
        <v>55</v>
      </c>
      <c r="B202" s="38" t="s">
        <v>483</v>
      </c>
      <c r="C202" s="20" t="s">
        <v>484</v>
      </c>
      <c r="D202" s="20" t="s">
        <v>23</v>
      </c>
      <c r="E202" s="20" t="s">
        <v>23</v>
      </c>
      <c r="F202" s="20" t="s">
        <v>58</v>
      </c>
      <c r="G202" s="39"/>
      <c r="H202" s="40"/>
      <c r="I202" s="22" t="s">
        <v>42</v>
      </c>
      <c r="J202" s="33"/>
      <c r="L202" s="22" t="s">
        <v>42</v>
      </c>
      <c r="M202" s="22" t="s">
        <v>42</v>
      </c>
      <c r="O202" s="22" t="s">
        <v>42</v>
      </c>
      <c r="P202" s="22" t="s">
        <v>42</v>
      </c>
      <c r="R202" s="22"/>
      <c r="S202" s="22"/>
      <c r="T202" s="22"/>
      <c r="U202" s="22"/>
      <c r="V202" s="22" t="s">
        <v>42</v>
      </c>
      <c r="W202" s="22"/>
      <c r="X202" s="22"/>
      <c r="Y202" s="22" t="s">
        <v>42</v>
      </c>
      <c r="Z202" s="22" t="s">
        <v>42</v>
      </c>
      <c r="AA202" s="22" t="s">
        <v>42</v>
      </c>
      <c r="AB202" s="22"/>
      <c r="AC202" s="22" t="s">
        <v>42</v>
      </c>
      <c r="AD202" s="22" t="s">
        <v>42</v>
      </c>
      <c r="AE202" s="22" t="s">
        <v>42</v>
      </c>
      <c r="AF202" s="22" t="s">
        <v>42</v>
      </c>
      <c r="AG202" s="22" t="s">
        <v>42</v>
      </c>
      <c r="AH202" s="22" t="s">
        <v>42</v>
      </c>
      <c r="AJ202" s="22" t="s">
        <v>42</v>
      </c>
      <c r="AK202" s="22" t="s">
        <v>42</v>
      </c>
      <c r="AL202" s="22" t="s">
        <v>42</v>
      </c>
      <c r="AM202" s="22">
        <f t="shared" si="11"/>
        <v>18</v>
      </c>
    </row>
    <row r="203" spans="1:39" hidden="1" x14ac:dyDescent="0.25">
      <c r="A203" s="20" t="s">
        <v>55</v>
      </c>
      <c r="B203" s="38" t="s">
        <v>485</v>
      </c>
      <c r="C203" s="20" t="s">
        <v>486</v>
      </c>
      <c r="D203" s="20" t="s">
        <v>23</v>
      </c>
      <c r="E203" s="20" t="s">
        <v>23</v>
      </c>
      <c r="F203" s="20" t="s">
        <v>58</v>
      </c>
      <c r="G203" s="39"/>
      <c r="H203" s="40"/>
      <c r="I203" s="22" t="s">
        <v>42</v>
      </c>
      <c r="L203" s="22" t="s">
        <v>42</v>
      </c>
      <c r="M203" s="22" t="s">
        <v>42</v>
      </c>
      <c r="O203" s="22" t="s">
        <v>42</v>
      </c>
      <c r="P203" s="22" t="s">
        <v>42</v>
      </c>
      <c r="R203" s="22"/>
      <c r="T203" s="22"/>
      <c r="U203" s="22"/>
      <c r="V203" s="22" t="s">
        <v>42</v>
      </c>
      <c r="W203" s="22"/>
      <c r="X203" s="22"/>
      <c r="Y203" s="22"/>
      <c r="Z203" s="22"/>
      <c r="AA203" s="22"/>
      <c r="AB203" s="22"/>
      <c r="AC203" s="22"/>
      <c r="AD203" s="22" t="s">
        <v>42</v>
      </c>
      <c r="AE203" s="22" t="s">
        <v>42</v>
      </c>
      <c r="AF203" s="22" t="s">
        <v>42</v>
      </c>
      <c r="AG203" s="22" t="s">
        <v>42</v>
      </c>
      <c r="AH203" s="22" t="s">
        <v>42</v>
      </c>
      <c r="AJ203" s="22" t="s">
        <v>42</v>
      </c>
      <c r="AK203" s="22" t="s">
        <v>42</v>
      </c>
      <c r="AL203" s="22" t="s">
        <v>42</v>
      </c>
      <c r="AM203" s="22">
        <f t="shared" si="11"/>
        <v>14</v>
      </c>
    </row>
    <row r="204" spans="1:39" x14ac:dyDescent="0.25">
      <c r="A204" s="20" t="s">
        <v>55</v>
      </c>
      <c r="B204" s="38" t="s">
        <v>487</v>
      </c>
      <c r="C204" s="20" t="s">
        <v>488</v>
      </c>
      <c r="D204" s="20" t="s">
        <v>21</v>
      </c>
      <c r="E204" s="20" t="s">
        <v>21</v>
      </c>
      <c r="F204" s="20" t="s">
        <v>58</v>
      </c>
      <c r="G204" s="39"/>
      <c r="H204" s="40"/>
      <c r="I204" s="22" t="s">
        <v>42</v>
      </c>
      <c r="L204" s="22" t="s">
        <v>42</v>
      </c>
      <c r="M204" s="22" t="s">
        <v>42</v>
      </c>
      <c r="N204" s="22" t="s">
        <v>42</v>
      </c>
      <c r="O204" s="22" t="s">
        <v>42</v>
      </c>
      <c r="Q204" s="22" t="s">
        <v>42</v>
      </c>
      <c r="R204" s="22" t="s">
        <v>42</v>
      </c>
      <c r="S204" s="22" t="s">
        <v>42</v>
      </c>
      <c r="T204" s="22" t="s">
        <v>42</v>
      </c>
      <c r="U204" s="22"/>
      <c r="V204" s="22" t="s">
        <v>42</v>
      </c>
      <c r="W204" s="22" t="s">
        <v>42</v>
      </c>
      <c r="X204" s="22" t="s">
        <v>42</v>
      </c>
      <c r="Y204" s="22" t="s">
        <v>42</v>
      </c>
      <c r="Z204" s="22" t="s">
        <v>42</v>
      </c>
      <c r="AA204" s="22" t="s">
        <v>42</v>
      </c>
      <c r="AB204" s="22" t="s">
        <v>42</v>
      </c>
      <c r="AC204" s="22" t="s">
        <v>42</v>
      </c>
      <c r="AD204" s="22" t="s">
        <v>42</v>
      </c>
      <c r="AE204" s="22" t="s">
        <v>42</v>
      </c>
      <c r="AF204" s="22" t="s">
        <v>42</v>
      </c>
      <c r="AG204" s="22" t="s">
        <v>42</v>
      </c>
      <c r="AH204" s="22" t="s">
        <v>42</v>
      </c>
      <c r="AI204" s="22" t="s">
        <v>42</v>
      </c>
      <c r="AJ204" s="22" t="s">
        <v>42</v>
      </c>
      <c r="AK204" s="22" t="s">
        <v>42</v>
      </c>
      <c r="AL204" s="22" t="s">
        <v>42</v>
      </c>
      <c r="AM204" s="22">
        <f t="shared" si="11"/>
        <v>26</v>
      </c>
    </row>
    <row r="205" spans="1:39" hidden="1" x14ac:dyDescent="0.25">
      <c r="A205" s="20" t="s">
        <v>55</v>
      </c>
      <c r="B205" s="38" t="s">
        <v>489</v>
      </c>
      <c r="C205" s="20" t="s">
        <v>490</v>
      </c>
      <c r="D205" s="20" t="s">
        <v>21</v>
      </c>
      <c r="E205" s="20" t="s">
        <v>21</v>
      </c>
      <c r="F205" s="20" t="s">
        <v>58</v>
      </c>
      <c r="G205" s="39"/>
      <c r="H205" s="40"/>
      <c r="I205" s="22" t="s">
        <v>42</v>
      </c>
      <c r="J205" s="33"/>
      <c r="L205" s="22" t="s">
        <v>42</v>
      </c>
      <c r="M205" s="22" t="s">
        <v>42</v>
      </c>
      <c r="O205" s="22" t="s">
        <v>42</v>
      </c>
      <c r="P205" s="22" t="s">
        <v>42</v>
      </c>
      <c r="Q205" s="22" t="s">
        <v>42</v>
      </c>
      <c r="R205" s="22" t="s">
        <v>42</v>
      </c>
      <c r="S205" s="22" t="s">
        <v>42</v>
      </c>
      <c r="T205" s="22" t="s">
        <v>42</v>
      </c>
      <c r="U205" s="22"/>
      <c r="V205" s="22" t="s">
        <v>42</v>
      </c>
      <c r="W205" s="22" t="s">
        <v>42</v>
      </c>
      <c r="X205" s="22" t="s">
        <v>42</v>
      </c>
      <c r="Y205" s="22" t="s">
        <v>42</v>
      </c>
      <c r="Z205" s="22" t="s">
        <v>42</v>
      </c>
      <c r="AA205" s="22" t="s">
        <v>42</v>
      </c>
      <c r="AB205" s="22"/>
      <c r="AC205" s="22" t="s">
        <v>42</v>
      </c>
      <c r="AD205" s="22" t="s">
        <v>42</v>
      </c>
      <c r="AE205" s="22" t="s">
        <v>42</v>
      </c>
      <c r="AF205" s="22" t="s">
        <v>42</v>
      </c>
      <c r="AG205" s="22" t="s">
        <v>42</v>
      </c>
      <c r="AH205" s="22" t="s">
        <v>42</v>
      </c>
      <c r="AJ205" s="22" t="s">
        <v>42</v>
      </c>
      <c r="AK205" s="22" t="s">
        <v>42</v>
      </c>
      <c r="AL205" s="22" t="s">
        <v>42</v>
      </c>
      <c r="AM205" s="22">
        <f t="shared" si="11"/>
        <v>24</v>
      </c>
    </row>
    <row r="206" spans="1:39" x14ac:dyDescent="0.25">
      <c r="A206" s="20" t="s">
        <v>55</v>
      </c>
      <c r="B206" s="38" t="s">
        <v>491</v>
      </c>
      <c r="C206" s="20" t="s">
        <v>492</v>
      </c>
      <c r="D206" s="20" t="s">
        <v>21</v>
      </c>
      <c r="E206" s="20" t="s">
        <v>21</v>
      </c>
      <c r="F206" s="20" t="s">
        <v>58</v>
      </c>
      <c r="G206" s="39"/>
      <c r="H206" s="40"/>
      <c r="I206" s="22" t="s">
        <v>42</v>
      </c>
      <c r="L206" s="22" t="s">
        <v>42</v>
      </c>
      <c r="M206" s="22" t="s">
        <v>42</v>
      </c>
      <c r="O206" s="22" t="s">
        <v>42</v>
      </c>
      <c r="P206" s="22" t="s">
        <v>42</v>
      </c>
      <c r="Q206" s="22" t="s">
        <v>42</v>
      </c>
      <c r="R206" s="22" t="s">
        <v>42</v>
      </c>
      <c r="S206" s="22" t="s">
        <v>42</v>
      </c>
      <c r="T206" s="22" t="s">
        <v>42</v>
      </c>
      <c r="U206" s="22"/>
      <c r="V206" s="22" t="s">
        <v>42</v>
      </c>
      <c r="W206" s="22" t="s">
        <v>42</v>
      </c>
      <c r="X206" s="22" t="s">
        <v>42</v>
      </c>
      <c r="Y206" s="22" t="s">
        <v>42</v>
      </c>
      <c r="Z206" s="22" t="s">
        <v>42</v>
      </c>
      <c r="AA206" s="22" t="s">
        <v>42</v>
      </c>
      <c r="AB206" s="22" t="s">
        <v>42</v>
      </c>
      <c r="AC206" s="22" t="s">
        <v>42</v>
      </c>
      <c r="AD206" s="22" t="s">
        <v>42</v>
      </c>
      <c r="AE206" s="22" t="s">
        <v>42</v>
      </c>
      <c r="AF206" s="22" t="s">
        <v>42</v>
      </c>
      <c r="AG206" s="22" t="s">
        <v>42</v>
      </c>
      <c r="AH206" s="22" t="s">
        <v>42</v>
      </c>
      <c r="AI206" s="22" t="s">
        <v>42</v>
      </c>
      <c r="AJ206" s="22" t="s">
        <v>42</v>
      </c>
      <c r="AK206" s="22" t="s">
        <v>42</v>
      </c>
      <c r="AL206" s="22" t="s">
        <v>42</v>
      </c>
      <c r="AM206" s="22">
        <f t="shared" si="11"/>
        <v>26</v>
      </c>
    </row>
    <row r="207" spans="1:39" x14ac:dyDescent="0.25">
      <c r="A207" s="20" t="s">
        <v>55</v>
      </c>
      <c r="B207" s="38" t="s">
        <v>498</v>
      </c>
      <c r="C207" s="20" t="s">
        <v>499</v>
      </c>
      <c r="D207" s="20" t="s">
        <v>21</v>
      </c>
      <c r="E207" s="20" t="s">
        <v>21</v>
      </c>
      <c r="F207" s="20" t="s">
        <v>58</v>
      </c>
      <c r="G207" s="39"/>
      <c r="H207" s="40"/>
      <c r="I207" s="22" t="s">
        <v>42</v>
      </c>
      <c r="L207" s="22" t="s">
        <v>42</v>
      </c>
      <c r="M207" s="22" t="s">
        <v>42</v>
      </c>
      <c r="O207" s="22" t="s">
        <v>42</v>
      </c>
      <c r="P207" s="22" t="s">
        <v>42</v>
      </c>
      <c r="Q207" s="22" t="s">
        <v>42</v>
      </c>
      <c r="R207" s="22" t="s">
        <v>42</v>
      </c>
      <c r="S207" s="22" t="s">
        <v>42</v>
      </c>
      <c r="T207" s="22" t="s">
        <v>42</v>
      </c>
      <c r="U207" s="22"/>
      <c r="V207" s="22" t="s">
        <v>42</v>
      </c>
      <c r="W207" s="22" t="s">
        <v>42</v>
      </c>
      <c r="X207" s="22"/>
      <c r="Y207" s="22" t="s">
        <v>42</v>
      </c>
      <c r="Z207" s="22" t="s">
        <v>42</v>
      </c>
      <c r="AA207" s="22" t="s">
        <v>42</v>
      </c>
      <c r="AB207" s="22"/>
      <c r="AC207" s="22" t="s">
        <v>42</v>
      </c>
      <c r="AD207" s="22" t="s">
        <v>42</v>
      </c>
      <c r="AE207" s="22" t="s">
        <v>42</v>
      </c>
      <c r="AF207" s="22" t="s">
        <v>42</v>
      </c>
      <c r="AG207" s="22" t="s">
        <v>42</v>
      </c>
      <c r="AH207" s="22" t="s">
        <v>42</v>
      </c>
      <c r="AI207" s="22" t="s">
        <v>42</v>
      </c>
      <c r="AJ207" s="22" t="s">
        <v>42</v>
      </c>
      <c r="AK207" s="22" t="s">
        <v>42</v>
      </c>
      <c r="AL207" s="22" t="s">
        <v>42</v>
      </c>
      <c r="AM207" s="22">
        <f t="shared" ref="AM207:AM270" si="12">COUNTA(I207:AL207)-COUNTIF(I207:AL207,"CT")</f>
        <v>24</v>
      </c>
    </row>
    <row r="208" spans="1:39" hidden="1" x14ac:dyDescent="0.25">
      <c r="A208" s="20" t="s">
        <v>55</v>
      </c>
      <c r="B208" s="38" t="s">
        <v>500</v>
      </c>
      <c r="C208" s="20" t="s">
        <v>501</v>
      </c>
      <c r="D208" s="20" t="s">
        <v>8</v>
      </c>
      <c r="E208" s="20" t="s">
        <v>8</v>
      </c>
      <c r="F208" s="20" t="s">
        <v>58</v>
      </c>
      <c r="G208" s="39"/>
      <c r="H208" s="40"/>
      <c r="I208" s="22" t="s">
        <v>42</v>
      </c>
      <c r="L208" s="22" t="s">
        <v>42</v>
      </c>
      <c r="M208" s="22" t="s">
        <v>42</v>
      </c>
      <c r="O208" s="22" t="s">
        <v>42</v>
      </c>
      <c r="P208" s="22" t="s">
        <v>42</v>
      </c>
      <c r="Q208" s="22" t="s">
        <v>42</v>
      </c>
      <c r="R208" s="22" t="s">
        <v>42</v>
      </c>
      <c r="S208" s="22" t="s">
        <v>42</v>
      </c>
      <c r="T208" s="22" t="s">
        <v>42</v>
      </c>
      <c r="U208" s="22"/>
      <c r="V208" s="22" t="s">
        <v>42</v>
      </c>
      <c r="W208" s="22" t="s">
        <v>42</v>
      </c>
      <c r="X208" s="22"/>
      <c r="Y208" s="22" t="s">
        <v>42</v>
      </c>
      <c r="Z208" s="22" t="s">
        <v>42</v>
      </c>
      <c r="AA208" s="22" t="s">
        <v>42</v>
      </c>
      <c r="AB208" s="22"/>
      <c r="AC208" s="22" t="s">
        <v>42</v>
      </c>
      <c r="AD208" s="22" t="s">
        <v>42</v>
      </c>
      <c r="AE208" s="22" t="s">
        <v>42</v>
      </c>
      <c r="AF208" s="22" t="s">
        <v>42</v>
      </c>
      <c r="AG208" s="22" t="s">
        <v>42</v>
      </c>
      <c r="AH208" s="22" t="s">
        <v>42</v>
      </c>
      <c r="AJ208" s="22" t="s">
        <v>42</v>
      </c>
      <c r="AK208" s="22" t="s">
        <v>42</v>
      </c>
      <c r="AL208" s="22" t="s">
        <v>42</v>
      </c>
      <c r="AM208" s="22">
        <f t="shared" si="12"/>
        <v>23</v>
      </c>
    </row>
    <row r="209" spans="1:39" hidden="1" x14ac:dyDescent="0.25">
      <c r="A209" s="20" t="s">
        <v>55</v>
      </c>
      <c r="B209" s="38" t="s">
        <v>502</v>
      </c>
      <c r="C209" s="20" t="s">
        <v>503</v>
      </c>
      <c r="D209" s="20" t="s">
        <v>14</v>
      </c>
      <c r="E209" s="20" t="s">
        <v>14</v>
      </c>
      <c r="F209" s="20" t="s">
        <v>58</v>
      </c>
      <c r="G209" s="39"/>
      <c r="H209" s="40"/>
      <c r="I209" s="22" t="s">
        <v>42</v>
      </c>
      <c r="L209" s="22" t="s">
        <v>42</v>
      </c>
      <c r="M209" s="22" t="s">
        <v>42</v>
      </c>
      <c r="Q209" s="22" t="s">
        <v>42</v>
      </c>
      <c r="R209" s="22" t="s">
        <v>42</v>
      </c>
      <c r="S209" s="22" t="s">
        <v>42</v>
      </c>
      <c r="T209" s="22" t="s">
        <v>42</v>
      </c>
      <c r="U209" s="22"/>
      <c r="V209" s="22" t="s">
        <v>42</v>
      </c>
      <c r="W209" s="22" t="s">
        <v>42</v>
      </c>
      <c r="X209" s="22" t="s">
        <v>42</v>
      </c>
      <c r="Y209" s="22" t="s">
        <v>42</v>
      </c>
      <c r="Z209" s="22" t="s">
        <v>42</v>
      </c>
      <c r="AA209" s="22" t="s">
        <v>42</v>
      </c>
      <c r="AB209" s="22"/>
      <c r="AC209" s="22"/>
      <c r="AD209" s="22" t="s">
        <v>42</v>
      </c>
      <c r="AE209" s="22"/>
      <c r="AF209" s="22"/>
      <c r="AG209" s="22" t="s">
        <v>42</v>
      </c>
      <c r="AH209" s="22" t="s">
        <v>42</v>
      </c>
      <c r="AJ209" s="22" t="s">
        <v>42</v>
      </c>
      <c r="AK209" s="22" t="s">
        <v>42</v>
      </c>
      <c r="AM209" s="22">
        <f t="shared" si="12"/>
        <v>18</v>
      </c>
    </row>
    <row r="210" spans="1:39" x14ac:dyDescent="0.25">
      <c r="A210" s="20" t="s">
        <v>55</v>
      </c>
      <c r="B210" s="38" t="s">
        <v>504</v>
      </c>
      <c r="C210" s="20" t="s">
        <v>505</v>
      </c>
      <c r="D210" s="20" t="s">
        <v>8</v>
      </c>
      <c r="E210" s="20" t="s">
        <v>8</v>
      </c>
      <c r="F210" s="20" t="s">
        <v>58</v>
      </c>
      <c r="G210" s="39"/>
      <c r="H210" s="40"/>
      <c r="I210" s="22" t="s">
        <v>42</v>
      </c>
      <c r="L210" s="22" t="s">
        <v>42</v>
      </c>
      <c r="M210" s="22" t="s">
        <v>42</v>
      </c>
      <c r="O210" s="22" t="s">
        <v>42</v>
      </c>
      <c r="P210" s="22" t="s">
        <v>42</v>
      </c>
      <c r="Q210" s="22" t="s">
        <v>42</v>
      </c>
      <c r="R210" s="22" t="s">
        <v>42</v>
      </c>
      <c r="S210" s="22" t="s">
        <v>42</v>
      </c>
      <c r="T210" s="22" t="s">
        <v>42</v>
      </c>
      <c r="U210" s="22"/>
      <c r="V210" s="22" t="s">
        <v>42</v>
      </c>
      <c r="W210" s="22" t="s">
        <v>42</v>
      </c>
      <c r="X210" s="22" t="s">
        <v>42</v>
      </c>
      <c r="Y210" s="22" t="s">
        <v>42</v>
      </c>
      <c r="Z210" s="22" t="s">
        <v>42</v>
      </c>
      <c r="AA210" s="22" t="s">
        <v>42</v>
      </c>
      <c r="AB210" s="22"/>
      <c r="AC210" s="22" t="s">
        <v>42</v>
      </c>
      <c r="AD210" s="22" t="s">
        <v>42</v>
      </c>
      <c r="AE210" s="22" t="s">
        <v>42</v>
      </c>
      <c r="AF210" s="22" t="s">
        <v>42</v>
      </c>
      <c r="AG210" s="22" t="s">
        <v>42</v>
      </c>
      <c r="AH210" s="22" t="s">
        <v>42</v>
      </c>
      <c r="AI210" s="22" t="s">
        <v>42</v>
      </c>
      <c r="AJ210" s="22" t="s">
        <v>42</v>
      </c>
      <c r="AK210" s="22" t="s">
        <v>42</v>
      </c>
      <c r="AL210" s="22" t="s">
        <v>42</v>
      </c>
      <c r="AM210" s="22">
        <f t="shared" si="12"/>
        <v>25</v>
      </c>
    </row>
    <row r="211" spans="1:39" hidden="1" x14ac:dyDescent="0.25">
      <c r="A211" s="20" t="s">
        <v>55</v>
      </c>
      <c r="B211" s="38" t="s">
        <v>506</v>
      </c>
      <c r="C211" s="20" t="s">
        <v>507</v>
      </c>
      <c r="D211" s="20" t="s">
        <v>10</v>
      </c>
      <c r="E211" s="20" t="s">
        <v>10</v>
      </c>
      <c r="F211" s="20" t="s">
        <v>58</v>
      </c>
      <c r="G211" s="39"/>
      <c r="H211" s="40"/>
      <c r="I211" s="22" t="s">
        <v>42</v>
      </c>
      <c r="L211" s="22" t="s">
        <v>42</v>
      </c>
      <c r="M211" s="22" t="s">
        <v>42</v>
      </c>
      <c r="O211" s="22" t="s">
        <v>42</v>
      </c>
      <c r="P211" s="22" t="s">
        <v>42</v>
      </c>
      <c r="Q211" s="22" t="s">
        <v>42</v>
      </c>
      <c r="R211" s="22" t="s">
        <v>42</v>
      </c>
      <c r="S211" s="22" t="s">
        <v>42</v>
      </c>
      <c r="T211" s="22" t="s">
        <v>42</v>
      </c>
      <c r="U211" s="22"/>
      <c r="V211" s="22" t="s">
        <v>42</v>
      </c>
      <c r="W211" s="22" t="s">
        <v>42</v>
      </c>
      <c r="X211" s="22" t="s">
        <v>42</v>
      </c>
      <c r="Y211" s="22" t="s">
        <v>42</v>
      </c>
      <c r="Z211" s="22" t="s">
        <v>42</v>
      </c>
      <c r="AA211" s="22" t="s">
        <v>42</v>
      </c>
      <c r="AB211" s="22"/>
      <c r="AC211" s="22" t="s">
        <v>42</v>
      </c>
      <c r="AD211" s="22" t="s">
        <v>42</v>
      </c>
      <c r="AE211" s="22" t="s">
        <v>42</v>
      </c>
      <c r="AF211" s="22" t="s">
        <v>42</v>
      </c>
      <c r="AG211" s="22" t="s">
        <v>42</v>
      </c>
      <c r="AH211" s="22" t="s">
        <v>42</v>
      </c>
      <c r="AJ211" s="22" t="s">
        <v>42</v>
      </c>
      <c r="AK211" s="22" t="s">
        <v>42</v>
      </c>
      <c r="AL211" s="22" t="s">
        <v>42</v>
      </c>
      <c r="AM211" s="22">
        <f t="shared" si="12"/>
        <v>24</v>
      </c>
    </row>
    <row r="212" spans="1:39" hidden="1" x14ac:dyDescent="0.25">
      <c r="A212" s="20" t="s">
        <v>55</v>
      </c>
      <c r="B212" s="38" t="s">
        <v>508</v>
      </c>
      <c r="C212" s="20" t="s">
        <v>509</v>
      </c>
      <c r="D212" s="20" t="s">
        <v>9</v>
      </c>
      <c r="E212" s="20" t="s">
        <v>7</v>
      </c>
      <c r="F212" s="20" t="s">
        <v>63</v>
      </c>
      <c r="G212" s="39"/>
      <c r="H212" s="40"/>
      <c r="I212" s="33" t="s">
        <v>38</v>
      </c>
      <c r="J212" s="33"/>
      <c r="K212" s="33"/>
      <c r="L212" s="33" t="s">
        <v>38</v>
      </c>
      <c r="M212" s="33" t="s">
        <v>38</v>
      </c>
      <c r="N212" s="33"/>
      <c r="O212" s="33" t="s">
        <v>38</v>
      </c>
      <c r="P212" s="33" t="s">
        <v>38</v>
      </c>
      <c r="Q212" s="33" t="s">
        <v>38</v>
      </c>
      <c r="R212" s="33" t="s">
        <v>38</v>
      </c>
      <c r="S212" s="33" t="s">
        <v>38</v>
      </c>
      <c r="T212" s="33"/>
      <c r="U212" s="22"/>
      <c r="V212" s="33" t="s">
        <v>38</v>
      </c>
      <c r="W212" s="33" t="s">
        <v>38</v>
      </c>
      <c r="X212" s="33" t="s">
        <v>38</v>
      </c>
      <c r="Y212" s="33" t="s">
        <v>38</v>
      </c>
      <c r="Z212" s="33" t="s">
        <v>38</v>
      </c>
      <c r="AA212" s="33" t="s">
        <v>38</v>
      </c>
      <c r="AB212" s="33"/>
      <c r="AC212" s="33" t="s">
        <v>38</v>
      </c>
      <c r="AD212" s="33" t="s">
        <v>38</v>
      </c>
      <c r="AE212" s="33" t="s">
        <v>38</v>
      </c>
      <c r="AF212" s="33" t="s">
        <v>38</v>
      </c>
      <c r="AG212" s="33" t="s">
        <v>38</v>
      </c>
      <c r="AH212" s="33" t="s">
        <v>38</v>
      </c>
      <c r="AI212" s="33"/>
      <c r="AJ212" s="33" t="s">
        <v>38</v>
      </c>
      <c r="AK212" s="33" t="s">
        <v>38</v>
      </c>
      <c r="AL212" s="33" t="s">
        <v>38</v>
      </c>
      <c r="AM212" s="22">
        <f t="shared" si="12"/>
        <v>23</v>
      </c>
    </row>
    <row r="213" spans="1:39" hidden="1" x14ac:dyDescent="0.25">
      <c r="A213" s="20" t="s">
        <v>55</v>
      </c>
      <c r="B213" s="38" t="s">
        <v>510</v>
      </c>
      <c r="C213" s="20" t="s">
        <v>374</v>
      </c>
      <c r="D213" s="20" t="s">
        <v>10</v>
      </c>
      <c r="E213" s="20" t="s">
        <v>10</v>
      </c>
      <c r="F213" s="20" t="s">
        <v>58</v>
      </c>
      <c r="G213" s="39"/>
      <c r="H213" s="40"/>
      <c r="I213" s="22" t="s">
        <v>42</v>
      </c>
      <c r="L213" s="22" t="s">
        <v>42</v>
      </c>
      <c r="P213" s="22" t="s">
        <v>42</v>
      </c>
      <c r="Q213" s="22" t="s">
        <v>42</v>
      </c>
      <c r="R213" s="22" t="s">
        <v>42</v>
      </c>
      <c r="S213" s="22" t="s">
        <v>42</v>
      </c>
      <c r="T213" s="22" t="s">
        <v>42</v>
      </c>
      <c r="U213" s="22"/>
      <c r="V213" s="22" t="s">
        <v>42</v>
      </c>
      <c r="W213" s="22" t="s">
        <v>42</v>
      </c>
      <c r="X213" s="22" t="s">
        <v>42</v>
      </c>
      <c r="Y213" s="22" t="s">
        <v>42</v>
      </c>
      <c r="Z213" s="22" t="s">
        <v>42</v>
      </c>
      <c r="AA213" s="22" t="s">
        <v>42</v>
      </c>
      <c r="AB213" s="22"/>
      <c r="AC213" s="22" t="s">
        <v>42</v>
      </c>
      <c r="AD213" s="22" t="s">
        <v>42</v>
      </c>
      <c r="AE213" s="22" t="s">
        <v>42</v>
      </c>
      <c r="AF213" s="22" t="s">
        <v>42</v>
      </c>
      <c r="AG213" s="22" t="s">
        <v>42</v>
      </c>
      <c r="AH213" s="22" t="s">
        <v>42</v>
      </c>
      <c r="AJ213" s="22" t="s">
        <v>42</v>
      </c>
      <c r="AK213" s="22" t="s">
        <v>42</v>
      </c>
      <c r="AL213" s="22" t="s">
        <v>42</v>
      </c>
      <c r="AM213" s="22">
        <f t="shared" si="12"/>
        <v>22</v>
      </c>
    </row>
    <row r="214" spans="1:39" hidden="1" x14ac:dyDescent="0.25">
      <c r="A214" s="20" t="s">
        <v>55</v>
      </c>
      <c r="B214" s="38" t="s">
        <v>513</v>
      </c>
      <c r="C214" s="20" t="s">
        <v>514</v>
      </c>
      <c r="D214" s="20" t="s">
        <v>10</v>
      </c>
      <c r="E214" s="20" t="s">
        <v>10</v>
      </c>
      <c r="F214" s="20" t="s">
        <v>58</v>
      </c>
      <c r="G214" s="39"/>
      <c r="H214" s="40"/>
      <c r="I214" s="22" t="s">
        <v>42</v>
      </c>
      <c r="L214" s="22" t="s">
        <v>42</v>
      </c>
      <c r="M214" s="22" t="s">
        <v>42</v>
      </c>
      <c r="O214" s="22" t="s">
        <v>42</v>
      </c>
      <c r="P214" s="22" t="s">
        <v>42</v>
      </c>
      <c r="Q214" s="22" t="s">
        <v>42</v>
      </c>
      <c r="R214" s="22" t="s">
        <v>42</v>
      </c>
      <c r="S214" s="22" t="s">
        <v>42</v>
      </c>
      <c r="T214" s="22" t="s">
        <v>42</v>
      </c>
      <c r="U214" s="22"/>
      <c r="V214" s="22" t="s">
        <v>42</v>
      </c>
      <c r="W214" s="22" t="s">
        <v>42</v>
      </c>
      <c r="X214" s="22" t="s">
        <v>42</v>
      </c>
      <c r="Y214" s="22" t="s">
        <v>42</v>
      </c>
      <c r="Z214" s="22" t="s">
        <v>42</v>
      </c>
      <c r="AA214" s="22" t="s">
        <v>42</v>
      </c>
      <c r="AB214" s="22"/>
      <c r="AC214" s="22" t="s">
        <v>42</v>
      </c>
      <c r="AD214" s="22" t="s">
        <v>42</v>
      </c>
      <c r="AE214" s="22" t="s">
        <v>42</v>
      </c>
      <c r="AF214" s="22" t="s">
        <v>42</v>
      </c>
      <c r="AG214" s="22" t="s">
        <v>42</v>
      </c>
      <c r="AH214" s="22" t="s">
        <v>42</v>
      </c>
      <c r="AJ214" s="22" t="s">
        <v>42</v>
      </c>
      <c r="AK214" s="22" t="s">
        <v>42</v>
      </c>
      <c r="AL214" s="22" t="s">
        <v>42</v>
      </c>
      <c r="AM214" s="22">
        <f t="shared" si="12"/>
        <v>24</v>
      </c>
    </row>
    <row r="215" spans="1:39" hidden="1" x14ac:dyDescent="0.25">
      <c r="A215" s="20" t="s">
        <v>55</v>
      </c>
      <c r="B215" s="38" t="s">
        <v>515</v>
      </c>
      <c r="C215" s="20" t="s">
        <v>516</v>
      </c>
      <c r="D215" s="20" t="s">
        <v>10</v>
      </c>
      <c r="E215" s="20" t="s">
        <v>10</v>
      </c>
      <c r="F215" s="20" t="s">
        <v>58</v>
      </c>
      <c r="G215" s="39"/>
      <c r="H215" s="40"/>
      <c r="I215" s="22" t="s">
        <v>42</v>
      </c>
      <c r="L215" s="22" t="s">
        <v>42</v>
      </c>
      <c r="M215" s="22" t="s">
        <v>42</v>
      </c>
      <c r="O215" s="22" t="s">
        <v>42</v>
      </c>
      <c r="P215" s="22" t="s">
        <v>42</v>
      </c>
      <c r="Q215" s="22" t="s">
        <v>42</v>
      </c>
      <c r="R215" s="22" t="s">
        <v>42</v>
      </c>
      <c r="S215" s="22" t="s">
        <v>42</v>
      </c>
      <c r="T215" s="22" t="s">
        <v>42</v>
      </c>
      <c r="U215" s="22"/>
      <c r="V215" s="22" t="s">
        <v>147</v>
      </c>
      <c r="W215" s="31" t="s">
        <v>147</v>
      </c>
      <c r="X215" s="31" t="s">
        <v>147</v>
      </c>
      <c r="Y215" s="31" t="s">
        <v>147</v>
      </c>
      <c r="Z215" s="31" t="s">
        <v>147</v>
      </c>
      <c r="AA215" s="22"/>
      <c r="AB215" s="22"/>
      <c r="AC215" s="22" t="s">
        <v>42</v>
      </c>
      <c r="AD215" s="22" t="s">
        <v>42</v>
      </c>
      <c r="AE215" s="22" t="s">
        <v>42</v>
      </c>
      <c r="AF215" s="22" t="s">
        <v>42</v>
      </c>
      <c r="AG215" s="22" t="s">
        <v>42</v>
      </c>
      <c r="AH215" s="22" t="s">
        <v>42</v>
      </c>
      <c r="AJ215" s="22" t="s">
        <v>42</v>
      </c>
      <c r="AK215" s="22" t="s">
        <v>42</v>
      </c>
      <c r="AL215" s="22" t="s">
        <v>42</v>
      </c>
      <c r="AM215" s="22">
        <f t="shared" si="12"/>
        <v>18</v>
      </c>
    </row>
    <row r="216" spans="1:39" hidden="1" x14ac:dyDescent="0.25">
      <c r="A216" s="20" t="s">
        <v>55</v>
      </c>
      <c r="B216" s="38" t="s">
        <v>517</v>
      </c>
      <c r="C216" s="20" t="s">
        <v>518</v>
      </c>
      <c r="D216" s="20" t="s">
        <v>10</v>
      </c>
      <c r="E216" s="20" t="s">
        <v>10</v>
      </c>
      <c r="F216" s="20" t="s">
        <v>58</v>
      </c>
      <c r="G216" s="39"/>
      <c r="H216" s="40"/>
      <c r="I216" s="22" t="s">
        <v>42</v>
      </c>
      <c r="L216" s="22" t="s">
        <v>42</v>
      </c>
      <c r="M216" s="22" t="s">
        <v>42</v>
      </c>
      <c r="O216" s="22" t="s">
        <v>42</v>
      </c>
      <c r="P216" s="22" t="s">
        <v>42</v>
      </c>
      <c r="Q216" s="22" t="s">
        <v>42</v>
      </c>
      <c r="R216" s="22" t="s">
        <v>42</v>
      </c>
      <c r="S216" s="22" t="s">
        <v>42</v>
      </c>
      <c r="T216" s="22" t="s">
        <v>42</v>
      </c>
      <c r="U216" s="22"/>
      <c r="V216" s="22" t="s">
        <v>42</v>
      </c>
      <c r="W216" s="22" t="s">
        <v>42</v>
      </c>
      <c r="X216" s="22" t="s">
        <v>42</v>
      </c>
      <c r="Y216" s="22" t="s">
        <v>42</v>
      </c>
      <c r="Z216" s="22" t="s">
        <v>42</v>
      </c>
      <c r="AA216" s="22" t="s">
        <v>42</v>
      </c>
      <c r="AB216" s="22"/>
      <c r="AC216" s="22" t="s">
        <v>42</v>
      </c>
      <c r="AD216" s="22" t="s">
        <v>42</v>
      </c>
      <c r="AE216" s="22" t="s">
        <v>42</v>
      </c>
      <c r="AF216" s="22" t="s">
        <v>42</v>
      </c>
      <c r="AG216" s="22" t="s">
        <v>42</v>
      </c>
      <c r="AH216" s="22" t="s">
        <v>42</v>
      </c>
      <c r="AJ216" s="22" t="s">
        <v>42</v>
      </c>
      <c r="AK216" s="22" t="s">
        <v>42</v>
      </c>
      <c r="AL216" s="22" t="s">
        <v>42</v>
      </c>
      <c r="AM216" s="22">
        <f t="shared" si="12"/>
        <v>24</v>
      </c>
    </row>
    <row r="217" spans="1:39" hidden="1" x14ac:dyDescent="0.25">
      <c r="A217" s="20" t="s">
        <v>55</v>
      </c>
      <c r="B217" s="38" t="s">
        <v>519</v>
      </c>
      <c r="C217" s="20" t="s">
        <v>520</v>
      </c>
      <c r="D217" s="20" t="s">
        <v>14</v>
      </c>
      <c r="E217" s="20" t="s">
        <v>14</v>
      </c>
      <c r="F217" s="20" t="s">
        <v>58</v>
      </c>
      <c r="G217" s="39"/>
      <c r="H217" s="40"/>
      <c r="I217" s="22" t="s">
        <v>42</v>
      </c>
      <c r="J217" s="33"/>
      <c r="M217" s="22" t="s">
        <v>42</v>
      </c>
      <c r="O217" s="22" t="s">
        <v>42</v>
      </c>
      <c r="Q217" s="22" t="s">
        <v>42</v>
      </c>
      <c r="R217" s="22" t="s">
        <v>42</v>
      </c>
      <c r="S217" s="22" t="s">
        <v>42</v>
      </c>
      <c r="T217" s="22" t="s">
        <v>42</v>
      </c>
      <c r="U217" s="22"/>
      <c r="V217" s="22"/>
      <c r="W217" s="22" t="s">
        <v>42</v>
      </c>
      <c r="X217" s="22"/>
      <c r="Y217" s="22" t="s">
        <v>42</v>
      </c>
      <c r="Z217" s="22" t="s">
        <v>42</v>
      </c>
      <c r="AA217" s="22" t="s">
        <v>42</v>
      </c>
      <c r="AC217" s="22" t="s">
        <v>42</v>
      </c>
      <c r="AD217" s="22" t="s">
        <v>42</v>
      </c>
      <c r="AE217" s="22" t="s">
        <v>42</v>
      </c>
      <c r="AF217" s="22" t="s">
        <v>42</v>
      </c>
      <c r="AG217" s="22" t="s">
        <v>42</v>
      </c>
      <c r="AH217" s="22"/>
      <c r="AK217" s="22" t="s">
        <v>42</v>
      </c>
      <c r="AM217" s="22">
        <f t="shared" si="12"/>
        <v>17</v>
      </c>
    </row>
    <row r="218" spans="1:39" hidden="1" x14ac:dyDescent="0.25">
      <c r="A218" s="20" t="s">
        <v>55</v>
      </c>
      <c r="B218" s="38" t="s">
        <v>523</v>
      </c>
      <c r="C218" s="20" t="s">
        <v>524</v>
      </c>
      <c r="D218" s="20" t="s">
        <v>10</v>
      </c>
      <c r="E218" s="20" t="s">
        <v>10</v>
      </c>
      <c r="F218" s="20" t="s">
        <v>58</v>
      </c>
      <c r="G218" s="39"/>
      <c r="H218" s="40"/>
      <c r="I218" s="22" t="s">
        <v>42</v>
      </c>
      <c r="L218" s="22" t="s">
        <v>42</v>
      </c>
      <c r="M218" s="22" t="s">
        <v>42</v>
      </c>
      <c r="O218" s="22" t="s">
        <v>42</v>
      </c>
      <c r="P218" s="22" t="s">
        <v>42</v>
      </c>
      <c r="Q218" s="31" t="s">
        <v>147</v>
      </c>
      <c r="R218" s="22" t="s">
        <v>42</v>
      </c>
      <c r="S218" s="31" t="s">
        <v>147</v>
      </c>
      <c r="T218" s="22" t="s">
        <v>147</v>
      </c>
      <c r="U218" s="22"/>
      <c r="V218" s="22" t="s">
        <v>147</v>
      </c>
      <c r="W218" s="31" t="s">
        <v>147</v>
      </c>
      <c r="X218" s="22" t="s">
        <v>42</v>
      </c>
      <c r="Y218" s="31" t="s">
        <v>147</v>
      </c>
      <c r="Z218" s="22"/>
      <c r="AA218" s="22"/>
      <c r="AB218" s="22"/>
      <c r="AC218" s="22" t="s">
        <v>147</v>
      </c>
      <c r="AD218" s="31" t="s">
        <v>147</v>
      </c>
      <c r="AE218" s="31" t="s">
        <v>147</v>
      </c>
      <c r="AF218" s="22" t="s">
        <v>42</v>
      </c>
      <c r="AG218" s="31" t="s">
        <v>147</v>
      </c>
      <c r="AH218" s="31" t="s">
        <v>147</v>
      </c>
      <c r="AJ218" s="31" t="s">
        <v>147</v>
      </c>
      <c r="AK218" s="22" t="s">
        <v>42</v>
      </c>
      <c r="AL218" s="22" t="s">
        <v>42</v>
      </c>
      <c r="AM218" s="22">
        <f t="shared" si="12"/>
        <v>10</v>
      </c>
    </row>
    <row r="219" spans="1:39" hidden="1" x14ac:dyDescent="0.25">
      <c r="A219" s="20" t="s">
        <v>55</v>
      </c>
      <c r="B219" s="38" t="s">
        <v>525</v>
      </c>
      <c r="C219" s="20" t="s">
        <v>526</v>
      </c>
      <c r="D219" s="20" t="s">
        <v>28</v>
      </c>
      <c r="E219" s="20" t="s">
        <v>28</v>
      </c>
      <c r="F219" s="20" t="s">
        <v>58</v>
      </c>
      <c r="G219" s="39"/>
      <c r="H219" s="40"/>
      <c r="I219" s="22" t="s">
        <v>42</v>
      </c>
      <c r="L219" s="22" t="s">
        <v>42</v>
      </c>
      <c r="M219" s="22" t="s">
        <v>42</v>
      </c>
      <c r="O219" s="22" t="s">
        <v>42</v>
      </c>
      <c r="P219" s="22" t="s">
        <v>42</v>
      </c>
      <c r="Q219" s="22" t="s">
        <v>42</v>
      </c>
      <c r="R219" s="22" t="s">
        <v>42</v>
      </c>
      <c r="S219" s="22" t="s">
        <v>42</v>
      </c>
      <c r="T219" s="22" t="s">
        <v>42</v>
      </c>
      <c r="U219" s="22"/>
      <c r="V219" s="22" t="s">
        <v>42</v>
      </c>
      <c r="W219" s="22" t="s">
        <v>42</v>
      </c>
      <c r="X219" s="22" t="s">
        <v>42</v>
      </c>
      <c r="Y219" s="22" t="s">
        <v>42</v>
      </c>
      <c r="Z219" s="22" t="s">
        <v>42</v>
      </c>
      <c r="AA219" s="22" t="s">
        <v>42</v>
      </c>
      <c r="AB219" s="22"/>
      <c r="AC219" s="22" t="s">
        <v>42</v>
      </c>
      <c r="AD219" s="22" t="s">
        <v>42</v>
      </c>
      <c r="AE219" s="22" t="s">
        <v>42</v>
      </c>
      <c r="AF219" s="22" t="s">
        <v>42</v>
      </c>
      <c r="AG219" s="22" t="s">
        <v>42</v>
      </c>
      <c r="AH219" s="22" t="s">
        <v>42</v>
      </c>
      <c r="AJ219" s="22" t="s">
        <v>42</v>
      </c>
      <c r="AK219" s="22" t="s">
        <v>42</v>
      </c>
      <c r="AL219" s="22" t="s">
        <v>42</v>
      </c>
      <c r="AM219" s="22">
        <f t="shared" si="12"/>
        <v>24</v>
      </c>
    </row>
    <row r="220" spans="1:39" hidden="1" x14ac:dyDescent="0.25">
      <c r="A220" s="20" t="s">
        <v>55</v>
      </c>
      <c r="B220" s="38" t="s">
        <v>527</v>
      </c>
      <c r="C220" s="20" t="s">
        <v>528</v>
      </c>
      <c r="D220" s="20" t="s">
        <v>11</v>
      </c>
      <c r="E220" s="20" t="s">
        <v>11</v>
      </c>
      <c r="F220" s="20" t="s">
        <v>63</v>
      </c>
      <c r="G220" s="39"/>
      <c r="H220" s="40"/>
      <c r="I220" s="33" t="s">
        <v>38</v>
      </c>
      <c r="J220" s="33"/>
      <c r="K220" s="33"/>
      <c r="L220" s="33" t="s">
        <v>38</v>
      </c>
      <c r="M220" s="33" t="s">
        <v>38</v>
      </c>
      <c r="N220" s="33"/>
      <c r="O220" s="33" t="s">
        <v>38</v>
      </c>
      <c r="P220" s="33" t="s">
        <v>38</v>
      </c>
      <c r="Q220" s="33" t="s">
        <v>38</v>
      </c>
      <c r="R220" s="33" t="s">
        <v>38</v>
      </c>
      <c r="S220" s="33" t="s">
        <v>38</v>
      </c>
      <c r="T220" s="33" t="s">
        <v>38</v>
      </c>
      <c r="U220" s="33"/>
      <c r="V220" s="33" t="s">
        <v>38</v>
      </c>
      <c r="W220" s="33" t="s">
        <v>38</v>
      </c>
      <c r="X220" s="33" t="s">
        <v>38</v>
      </c>
      <c r="Y220" s="33" t="s">
        <v>38</v>
      </c>
      <c r="Z220" s="33" t="s">
        <v>38</v>
      </c>
      <c r="AA220" s="33" t="s">
        <v>38</v>
      </c>
      <c r="AB220" s="33"/>
      <c r="AC220" s="33" t="s">
        <v>38</v>
      </c>
      <c r="AD220" s="33" t="s">
        <v>38</v>
      </c>
      <c r="AE220" s="33" t="s">
        <v>38</v>
      </c>
      <c r="AF220" s="33" t="s">
        <v>38</v>
      </c>
      <c r="AG220" s="33" t="s">
        <v>38</v>
      </c>
      <c r="AH220" s="33" t="s">
        <v>38</v>
      </c>
      <c r="AI220" s="33"/>
      <c r="AJ220" s="33" t="s">
        <v>38</v>
      </c>
      <c r="AK220" s="33" t="s">
        <v>38</v>
      </c>
      <c r="AL220" s="33" t="s">
        <v>38</v>
      </c>
      <c r="AM220" s="22">
        <f t="shared" si="12"/>
        <v>24</v>
      </c>
    </row>
    <row r="221" spans="1:39" hidden="1" x14ac:dyDescent="0.25">
      <c r="A221" s="20" t="s">
        <v>55</v>
      </c>
      <c r="B221" s="38" t="s">
        <v>529</v>
      </c>
      <c r="C221" s="20" t="s">
        <v>530</v>
      </c>
      <c r="D221" s="20" t="s">
        <v>8</v>
      </c>
      <c r="E221" s="20" t="s">
        <v>8</v>
      </c>
      <c r="F221" s="20" t="s">
        <v>58</v>
      </c>
      <c r="G221" s="39"/>
      <c r="H221" s="40"/>
      <c r="I221" s="33" t="s">
        <v>38</v>
      </c>
      <c r="J221" s="33"/>
      <c r="K221" s="33"/>
      <c r="L221" s="22" t="s">
        <v>42</v>
      </c>
      <c r="M221" s="22" t="s">
        <v>42</v>
      </c>
      <c r="N221" s="22" t="s">
        <v>42</v>
      </c>
      <c r="O221" s="22" t="s">
        <v>42</v>
      </c>
      <c r="P221" s="22" t="s">
        <v>42</v>
      </c>
      <c r="Q221" s="22" t="s">
        <v>42</v>
      </c>
      <c r="R221" s="22" t="s">
        <v>42</v>
      </c>
      <c r="S221" s="22" t="s">
        <v>42</v>
      </c>
      <c r="T221" s="22" t="s">
        <v>42</v>
      </c>
      <c r="U221" s="33"/>
      <c r="V221" s="22" t="s">
        <v>42</v>
      </c>
      <c r="W221" s="22" t="s">
        <v>42</v>
      </c>
      <c r="X221" s="22" t="s">
        <v>42</v>
      </c>
      <c r="Y221" s="22" t="s">
        <v>42</v>
      </c>
      <c r="Z221" s="22" t="s">
        <v>42</v>
      </c>
      <c r="AA221" s="22" t="s">
        <v>42</v>
      </c>
      <c r="AB221" s="33"/>
      <c r="AC221" s="22" t="s">
        <v>42</v>
      </c>
      <c r="AD221" s="22" t="s">
        <v>42</v>
      </c>
      <c r="AE221" s="22" t="s">
        <v>42</v>
      </c>
      <c r="AF221" s="22" t="s">
        <v>42</v>
      </c>
      <c r="AG221" s="22" t="s">
        <v>42</v>
      </c>
      <c r="AH221" s="33"/>
      <c r="AI221" s="33"/>
      <c r="AJ221" s="22" t="s">
        <v>42</v>
      </c>
      <c r="AK221" s="22" t="s">
        <v>42</v>
      </c>
      <c r="AL221" s="22" t="s">
        <v>42</v>
      </c>
      <c r="AM221" s="22">
        <f t="shared" si="12"/>
        <v>24</v>
      </c>
    </row>
    <row r="222" spans="1:39" hidden="1" x14ac:dyDescent="0.25">
      <c r="A222" s="20" t="s">
        <v>55</v>
      </c>
      <c r="B222" s="38" t="s">
        <v>531</v>
      </c>
      <c r="C222" s="20" t="s">
        <v>532</v>
      </c>
      <c r="D222" s="20" t="s">
        <v>12</v>
      </c>
      <c r="E222" s="20" t="s">
        <v>7</v>
      </c>
      <c r="F222" s="20" t="s">
        <v>63</v>
      </c>
      <c r="G222" s="39"/>
      <c r="H222" s="40"/>
      <c r="I222" s="33" t="s">
        <v>38</v>
      </c>
      <c r="J222" s="33"/>
      <c r="K222" s="33"/>
      <c r="L222" s="33" t="s">
        <v>38</v>
      </c>
      <c r="M222" s="33" t="s">
        <v>38</v>
      </c>
      <c r="N222" s="33"/>
      <c r="O222" s="33" t="s">
        <v>38</v>
      </c>
      <c r="P222" s="33" t="s">
        <v>38</v>
      </c>
      <c r="Q222" s="33" t="s">
        <v>38</v>
      </c>
      <c r="R222" s="33" t="s">
        <v>38</v>
      </c>
      <c r="S222" s="33" t="s">
        <v>38</v>
      </c>
      <c r="T222" s="33" t="s">
        <v>38</v>
      </c>
      <c r="U222" s="33"/>
      <c r="V222" s="33" t="s">
        <v>38</v>
      </c>
      <c r="W222" s="33" t="s">
        <v>38</v>
      </c>
      <c r="X222" s="33" t="s">
        <v>38</v>
      </c>
      <c r="Y222" s="33" t="s">
        <v>38</v>
      </c>
      <c r="Z222" s="33" t="s">
        <v>38</v>
      </c>
      <c r="AA222" s="33" t="s">
        <v>38</v>
      </c>
      <c r="AB222" s="33"/>
      <c r="AC222" s="33" t="s">
        <v>38</v>
      </c>
      <c r="AD222" s="33" t="s">
        <v>38</v>
      </c>
      <c r="AE222" s="33" t="s">
        <v>38</v>
      </c>
      <c r="AF222" s="33" t="s">
        <v>38</v>
      </c>
      <c r="AG222" s="33" t="s">
        <v>38</v>
      </c>
      <c r="AH222" s="33" t="s">
        <v>38</v>
      </c>
      <c r="AI222" s="33"/>
      <c r="AJ222" s="33" t="s">
        <v>38</v>
      </c>
      <c r="AK222" s="33" t="s">
        <v>38</v>
      </c>
      <c r="AL222" s="33" t="s">
        <v>38</v>
      </c>
      <c r="AM222" s="22">
        <f t="shared" si="12"/>
        <v>24</v>
      </c>
    </row>
    <row r="223" spans="1:39" hidden="1" x14ac:dyDescent="0.25">
      <c r="A223" s="20" t="s">
        <v>55</v>
      </c>
      <c r="B223" s="38" t="s">
        <v>533</v>
      </c>
      <c r="C223" s="20" t="s">
        <v>534</v>
      </c>
      <c r="D223" s="20" t="s">
        <v>19</v>
      </c>
      <c r="E223" s="20" t="s">
        <v>19</v>
      </c>
      <c r="F223" s="20" t="s">
        <v>58</v>
      </c>
      <c r="G223" s="39"/>
      <c r="H223" s="40"/>
      <c r="I223" s="22" t="s">
        <v>42</v>
      </c>
      <c r="L223" s="22" t="s">
        <v>42</v>
      </c>
      <c r="M223" s="22" t="s">
        <v>42</v>
      </c>
      <c r="O223" s="22" t="s">
        <v>42</v>
      </c>
      <c r="P223" s="22" t="s">
        <v>42</v>
      </c>
      <c r="Q223" s="22" t="s">
        <v>42</v>
      </c>
      <c r="R223" s="22" t="s">
        <v>42</v>
      </c>
      <c r="S223" s="22" t="s">
        <v>42</v>
      </c>
      <c r="T223" s="22" t="s">
        <v>42</v>
      </c>
      <c r="U223" s="22"/>
      <c r="V223" s="22" t="s">
        <v>42</v>
      </c>
      <c r="W223" s="22" t="s">
        <v>42</v>
      </c>
      <c r="X223" s="22" t="s">
        <v>42</v>
      </c>
      <c r="Y223" s="22" t="s">
        <v>42</v>
      </c>
      <c r="Z223" s="22" t="s">
        <v>42</v>
      </c>
      <c r="AA223" s="22" t="s">
        <v>42</v>
      </c>
      <c r="AB223" s="22"/>
      <c r="AC223" s="22" t="s">
        <v>42</v>
      </c>
      <c r="AD223" s="22" t="s">
        <v>42</v>
      </c>
      <c r="AE223" s="22" t="s">
        <v>42</v>
      </c>
      <c r="AF223" s="22" t="s">
        <v>42</v>
      </c>
      <c r="AG223" s="22" t="s">
        <v>42</v>
      </c>
      <c r="AH223" s="22" t="s">
        <v>42</v>
      </c>
      <c r="AJ223" s="22" t="s">
        <v>42</v>
      </c>
      <c r="AK223" s="22" t="s">
        <v>42</v>
      </c>
      <c r="AL223" s="22" t="s">
        <v>42</v>
      </c>
      <c r="AM223" s="22">
        <f t="shared" si="12"/>
        <v>24</v>
      </c>
    </row>
    <row r="224" spans="1:39" hidden="1" x14ac:dyDescent="0.25">
      <c r="A224" s="20" t="s">
        <v>55</v>
      </c>
      <c r="B224" s="38" t="s">
        <v>537</v>
      </c>
      <c r="C224" s="20" t="s">
        <v>538</v>
      </c>
      <c r="D224" s="20" t="s">
        <v>21</v>
      </c>
      <c r="E224" s="20" t="s">
        <v>21</v>
      </c>
      <c r="F224" s="20" t="s">
        <v>58</v>
      </c>
      <c r="G224" s="39"/>
      <c r="H224" s="40"/>
      <c r="I224" s="22" t="s">
        <v>42</v>
      </c>
      <c r="J224" s="33"/>
      <c r="L224" s="22" t="s">
        <v>42</v>
      </c>
      <c r="M224" s="22" t="s">
        <v>42</v>
      </c>
      <c r="N224" s="22" t="s">
        <v>42</v>
      </c>
      <c r="O224" s="22" t="s">
        <v>42</v>
      </c>
      <c r="P224" s="22" t="s">
        <v>42</v>
      </c>
      <c r="Q224" s="22" t="s">
        <v>42</v>
      </c>
      <c r="R224" s="22" t="s">
        <v>42</v>
      </c>
      <c r="S224" s="22" t="s">
        <v>42</v>
      </c>
      <c r="T224" s="22" t="s">
        <v>42</v>
      </c>
      <c r="U224" s="22"/>
      <c r="V224" s="22" t="s">
        <v>42</v>
      </c>
      <c r="W224" s="22" t="s">
        <v>42</v>
      </c>
      <c r="X224" s="22" t="s">
        <v>42</v>
      </c>
      <c r="Y224" s="22" t="s">
        <v>42</v>
      </c>
      <c r="Z224" s="22" t="s">
        <v>42</v>
      </c>
      <c r="AA224" s="22" t="s">
        <v>42</v>
      </c>
      <c r="AB224" s="22" t="s">
        <v>42</v>
      </c>
      <c r="AC224" s="22" t="s">
        <v>42</v>
      </c>
      <c r="AD224" s="22" t="s">
        <v>42</v>
      </c>
      <c r="AE224" s="22" t="s">
        <v>42</v>
      </c>
      <c r="AF224" s="22" t="s">
        <v>42</v>
      </c>
      <c r="AG224" s="22" t="s">
        <v>42</v>
      </c>
      <c r="AH224" s="22" t="s">
        <v>42</v>
      </c>
      <c r="AJ224" s="22" t="s">
        <v>42</v>
      </c>
      <c r="AK224" s="22" t="s">
        <v>42</v>
      </c>
      <c r="AL224" s="22" t="s">
        <v>42</v>
      </c>
      <c r="AM224" s="22">
        <f t="shared" si="12"/>
        <v>26</v>
      </c>
    </row>
    <row r="225" spans="1:39" hidden="1" x14ac:dyDescent="0.25">
      <c r="A225" s="20" t="s">
        <v>55</v>
      </c>
      <c r="B225" s="38" t="s">
        <v>539</v>
      </c>
      <c r="C225" s="20" t="s">
        <v>540</v>
      </c>
      <c r="D225" s="20" t="s">
        <v>21</v>
      </c>
      <c r="E225" s="20" t="s">
        <v>21</v>
      </c>
      <c r="F225" s="20" t="s">
        <v>58</v>
      </c>
      <c r="G225" s="39"/>
      <c r="H225" s="40"/>
      <c r="I225" s="22" t="s">
        <v>42</v>
      </c>
      <c r="L225" s="22" t="s">
        <v>42</v>
      </c>
      <c r="M225" s="22" t="s">
        <v>42</v>
      </c>
      <c r="N225" s="22" t="s">
        <v>42</v>
      </c>
      <c r="O225" s="22" t="s">
        <v>42</v>
      </c>
      <c r="P225" s="22" t="s">
        <v>42</v>
      </c>
      <c r="Q225" s="22" t="s">
        <v>42</v>
      </c>
      <c r="R225" s="22" t="s">
        <v>42</v>
      </c>
      <c r="S225" s="22" t="s">
        <v>42</v>
      </c>
      <c r="T225" s="22"/>
      <c r="U225" s="22"/>
      <c r="V225" s="22" t="s">
        <v>42</v>
      </c>
      <c r="W225" s="22" t="s">
        <v>42</v>
      </c>
      <c r="X225" s="22" t="s">
        <v>42</v>
      </c>
      <c r="Y225" s="22" t="s">
        <v>42</v>
      </c>
      <c r="Z225" s="22" t="s">
        <v>42</v>
      </c>
      <c r="AA225" s="22" t="s">
        <v>42</v>
      </c>
      <c r="AB225" s="22"/>
      <c r="AC225" s="22" t="s">
        <v>42</v>
      </c>
      <c r="AD225" s="22" t="s">
        <v>42</v>
      </c>
      <c r="AE225" s="22" t="s">
        <v>42</v>
      </c>
      <c r="AF225" s="22" t="s">
        <v>42</v>
      </c>
      <c r="AG225" s="22" t="s">
        <v>42</v>
      </c>
      <c r="AH225" s="22" t="s">
        <v>42</v>
      </c>
      <c r="AJ225" s="22" t="s">
        <v>42</v>
      </c>
      <c r="AK225" s="22" t="s">
        <v>42</v>
      </c>
      <c r="AL225" s="22" t="s">
        <v>42</v>
      </c>
      <c r="AM225" s="22">
        <f t="shared" si="12"/>
        <v>24</v>
      </c>
    </row>
    <row r="226" spans="1:39" x14ac:dyDescent="0.25">
      <c r="A226" s="20" t="s">
        <v>55</v>
      </c>
      <c r="B226" s="38" t="s">
        <v>541</v>
      </c>
      <c r="C226" s="20" t="s">
        <v>542</v>
      </c>
      <c r="D226" s="20" t="s">
        <v>21</v>
      </c>
      <c r="E226" s="20" t="s">
        <v>21</v>
      </c>
      <c r="F226" s="20" t="s">
        <v>58</v>
      </c>
      <c r="G226" s="39"/>
      <c r="H226" s="40"/>
      <c r="I226" s="22" t="s">
        <v>42</v>
      </c>
      <c r="L226" s="22" t="s">
        <v>42</v>
      </c>
      <c r="M226" s="22" t="s">
        <v>42</v>
      </c>
      <c r="N226" s="22" t="s">
        <v>42</v>
      </c>
      <c r="O226" s="22" t="s">
        <v>42</v>
      </c>
      <c r="P226" s="22" t="s">
        <v>42</v>
      </c>
      <c r="Q226" s="22" t="s">
        <v>42</v>
      </c>
      <c r="R226" s="22" t="s">
        <v>42</v>
      </c>
      <c r="S226" s="22" t="s">
        <v>42</v>
      </c>
      <c r="T226" s="22" t="s">
        <v>42</v>
      </c>
      <c r="U226" s="22"/>
      <c r="V226" s="22" t="s">
        <v>42</v>
      </c>
      <c r="W226" s="22" t="s">
        <v>42</v>
      </c>
      <c r="X226" s="22" t="s">
        <v>42</v>
      </c>
      <c r="Y226" s="22" t="s">
        <v>42</v>
      </c>
      <c r="Z226" s="22" t="s">
        <v>42</v>
      </c>
      <c r="AA226" s="22" t="s">
        <v>42</v>
      </c>
      <c r="AB226" s="22" t="s">
        <v>42</v>
      </c>
      <c r="AC226" s="22" t="s">
        <v>42</v>
      </c>
      <c r="AD226" s="22" t="s">
        <v>42</v>
      </c>
      <c r="AE226" s="22" t="s">
        <v>42</v>
      </c>
      <c r="AF226" s="22" t="s">
        <v>42</v>
      </c>
      <c r="AG226" s="22" t="s">
        <v>42</v>
      </c>
      <c r="AH226" s="22" t="s">
        <v>42</v>
      </c>
      <c r="AI226" s="22" t="s">
        <v>42</v>
      </c>
      <c r="AJ226" s="22" t="s">
        <v>42</v>
      </c>
      <c r="AK226" s="22" t="s">
        <v>42</v>
      </c>
      <c r="AL226" s="22" t="s">
        <v>42</v>
      </c>
      <c r="AM226" s="22">
        <f t="shared" si="12"/>
        <v>27</v>
      </c>
    </row>
    <row r="227" spans="1:39" x14ac:dyDescent="0.25">
      <c r="A227" s="20" t="s">
        <v>55</v>
      </c>
      <c r="B227" s="38" t="s">
        <v>543</v>
      </c>
      <c r="C227" s="20" t="s">
        <v>544</v>
      </c>
      <c r="D227" s="20" t="s">
        <v>21</v>
      </c>
      <c r="E227" s="20" t="s">
        <v>21</v>
      </c>
      <c r="F227" s="20" t="s">
        <v>58</v>
      </c>
      <c r="G227" s="39"/>
      <c r="H227" s="40"/>
      <c r="I227" s="22" t="s">
        <v>42</v>
      </c>
      <c r="L227" s="22" t="s">
        <v>42</v>
      </c>
      <c r="M227" s="22" t="s">
        <v>42</v>
      </c>
      <c r="N227" s="22" t="s">
        <v>42</v>
      </c>
      <c r="O227" s="22" t="s">
        <v>42</v>
      </c>
      <c r="P227" s="22" t="s">
        <v>42</v>
      </c>
      <c r="Q227" s="22" t="s">
        <v>42</v>
      </c>
      <c r="R227" s="22" t="s">
        <v>42</v>
      </c>
      <c r="S227" s="22" t="s">
        <v>42</v>
      </c>
      <c r="T227" s="22" t="s">
        <v>42</v>
      </c>
      <c r="U227" s="22"/>
      <c r="V227" s="22" t="s">
        <v>42</v>
      </c>
      <c r="W227" s="22" t="s">
        <v>42</v>
      </c>
      <c r="X227" s="22" t="s">
        <v>42</v>
      </c>
      <c r="Y227" s="22" t="s">
        <v>42</v>
      </c>
      <c r="Z227" s="22" t="s">
        <v>42</v>
      </c>
      <c r="AA227" s="22" t="s">
        <v>42</v>
      </c>
      <c r="AB227" s="22" t="s">
        <v>42</v>
      </c>
      <c r="AC227" s="22" t="s">
        <v>42</v>
      </c>
      <c r="AD227" s="22" t="s">
        <v>42</v>
      </c>
      <c r="AE227" s="22" t="s">
        <v>42</v>
      </c>
      <c r="AF227" s="22" t="s">
        <v>42</v>
      </c>
      <c r="AG227" s="22" t="s">
        <v>42</v>
      </c>
      <c r="AH227" s="22" t="s">
        <v>42</v>
      </c>
      <c r="AI227" s="22" t="s">
        <v>42</v>
      </c>
      <c r="AJ227" s="22" t="s">
        <v>42</v>
      </c>
      <c r="AK227" s="22" t="s">
        <v>42</v>
      </c>
      <c r="AL227" s="22" t="s">
        <v>42</v>
      </c>
      <c r="AM227" s="22">
        <f t="shared" si="12"/>
        <v>27</v>
      </c>
    </row>
    <row r="228" spans="1:39" hidden="1" x14ac:dyDescent="0.25">
      <c r="A228" s="20" t="s">
        <v>55</v>
      </c>
      <c r="B228" s="38" t="s">
        <v>545</v>
      </c>
      <c r="C228" s="20" t="s">
        <v>546</v>
      </c>
      <c r="D228" s="20" t="s">
        <v>18</v>
      </c>
      <c r="E228" s="20" t="s">
        <v>18</v>
      </c>
      <c r="F228" s="20" t="s">
        <v>58</v>
      </c>
      <c r="G228" s="39"/>
      <c r="H228" s="40"/>
      <c r="I228" s="22" t="s">
        <v>42</v>
      </c>
      <c r="L228" s="22" t="s">
        <v>42</v>
      </c>
      <c r="M228" s="22" t="s">
        <v>42</v>
      </c>
      <c r="O228" s="22" t="s">
        <v>42</v>
      </c>
      <c r="P228" s="22" t="s">
        <v>42</v>
      </c>
      <c r="Q228" s="22" t="s">
        <v>42</v>
      </c>
      <c r="R228" s="22" t="s">
        <v>42</v>
      </c>
      <c r="S228" s="22" t="s">
        <v>42</v>
      </c>
      <c r="T228" s="22" t="s">
        <v>42</v>
      </c>
      <c r="U228" s="22"/>
      <c r="V228" s="22" t="s">
        <v>42</v>
      </c>
      <c r="W228" s="22" t="s">
        <v>42</v>
      </c>
      <c r="X228" s="22" t="s">
        <v>42</v>
      </c>
      <c r="Y228" s="22" t="s">
        <v>42</v>
      </c>
      <c r="Z228" s="22" t="s">
        <v>42</v>
      </c>
      <c r="AA228" s="22" t="s">
        <v>42</v>
      </c>
      <c r="AC228" s="22" t="s">
        <v>42</v>
      </c>
      <c r="AD228" s="22" t="s">
        <v>42</v>
      </c>
      <c r="AE228" s="22" t="s">
        <v>42</v>
      </c>
      <c r="AF228" s="22" t="s">
        <v>42</v>
      </c>
      <c r="AG228" s="22" t="s">
        <v>42</v>
      </c>
      <c r="AH228" s="22" t="s">
        <v>42</v>
      </c>
      <c r="AJ228" s="22" t="s">
        <v>42</v>
      </c>
      <c r="AK228" s="22" t="s">
        <v>42</v>
      </c>
      <c r="AL228" s="22" t="s">
        <v>42</v>
      </c>
      <c r="AM228" s="22">
        <f t="shared" si="12"/>
        <v>24</v>
      </c>
    </row>
    <row r="229" spans="1:39" hidden="1" x14ac:dyDescent="0.25">
      <c r="A229" s="20" t="s">
        <v>55</v>
      </c>
      <c r="B229" s="38" t="s">
        <v>548</v>
      </c>
      <c r="C229" s="20" t="s">
        <v>549</v>
      </c>
      <c r="D229" s="20" t="s">
        <v>26</v>
      </c>
      <c r="E229" s="20" t="s">
        <v>26</v>
      </c>
      <c r="F229" s="20" t="s">
        <v>63</v>
      </c>
      <c r="G229" s="39"/>
      <c r="H229" s="40"/>
      <c r="I229" s="33" t="s">
        <v>38</v>
      </c>
      <c r="J229" s="33"/>
      <c r="K229" s="33"/>
      <c r="L229" s="33" t="s">
        <v>38</v>
      </c>
      <c r="M229" s="33" t="s">
        <v>38</v>
      </c>
      <c r="N229" s="33"/>
      <c r="O229" s="33" t="s">
        <v>38</v>
      </c>
      <c r="P229" s="33" t="s">
        <v>38</v>
      </c>
      <c r="Q229" s="33" t="s">
        <v>38</v>
      </c>
      <c r="R229" s="33" t="s">
        <v>38</v>
      </c>
      <c r="S229" s="33" t="s">
        <v>38</v>
      </c>
      <c r="T229" s="33" t="s">
        <v>38</v>
      </c>
      <c r="U229" s="33"/>
      <c r="V229" s="33" t="s">
        <v>38</v>
      </c>
      <c r="W229" s="33" t="s">
        <v>38</v>
      </c>
      <c r="X229" s="22"/>
      <c r="Y229" s="33"/>
      <c r="Z229" s="33" t="s">
        <v>38</v>
      </c>
      <c r="AA229" s="33"/>
      <c r="AB229" s="33"/>
      <c r="AC229" s="22"/>
      <c r="AD229" s="33"/>
      <c r="AE229" s="33"/>
      <c r="AF229" s="33"/>
      <c r="AG229" s="33"/>
      <c r="AH229" s="33"/>
      <c r="AJ229" s="33" t="s">
        <v>38</v>
      </c>
      <c r="AK229" s="33" t="s">
        <v>38</v>
      </c>
      <c r="AL229" s="33"/>
      <c r="AM229" s="22">
        <f t="shared" si="12"/>
        <v>14</v>
      </c>
    </row>
    <row r="230" spans="1:39" hidden="1" x14ac:dyDescent="0.25">
      <c r="A230" s="20" t="s">
        <v>55</v>
      </c>
      <c r="B230" s="38" t="s">
        <v>550</v>
      </c>
      <c r="C230" s="20" t="s">
        <v>551</v>
      </c>
      <c r="D230" s="20" t="s">
        <v>8</v>
      </c>
      <c r="E230" s="20" t="s">
        <v>8</v>
      </c>
      <c r="F230" s="20" t="s">
        <v>58</v>
      </c>
      <c r="G230" s="39"/>
      <c r="H230" s="40"/>
      <c r="I230" s="22" t="s">
        <v>42</v>
      </c>
      <c r="J230" s="33"/>
      <c r="L230" s="22" t="s">
        <v>42</v>
      </c>
      <c r="M230" s="22" t="s">
        <v>42</v>
      </c>
      <c r="O230" s="22" t="s">
        <v>42</v>
      </c>
      <c r="P230" s="22" t="s">
        <v>42</v>
      </c>
      <c r="Q230" s="22" t="s">
        <v>42</v>
      </c>
      <c r="R230" s="22" t="s">
        <v>42</v>
      </c>
      <c r="S230" s="22" t="s">
        <v>42</v>
      </c>
      <c r="T230" s="22" t="s">
        <v>42</v>
      </c>
      <c r="U230" s="22"/>
      <c r="V230" s="22" t="s">
        <v>42</v>
      </c>
      <c r="W230" s="22" t="s">
        <v>42</v>
      </c>
      <c r="X230" s="22" t="s">
        <v>42</v>
      </c>
      <c r="Y230" s="22" t="s">
        <v>42</v>
      </c>
      <c r="Z230" s="22" t="s">
        <v>42</v>
      </c>
      <c r="AA230" s="22" t="s">
        <v>42</v>
      </c>
      <c r="AB230" s="22"/>
      <c r="AC230" s="22" t="s">
        <v>42</v>
      </c>
      <c r="AD230" s="22" t="s">
        <v>42</v>
      </c>
      <c r="AE230" s="22" t="s">
        <v>42</v>
      </c>
      <c r="AF230" s="22" t="s">
        <v>42</v>
      </c>
      <c r="AG230" s="22" t="s">
        <v>42</v>
      </c>
      <c r="AH230" s="22" t="s">
        <v>42</v>
      </c>
      <c r="AJ230" s="22" t="s">
        <v>42</v>
      </c>
      <c r="AK230" s="22" t="s">
        <v>42</v>
      </c>
      <c r="AL230" s="22" t="s">
        <v>42</v>
      </c>
      <c r="AM230" s="22">
        <f t="shared" si="12"/>
        <v>24</v>
      </c>
    </row>
    <row r="231" spans="1:39" hidden="1" x14ac:dyDescent="0.25">
      <c r="A231" s="20" t="s">
        <v>55</v>
      </c>
      <c r="B231" s="38" t="s">
        <v>552</v>
      </c>
      <c r="C231" s="20" t="s">
        <v>553</v>
      </c>
      <c r="D231" s="20" t="s">
        <v>7</v>
      </c>
      <c r="E231" s="20" t="s">
        <v>7</v>
      </c>
      <c r="F231" s="20" t="s">
        <v>63</v>
      </c>
      <c r="G231" s="39"/>
      <c r="H231" s="40"/>
      <c r="I231" s="33" t="s">
        <v>38</v>
      </c>
      <c r="J231" s="33"/>
      <c r="K231" s="33"/>
      <c r="L231" s="33" t="s">
        <v>38</v>
      </c>
      <c r="M231" s="33" t="s">
        <v>38</v>
      </c>
      <c r="N231" s="33"/>
      <c r="O231" s="33" t="s">
        <v>38</v>
      </c>
      <c r="P231" s="33" t="s">
        <v>38</v>
      </c>
      <c r="Q231" s="33" t="s">
        <v>38</v>
      </c>
      <c r="R231" s="33" t="s">
        <v>38</v>
      </c>
      <c r="S231" s="33" t="s">
        <v>38</v>
      </c>
      <c r="T231" s="33"/>
      <c r="U231" s="33"/>
      <c r="V231" s="33" t="s">
        <v>38</v>
      </c>
      <c r="W231" s="33" t="s">
        <v>38</v>
      </c>
      <c r="X231" s="22"/>
      <c r="Y231" s="33" t="s">
        <v>38</v>
      </c>
      <c r="Z231" s="33" t="s">
        <v>38</v>
      </c>
      <c r="AA231" s="33" t="s">
        <v>38</v>
      </c>
      <c r="AB231" s="33"/>
      <c r="AC231" s="33" t="s">
        <v>38</v>
      </c>
      <c r="AD231" s="33" t="s">
        <v>38</v>
      </c>
      <c r="AE231" s="33" t="s">
        <v>38</v>
      </c>
      <c r="AF231" s="33" t="s">
        <v>38</v>
      </c>
      <c r="AG231" s="33" t="s">
        <v>38</v>
      </c>
      <c r="AH231" s="33" t="s">
        <v>38</v>
      </c>
      <c r="AI231" s="33"/>
      <c r="AJ231" s="33" t="s">
        <v>38</v>
      </c>
      <c r="AK231" s="33" t="s">
        <v>38</v>
      </c>
      <c r="AL231" s="33" t="s">
        <v>38</v>
      </c>
      <c r="AM231" s="22">
        <f t="shared" si="12"/>
        <v>22</v>
      </c>
    </row>
    <row r="232" spans="1:39" hidden="1" x14ac:dyDescent="0.25">
      <c r="A232" s="20" t="s">
        <v>55</v>
      </c>
      <c r="B232" s="38" t="s">
        <v>554</v>
      </c>
      <c r="C232" s="20" t="s">
        <v>555</v>
      </c>
      <c r="D232" s="20" t="s">
        <v>15</v>
      </c>
      <c r="E232" s="20" t="s">
        <v>15</v>
      </c>
      <c r="F232" s="20" t="s">
        <v>63</v>
      </c>
      <c r="G232" s="39"/>
      <c r="H232" s="40"/>
      <c r="J232" s="33"/>
      <c r="L232" s="33" t="s">
        <v>40</v>
      </c>
      <c r="U232" s="22"/>
      <c r="V232" s="22"/>
      <c r="W232" s="22"/>
      <c r="X232" s="33" t="s">
        <v>40</v>
      </c>
      <c r="Z232" s="22"/>
      <c r="AC232" s="33"/>
      <c r="AE232" s="33" t="s">
        <v>40</v>
      </c>
      <c r="AG232" s="33"/>
      <c r="AH232" s="33"/>
      <c r="AM232" s="22">
        <f t="shared" si="12"/>
        <v>3</v>
      </c>
    </row>
    <row r="233" spans="1:39" hidden="1" x14ac:dyDescent="0.25">
      <c r="A233" s="20" t="s">
        <v>55</v>
      </c>
      <c r="B233" s="38" t="s">
        <v>560</v>
      </c>
      <c r="C233" s="20" t="s">
        <v>561</v>
      </c>
      <c r="D233" s="20" t="s">
        <v>11</v>
      </c>
      <c r="E233" s="20" t="s">
        <v>11</v>
      </c>
      <c r="F233" s="20" t="s">
        <v>58</v>
      </c>
      <c r="G233" s="39"/>
      <c r="H233" s="40"/>
      <c r="I233" s="22" t="s">
        <v>42</v>
      </c>
      <c r="L233" s="22" t="s">
        <v>42</v>
      </c>
      <c r="M233" s="22" t="s">
        <v>42</v>
      </c>
      <c r="O233" s="22" t="s">
        <v>42</v>
      </c>
      <c r="P233" s="22" t="s">
        <v>42</v>
      </c>
      <c r="Q233" s="22" t="s">
        <v>42</v>
      </c>
      <c r="R233" s="22" t="s">
        <v>42</v>
      </c>
      <c r="S233" s="22"/>
      <c r="T233" s="22"/>
      <c r="U233" s="22"/>
      <c r="V233" s="22" t="s">
        <v>42</v>
      </c>
      <c r="W233" s="22" t="s">
        <v>42</v>
      </c>
      <c r="X233" s="22" t="s">
        <v>42</v>
      </c>
      <c r="Y233" s="22" t="s">
        <v>42</v>
      </c>
      <c r="Z233" s="22" t="s">
        <v>42</v>
      </c>
      <c r="AA233" s="22" t="s">
        <v>42</v>
      </c>
      <c r="AB233" s="22"/>
      <c r="AC233" s="22" t="s">
        <v>42</v>
      </c>
      <c r="AD233" s="22" t="s">
        <v>42</v>
      </c>
      <c r="AE233" s="22" t="s">
        <v>42</v>
      </c>
      <c r="AF233" s="22" t="s">
        <v>42</v>
      </c>
      <c r="AG233" s="22" t="s">
        <v>42</v>
      </c>
      <c r="AH233" s="22" t="s">
        <v>42</v>
      </c>
      <c r="AJ233" s="22" t="s">
        <v>42</v>
      </c>
      <c r="AK233" s="22" t="s">
        <v>42</v>
      </c>
      <c r="AL233" s="22" t="s">
        <v>42</v>
      </c>
      <c r="AM233" s="22">
        <f t="shared" si="12"/>
        <v>22</v>
      </c>
    </row>
    <row r="234" spans="1:39" hidden="1" x14ac:dyDescent="0.25">
      <c r="A234" s="20" t="s">
        <v>55</v>
      </c>
      <c r="B234" s="38" t="s">
        <v>562</v>
      </c>
      <c r="C234" s="20" t="s">
        <v>563</v>
      </c>
      <c r="D234" s="20" t="s">
        <v>11</v>
      </c>
      <c r="E234" s="20" t="s">
        <v>11</v>
      </c>
      <c r="F234" s="20" t="s">
        <v>58</v>
      </c>
      <c r="G234" s="39"/>
      <c r="H234" s="40"/>
      <c r="I234" s="22" t="s">
        <v>42</v>
      </c>
      <c r="L234" s="22" t="s">
        <v>42</v>
      </c>
      <c r="M234" s="22" t="s">
        <v>42</v>
      </c>
      <c r="O234" s="22" t="s">
        <v>42</v>
      </c>
      <c r="P234" s="22" t="s">
        <v>42</v>
      </c>
      <c r="Q234" s="22" t="s">
        <v>42</v>
      </c>
      <c r="R234" s="22" t="s">
        <v>42</v>
      </c>
      <c r="S234" s="22"/>
      <c r="U234" s="22"/>
      <c r="V234" s="22"/>
      <c r="W234" s="22" t="s">
        <v>42</v>
      </c>
      <c r="X234" s="22" t="s">
        <v>42</v>
      </c>
      <c r="Y234" s="22" t="s">
        <v>42</v>
      </c>
      <c r="Z234" s="22" t="s">
        <v>42</v>
      </c>
      <c r="AA234" s="22" t="s">
        <v>42</v>
      </c>
      <c r="AB234" s="22"/>
      <c r="AC234" s="22" t="s">
        <v>42</v>
      </c>
      <c r="AD234" s="22" t="s">
        <v>42</v>
      </c>
      <c r="AE234" s="22" t="s">
        <v>42</v>
      </c>
      <c r="AF234" s="22" t="s">
        <v>42</v>
      </c>
      <c r="AG234" s="22" t="s">
        <v>42</v>
      </c>
      <c r="AH234" s="22" t="s">
        <v>42</v>
      </c>
      <c r="AJ234" s="22" t="s">
        <v>42</v>
      </c>
      <c r="AK234" s="22" t="s">
        <v>42</v>
      </c>
      <c r="AL234" s="22" t="s">
        <v>42</v>
      </c>
      <c r="AM234" s="22">
        <f t="shared" si="12"/>
        <v>21</v>
      </c>
    </row>
    <row r="235" spans="1:39" hidden="1" x14ac:dyDescent="0.25">
      <c r="A235" s="20" t="s">
        <v>55</v>
      </c>
      <c r="B235" s="38" t="s">
        <v>564</v>
      </c>
      <c r="C235" s="20" t="s">
        <v>565</v>
      </c>
      <c r="D235" s="20" t="s">
        <v>11</v>
      </c>
      <c r="E235" s="20" t="s">
        <v>11</v>
      </c>
      <c r="F235" s="20" t="s">
        <v>58</v>
      </c>
      <c r="G235" s="39"/>
      <c r="H235" s="40"/>
      <c r="I235" s="22" t="s">
        <v>42</v>
      </c>
      <c r="L235" s="22" t="s">
        <v>42</v>
      </c>
      <c r="M235" s="22" t="s">
        <v>42</v>
      </c>
      <c r="O235" s="22" t="s">
        <v>42</v>
      </c>
      <c r="P235" s="22" t="s">
        <v>42</v>
      </c>
      <c r="Q235" s="22" t="s">
        <v>42</v>
      </c>
      <c r="R235" s="22" t="s">
        <v>42</v>
      </c>
      <c r="S235" s="22"/>
      <c r="T235" s="22"/>
      <c r="U235" s="22"/>
      <c r="V235" s="22" t="s">
        <v>42</v>
      </c>
      <c r="W235" s="22" t="s">
        <v>42</v>
      </c>
      <c r="X235" s="22" t="s">
        <v>42</v>
      </c>
      <c r="Y235" s="22" t="s">
        <v>42</v>
      </c>
      <c r="Z235" s="22" t="s">
        <v>42</v>
      </c>
      <c r="AA235" s="22" t="s">
        <v>42</v>
      </c>
      <c r="AB235" s="22"/>
      <c r="AC235" s="22" t="s">
        <v>42</v>
      </c>
      <c r="AD235" s="22" t="s">
        <v>42</v>
      </c>
      <c r="AE235" s="22" t="s">
        <v>42</v>
      </c>
      <c r="AF235" s="22" t="s">
        <v>42</v>
      </c>
      <c r="AG235" s="22" t="s">
        <v>42</v>
      </c>
      <c r="AH235" s="22" t="s">
        <v>42</v>
      </c>
      <c r="AJ235" s="22" t="s">
        <v>42</v>
      </c>
      <c r="AK235" s="22" t="s">
        <v>42</v>
      </c>
      <c r="AL235" s="22" t="s">
        <v>42</v>
      </c>
      <c r="AM235" s="22">
        <f t="shared" si="12"/>
        <v>22</v>
      </c>
    </row>
    <row r="236" spans="1:39" hidden="1" x14ac:dyDescent="0.25">
      <c r="A236" s="20" t="s">
        <v>55</v>
      </c>
      <c r="B236" s="38" t="s">
        <v>566</v>
      </c>
      <c r="C236" s="20" t="s">
        <v>567</v>
      </c>
      <c r="D236" s="20" t="s">
        <v>11</v>
      </c>
      <c r="E236" s="20" t="s">
        <v>11</v>
      </c>
      <c r="F236" s="20" t="s">
        <v>58</v>
      </c>
      <c r="G236" s="39"/>
      <c r="H236" s="40"/>
      <c r="I236" s="22" t="s">
        <v>42</v>
      </c>
      <c r="L236" s="22" t="s">
        <v>42</v>
      </c>
      <c r="M236" s="22" t="s">
        <v>42</v>
      </c>
      <c r="O236" s="22" t="s">
        <v>42</v>
      </c>
      <c r="R236" s="22"/>
      <c r="S236" s="22" t="s">
        <v>42</v>
      </c>
      <c r="T236" s="22" t="s">
        <v>42</v>
      </c>
      <c r="U236" s="22"/>
      <c r="V236" s="22" t="s">
        <v>42</v>
      </c>
      <c r="W236" s="22" t="s">
        <v>42</v>
      </c>
      <c r="X236" s="22" t="s">
        <v>42</v>
      </c>
      <c r="Y236" s="22" t="s">
        <v>42</v>
      </c>
      <c r="Z236" s="22" t="s">
        <v>42</v>
      </c>
      <c r="AA236" s="22" t="s">
        <v>42</v>
      </c>
      <c r="AB236" s="22"/>
      <c r="AC236" s="22" t="s">
        <v>42</v>
      </c>
      <c r="AD236" s="22" t="s">
        <v>42</v>
      </c>
      <c r="AE236" s="22" t="s">
        <v>42</v>
      </c>
      <c r="AF236" s="22" t="s">
        <v>42</v>
      </c>
      <c r="AG236" s="22" t="s">
        <v>42</v>
      </c>
      <c r="AH236" s="22" t="s">
        <v>42</v>
      </c>
      <c r="AJ236" s="22" t="s">
        <v>42</v>
      </c>
      <c r="AK236" s="22" t="s">
        <v>42</v>
      </c>
      <c r="AL236" s="22" t="s">
        <v>42</v>
      </c>
      <c r="AM236" s="22">
        <f t="shared" si="12"/>
        <v>21</v>
      </c>
    </row>
    <row r="237" spans="1:39" hidden="1" x14ac:dyDescent="0.25">
      <c r="A237" s="20" t="s">
        <v>55</v>
      </c>
      <c r="B237" s="38" t="s">
        <v>568</v>
      </c>
      <c r="C237" s="20" t="s">
        <v>569</v>
      </c>
      <c r="D237" s="20" t="s">
        <v>11</v>
      </c>
      <c r="E237" s="20" t="s">
        <v>11</v>
      </c>
      <c r="F237" s="20" t="s">
        <v>58</v>
      </c>
      <c r="G237" s="39"/>
      <c r="H237" s="40"/>
      <c r="I237" s="22" t="s">
        <v>42</v>
      </c>
      <c r="J237" s="33"/>
      <c r="L237" s="22" t="s">
        <v>42</v>
      </c>
      <c r="M237" s="22" t="s">
        <v>42</v>
      </c>
      <c r="O237" s="22" t="s">
        <v>42</v>
      </c>
      <c r="R237" s="22"/>
      <c r="S237" s="22" t="s">
        <v>42</v>
      </c>
      <c r="T237" s="22" t="s">
        <v>42</v>
      </c>
      <c r="U237" s="22"/>
      <c r="V237" s="22"/>
      <c r="W237" s="22" t="s">
        <v>42</v>
      </c>
      <c r="X237" s="22" t="s">
        <v>42</v>
      </c>
      <c r="Y237" s="22" t="s">
        <v>42</v>
      </c>
      <c r="Z237" s="22" t="s">
        <v>42</v>
      </c>
      <c r="AA237" s="22" t="s">
        <v>42</v>
      </c>
      <c r="AB237" s="22"/>
      <c r="AC237" s="22" t="s">
        <v>42</v>
      </c>
      <c r="AD237" s="22" t="s">
        <v>42</v>
      </c>
      <c r="AE237" s="22" t="s">
        <v>42</v>
      </c>
      <c r="AF237" s="22" t="s">
        <v>42</v>
      </c>
      <c r="AG237" s="22" t="s">
        <v>42</v>
      </c>
      <c r="AH237" s="22" t="s">
        <v>42</v>
      </c>
      <c r="AJ237" s="22" t="s">
        <v>42</v>
      </c>
      <c r="AK237" s="22" t="s">
        <v>42</v>
      </c>
      <c r="AL237" s="22" t="s">
        <v>42</v>
      </c>
      <c r="AM237" s="22">
        <f t="shared" si="12"/>
        <v>20</v>
      </c>
    </row>
    <row r="238" spans="1:39" hidden="1" x14ac:dyDescent="0.25">
      <c r="A238" s="20" t="s">
        <v>55</v>
      </c>
      <c r="B238" s="38" t="s">
        <v>570</v>
      </c>
      <c r="C238" s="20" t="s">
        <v>571</v>
      </c>
      <c r="D238" s="20" t="s">
        <v>19</v>
      </c>
      <c r="E238" s="20" t="s">
        <v>19</v>
      </c>
      <c r="F238" s="20" t="s">
        <v>58</v>
      </c>
      <c r="G238" s="39"/>
      <c r="H238" s="40"/>
      <c r="I238" s="22" t="s">
        <v>42</v>
      </c>
      <c r="L238" s="22" t="s">
        <v>42</v>
      </c>
      <c r="M238" s="22" t="s">
        <v>42</v>
      </c>
      <c r="O238" s="22" t="s">
        <v>42</v>
      </c>
      <c r="P238" s="22" t="s">
        <v>42</v>
      </c>
      <c r="Q238" s="22" t="s">
        <v>42</v>
      </c>
      <c r="R238" s="22" t="s">
        <v>42</v>
      </c>
      <c r="S238" s="22" t="s">
        <v>42</v>
      </c>
      <c r="T238" s="22" t="s">
        <v>42</v>
      </c>
      <c r="U238" s="22"/>
      <c r="V238" s="22" t="s">
        <v>42</v>
      </c>
      <c r="W238" s="22" t="s">
        <v>42</v>
      </c>
      <c r="X238" s="22" t="s">
        <v>42</v>
      </c>
      <c r="Y238" s="22" t="s">
        <v>42</v>
      </c>
      <c r="Z238" s="22" t="s">
        <v>42</v>
      </c>
      <c r="AA238" s="22" t="s">
        <v>42</v>
      </c>
      <c r="AB238" s="22"/>
      <c r="AC238" s="22" t="s">
        <v>42</v>
      </c>
      <c r="AD238" s="22" t="s">
        <v>42</v>
      </c>
      <c r="AE238" s="22" t="s">
        <v>42</v>
      </c>
      <c r="AF238" s="22" t="s">
        <v>42</v>
      </c>
      <c r="AG238" s="22" t="s">
        <v>42</v>
      </c>
      <c r="AH238" s="22" t="s">
        <v>42</v>
      </c>
      <c r="AJ238" s="22" t="s">
        <v>42</v>
      </c>
      <c r="AK238" s="22" t="s">
        <v>42</v>
      </c>
      <c r="AL238" s="22" t="s">
        <v>42</v>
      </c>
      <c r="AM238" s="22">
        <f t="shared" si="12"/>
        <v>24</v>
      </c>
    </row>
    <row r="239" spans="1:39" x14ac:dyDescent="0.25">
      <c r="A239" s="20" t="s">
        <v>55</v>
      </c>
      <c r="B239" s="38" t="s">
        <v>572</v>
      </c>
      <c r="C239" s="20" t="s">
        <v>573</v>
      </c>
      <c r="D239" s="20" t="s">
        <v>21</v>
      </c>
      <c r="E239" s="20" t="s">
        <v>21</v>
      </c>
      <c r="F239" s="20" t="s">
        <v>58</v>
      </c>
      <c r="G239" s="39"/>
      <c r="H239" s="40"/>
      <c r="I239" s="22" t="s">
        <v>42</v>
      </c>
      <c r="M239" s="22" t="s">
        <v>42</v>
      </c>
      <c r="N239" s="22" t="s">
        <v>42</v>
      </c>
      <c r="O239" s="22" t="s">
        <v>42</v>
      </c>
      <c r="P239" s="22" t="s">
        <v>42</v>
      </c>
      <c r="Q239" s="22" t="s">
        <v>42</v>
      </c>
      <c r="R239" s="22" t="s">
        <v>42</v>
      </c>
      <c r="S239" s="22" t="s">
        <v>42</v>
      </c>
      <c r="T239" s="22" t="s">
        <v>42</v>
      </c>
      <c r="U239" s="22"/>
      <c r="V239" s="22" t="s">
        <v>42</v>
      </c>
      <c r="W239" s="22" t="s">
        <v>42</v>
      </c>
      <c r="X239" s="22" t="s">
        <v>42</v>
      </c>
      <c r="Y239" s="22" t="s">
        <v>42</v>
      </c>
      <c r="Z239" s="22" t="s">
        <v>42</v>
      </c>
      <c r="AA239" s="22" t="s">
        <v>42</v>
      </c>
      <c r="AB239" s="22" t="s">
        <v>42</v>
      </c>
      <c r="AC239" s="22" t="s">
        <v>42</v>
      </c>
      <c r="AD239" s="22" t="s">
        <v>42</v>
      </c>
      <c r="AE239" s="22" t="s">
        <v>42</v>
      </c>
      <c r="AF239" s="22" t="s">
        <v>42</v>
      </c>
      <c r="AG239" s="22" t="s">
        <v>42</v>
      </c>
      <c r="AH239" s="22" t="s">
        <v>42</v>
      </c>
      <c r="AI239" s="22" t="s">
        <v>42</v>
      </c>
      <c r="AJ239" s="22" t="s">
        <v>42</v>
      </c>
      <c r="AL239" s="22" t="s">
        <v>42</v>
      </c>
      <c r="AM239" s="22">
        <f t="shared" si="12"/>
        <v>25</v>
      </c>
    </row>
    <row r="240" spans="1:39" x14ac:dyDescent="0.25">
      <c r="A240" s="20" t="s">
        <v>55</v>
      </c>
      <c r="B240" s="38" t="s">
        <v>574</v>
      </c>
      <c r="C240" s="20" t="s">
        <v>575</v>
      </c>
      <c r="D240" s="20" t="s">
        <v>21</v>
      </c>
      <c r="E240" s="20" t="s">
        <v>21</v>
      </c>
      <c r="F240" s="20" t="s">
        <v>58</v>
      </c>
      <c r="G240" s="39"/>
      <c r="H240" s="40"/>
      <c r="I240" s="22" t="s">
        <v>42</v>
      </c>
      <c r="L240" s="22" t="s">
        <v>42</v>
      </c>
      <c r="M240" s="22" t="s">
        <v>42</v>
      </c>
      <c r="N240" s="22" t="s">
        <v>42</v>
      </c>
      <c r="O240" s="22" t="s">
        <v>42</v>
      </c>
      <c r="P240" s="22" t="s">
        <v>42</v>
      </c>
      <c r="Q240" s="22" t="s">
        <v>42</v>
      </c>
      <c r="R240" s="22" t="s">
        <v>42</v>
      </c>
      <c r="S240" s="22" t="s">
        <v>42</v>
      </c>
      <c r="T240" s="22" t="s">
        <v>42</v>
      </c>
      <c r="U240" s="22"/>
      <c r="V240" s="22" t="s">
        <v>42</v>
      </c>
      <c r="W240" s="22" t="s">
        <v>42</v>
      </c>
      <c r="X240" s="22" t="s">
        <v>42</v>
      </c>
      <c r="Y240" s="22" t="s">
        <v>42</v>
      </c>
      <c r="Z240" s="22" t="s">
        <v>42</v>
      </c>
      <c r="AA240" s="22" t="s">
        <v>42</v>
      </c>
      <c r="AB240" s="22" t="s">
        <v>42</v>
      </c>
      <c r="AC240" s="22" t="s">
        <v>42</v>
      </c>
      <c r="AD240" s="22" t="s">
        <v>42</v>
      </c>
      <c r="AE240" s="22" t="s">
        <v>42</v>
      </c>
      <c r="AF240" s="22" t="s">
        <v>42</v>
      </c>
      <c r="AG240" s="22" t="s">
        <v>42</v>
      </c>
      <c r="AH240" s="22" t="s">
        <v>42</v>
      </c>
      <c r="AI240" s="22" t="s">
        <v>42</v>
      </c>
      <c r="AJ240" s="22" t="s">
        <v>42</v>
      </c>
      <c r="AK240" s="22" t="s">
        <v>42</v>
      </c>
      <c r="AL240" s="22" t="s">
        <v>42</v>
      </c>
      <c r="AM240" s="22">
        <f t="shared" si="12"/>
        <v>27</v>
      </c>
    </row>
    <row r="241" spans="1:39" x14ac:dyDescent="0.25">
      <c r="A241" s="20" t="s">
        <v>55</v>
      </c>
      <c r="B241" s="38" t="s">
        <v>576</v>
      </c>
      <c r="C241" s="20" t="s">
        <v>577</v>
      </c>
      <c r="D241" s="20" t="s">
        <v>21</v>
      </c>
      <c r="E241" s="20" t="s">
        <v>21</v>
      </c>
      <c r="F241" s="20" t="s">
        <v>58</v>
      </c>
      <c r="G241" s="39"/>
      <c r="H241" s="40"/>
      <c r="I241" s="22" t="s">
        <v>42</v>
      </c>
      <c r="J241" s="33"/>
      <c r="L241" s="22" t="s">
        <v>42</v>
      </c>
      <c r="M241" s="22" t="s">
        <v>42</v>
      </c>
      <c r="N241" s="22" t="s">
        <v>42</v>
      </c>
      <c r="O241" s="22" t="s">
        <v>42</v>
      </c>
      <c r="P241" s="22" t="s">
        <v>42</v>
      </c>
      <c r="Q241" s="22" t="s">
        <v>42</v>
      </c>
      <c r="R241" s="22" t="s">
        <v>42</v>
      </c>
      <c r="S241" s="22" t="s">
        <v>42</v>
      </c>
      <c r="T241" s="22" t="s">
        <v>42</v>
      </c>
      <c r="U241" s="22"/>
      <c r="V241" s="22" t="s">
        <v>42</v>
      </c>
      <c r="W241" s="22" t="s">
        <v>42</v>
      </c>
      <c r="X241" s="22" t="s">
        <v>42</v>
      </c>
      <c r="Y241" s="22" t="s">
        <v>42</v>
      </c>
      <c r="Z241" s="22" t="s">
        <v>42</v>
      </c>
      <c r="AA241" s="22" t="s">
        <v>42</v>
      </c>
      <c r="AB241" s="22" t="s">
        <v>42</v>
      </c>
      <c r="AC241" s="22" t="s">
        <v>42</v>
      </c>
      <c r="AD241" s="22" t="s">
        <v>42</v>
      </c>
      <c r="AE241" s="22" t="s">
        <v>42</v>
      </c>
      <c r="AF241" s="22" t="s">
        <v>42</v>
      </c>
      <c r="AG241" s="22" t="s">
        <v>42</v>
      </c>
      <c r="AH241" s="22" t="s">
        <v>42</v>
      </c>
      <c r="AI241" s="22" t="s">
        <v>42</v>
      </c>
      <c r="AJ241" s="22" t="s">
        <v>42</v>
      </c>
      <c r="AK241" s="22" t="s">
        <v>42</v>
      </c>
      <c r="AL241" s="22" t="s">
        <v>42</v>
      </c>
      <c r="AM241" s="22">
        <f t="shared" si="12"/>
        <v>27</v>
      </c>
    </row>
    <row r="242" spans="1:39" x14ac:dyDescent="0.25">
      <c r="A242" s="20" t="s">
        <v>55</v>
      </c>
      <c r="B242" s="38" t="s">
        <v>578</v>
      </c>
      <c r="C242" s="20" t="s">
        <v>579</v>
      </c>
      <c r="D242" s="20" t="s">
        <v>21</v>
      </c>
      <c r="E242" s="20" t="s">
        <v>21</v>
      </c>
      <c r="F242" s="20" t="s">
        <v>58</v>
      </c>
      <c r="G242" s="39"/>
      <c r="H242" s="40"/>
      <c r="I242" s="22" t="s">
        <v>42</v>
      </c>
      <c r="J242" s="33"/>
      <c r="L242" s="22" t="s">
        <v>42</v>
      </c>
      <c r="N242" s="22" t="s">
        <v>42</v>
      </c>
      <c r="O242" s="22" t="s">
        <v>42</v>
      </c>
      <c r="P242" s="22" t="s">
        <v>42</v>
      </c>
      <c r="Q242" s="22" t="s">
        <v>42</v>
      </c>
      <c r="R242" s="22" t="s">
        <v>42</v>
      </c>
      <c r="S242" s="22" t="s">
        <v>42</v>
      </c>
      <c r="T242" s="22" t="s">
        <v>42</v>
      </c>
      <c r="U242" s="22"/>
      <c r="V242" s="22" t="s">
        <v>42</v>
      </c>
      <c r="W242" s="22" t="s">
        <v>42</v>
      </c>
      <c r="X242" s="22" t="s">
        <v>42</v>
      </c>
      <c r="Y242" s="22" t="s">
        <v>42</v>
      </c>
      <c r="Z242" s="22" t="s">
        <v>42</v>
      </c>
      <c r="AA242" s="22" t="s">
        <v>42</v>
      </c>
      <c r="AB242" s="22" t="s">
        <v>42</v>
      </c>
      <c r="AC242" s="22" t="s">
        <v>42</v>
      </c>
      <c r="AD242" s="22" t="s">
        <v>42</v>
      </c>
      <c r="AE242" s="22" t="s">
        <v>42</v>
      </c>
      <c r="AF242" s="22" t="s">
        <v>42</v>
      </c>
      <c r="AG242" s="22" t="s">
        <v>42</v>
      </c>
      <c r="AH242" s="22" t="s">
        <v>42</v>
      </c>
      <c r="AI242" s="22" t="s">
        <v>42</v>
      </c>
      <c r="AJ242" s="22" t="s">
        <v>42</v>
      </c>
      <c r="AK242" s="22" t="s">
        <v>42</v>
      </c>
      <c r="AL242" s="22" t="s">
        <v>42</v>
      </c>
      <c r="AM242" s="22">
        <f t="shared" si="12"/>
        <v>26</v>
      </c>
    </row>
    <row r="243" spans="1:39" x14ac:dyDescent="0.25">
      <c r="A243" s="20" t="s">
        <v>55</v>
      </c>
      <c r="B243" s="38" t="s">
        <v>580</v>
      </c>
      <c r="C243" s="20" t="s">
        <v>581</v>
      </c>
      <c r="D243" s="20" t="s">
        <v>21</v>
      </c>
      <c r="E243" s="20" t="s">
        <v>21</v>
      </c>
      <c r="F243" s="20" t="s">
        <v>58</v>
      </c>
      <c r="G243" s="39"/>
      <c r="H243" s="40"/>
      <c r="I243" s="22" t="s">
        <v>42</v>
      </c>
      <c r="J243" s="33"/>
      <c r="L243" s="22" t="s">
        <v>42</v>
      </c>
      <c r="M243" s="22" t="s">
        <v>42</v>
      </c>
      <c r="N243" s="22" t="s">
        <v>42</v>
      </c>
      <c r="O243" s="22" t="s">
        <v>42</v>
      </c>
      <c r="P243" s="22" t="s">
        <v>42</v>
      </c>
      <c r="Q243" s="22" t="s">
        <v>42</v>
      </c>
      <c r="R243" s="22" t="s">
        <v>42</v>
      </c>
      <c r="S243" s="22" t="s">
        <v>42</v>
      </c>
      <c r="T243" s="22" t="s">
        <v>42</v>
      </c>
      <c r="U243" s="22"/>
      <c r="V243" s="22" t="s">
        <v>42</v>
      </c>
      <c r="W243" s="22" t="s">
        <v>42</v>
      </c>
      <c r="X243" s="22" t="s">
        <v>42</v>
      </c>
      <c r="Y243" s="22" t="s">
        <v>42</v>
      </c>
      <c r="Z243" s="22" t="s">
        <v>42</v>
      </c>
      <c r="AA243" s="22" t="s">
        <v>42</v>
      </c>
      <c r="AB243" s="22" t="s">
        <v>42</v>
      </c>
      <c r="AC243" s="22" t="s">
        <v>42</v>
      </c>
      <c r="AD243" s="22" t="s">
        <v>42</v>
      </c>
      <c r="AE243" s="22" t="s">
        <v>42</v>
      </c>
      <c r="AF243" s="22" t="s">
        <v>42</v>
      </c>
      <c r="AG243" s="22" t="s">
        <v>42</v>
      </c>
      <c r="AH243" s="22" t="s">
        <v>42</v>
      </c>
      <c r="AI243" s="22" t="s">
        <v>42</v>
      </c>
      <c r="AJ243" s="22" t="s">
        <v>42</v>
      </c>
      <c r="AK243" s="22" t="s">
        <v>42</v>
      </c>
      <c r="AL243" s="22" t="s">
        <v>42</v>
      </c>
      <c r="AM243" s="22">
        <f t="shared" si="12"/>
        <v>27</v>
      </c>
    </row>
    <row r="244" spans="1:39" x14ac:dyDescent="0.25">
      <c r="A244" s="20" t="s">
        <v>55</v>
      </c>
      <c r="B244" s="38" t="s">
        <v>582</v>
      </c>
      <c r="C244" s="20" t="s">
        <v>583</v>
      </c>
      <c r="D244" s="20" t="s">
        <v>21</v>
      </c>
      <c r="E244" s="20" t="s">
        <v>21</v>
      </c>
      <c r="F244" s="20" t="s">
        <v>58</v>
      </c>
      <c r="G244" s="39"/>
      <c r="H244" s="40"/>
      <c r="I244" s="22" t="s">
        <v>42</v>
      </c>
      <c r="L244" s="22" t="s">
        <v>42</v>
      </c>
      <c r="M244" s="22" t="s">
        <v>42</v>
      </c>
      <c r="N244" s="22" t="s">
        <v>42</v>
      </c>
      <c r="P244" s="22" t="s">
        <v>42</v>
      </c>
      <c r="Q244" s="22" t="s">
        <v>42</v>
      </c>
      <c r="R244" s="22" t="s">
        <v>42</v>
      </c>
      <c r="S244" s="22" t="s">
        <v>42</v>
      </c>
      <c r="T244" s="22" t="s">
        <v>42</v>
      </c>
      <c r="U244" s="22"/>
      <c r="V244" s="22" t="s">
        <v>42</v>
      </c>
      <c r="W244" s="22" t="s">
        <v>42</v>
      </c>
      <c r="X244" s="22" t="s">
        <v>42</v>
      </c>
      <c r="Y244" s="22" t="s">
        <v>42</v>
      </c>
      <c r="Z244" s="22" t="s">
        <v>42</v>
      </c>
      <c r="AA244" s="22" t="s">
        <v>42</v>
      </c>
      <c r="AB244" s="22" t="s">
        <v>42</v>
      </c>
      <c r="AC244" s="22" t="s">
        <v>42</v>
      </c>
      <c r="AD244" s="22" t="s">
        <v>42</v>
      </c>
      <c r="AE244" s="22" t="s">
        <v>42</v>
      </c>
      <c r="AF244" s="22" t="s">
        <v>42</v>
      </c>
      <c r="AG244" s="22" t="s">
        <v>42</v>
      </c>
      <c r="AH244" s="22" t="s">
        <v>42</v>
      </c>
      <c r="AI244" s="22" t="s">
        <v>42</v>
      </c>
      <c r="AJ244" s="22" t="s">
        <v>42</v>
      </c>
      <c r="AK244" s="22" t="s">
        <v>42</v>
      </c>
      <c r="AL244" s="22" t="s">
        <v>42</v>
      </c>
      <c r="AM244" s="22">
        <f t="shared" si="12"/>
        <v>26</v>
      </c>
    </row>
    <row r="245" spans="1:39" hidden="1" x14ac:dyDescent="0.25">
      <c r="A245" s="20" t="s">
        <v>55</v>
      </c>
      <c r="B245" s="38" t="s">
        <v>584</v>
      </c>
      <c r="C245" s="20" t="s">
        <v>585</v>
      </c>
      <c r="D245" s="20" t="s">
        <v>21</v>
      </c>
      <c r="E245" s="20" t="s">
        <v>21</v>
      </c>
      <c r="F245" s="20" t="s">
        <v>58</v>
      </c>
      <c r="G245" s="39"/>
      <c r="H245" s="40"/>
      <c r="I245" s="22" t="s">
        <v>42</v>
      </c>
      <c r="L245" s="22" t="s">
        <v>42</v>
      </c>
      <c r="M245" s="22" t="s">
        <v>42</v>
      </c>
      <c r="N245" s="22" t="s">
        <v>42</v>
      </c>
      <c r="O245" s="22" t="s">
        <v>42</v>
      </c>
      <c r="P245" s="22" t="s">
        <v>42</v>
      </c>
      <c r="Q245" s="22" t="s">
        <v>42</v>
      </c>
      <c r="R245" s="22" t="s">
        <v>42</v>
      </c>
      <c r="S245" s="22" t="s">
        <v>42</v>
      </c>
      <c r="T245" s="22" t="s">
        <v>42</v>
      </c>
      <c r="U245" s="22"/>
      <c r="V245" s="22" t="s">
        <v>42</v>
      </c>
      <c r="W245" s="22" t="s">
        <v>42</v>
      </c>
      <c r="X245" s="22" t="s">
        <v>42</v>
      </c>
      <c r="Y245" s="22" t="s">
        <v>42</v>
      </c>
      <c r="Z245" s="22" t="s">
        <v>42</v>
      </c>
      <c r="AA245" s="22" t="s">
        <v>42</v>
      </c>
      <c r="AB245" s="22" t="s">
        <v>42</v>
      </c>
      <c r="AC245" s="22"/>
      <c r="AD245" s="22"/>
      <c r="AE245" s="22"/>
      <c r="AF245" s="22"/>
      <c r="AG245" s="22"/>
      <c r="AH245" s="22"/>
      <c r="AM245" s="22">
        <f t="shared" si="12"/>
        <v>17</v>
      </c>
    </row>
    <row r="246" spans="1:39" hidden="1" x14ac:dyDescent="0.25">
      <c r="A246" s="20" t="s">
        <v>55</v>
      </c>
      <c r="B246" s="38" t="s">
        <v>586</v>
      </c>
      <c r="C246" s="20" t="s">
        <v>587</v>
      </c>
      <c r="D246" s="20" t="s">
        <v>21</v>
      </c>
      <c r="E246" s="20" t="s">
        <v>21</v>
      </c>
      <c r="F246" s="20" t="s">
        <v>58</v>
      </c>
      <c r="G246" s="39"/>
      <c r="H246" s="40"/>
      <c r="I246" s="22" t="s">
        <v>42</v>
      </c>
      <c r="L246" s="22" t="s">
        <v>42</v>
      </c>
      <c r="M246" s="22" t="s">
        <v>42</v>
      </c>
      <c r="N246" s="22" t="s">
        <v>42</v>
      </c>
      <c r="O246" s="22" t="s">
        <v>42</v>
      </c>
      <c r="P246" s="22" t="s">
        <v>42</v>
      </c>
      <c r="Q246" s="22" t="s">
        <v>42</v>
      </c>
      <c r="R246" s="22" t="s">
        <v>42</v>
      </c>
      <c r="S246" s="22"/>
      <c r="T246" s="22" t="s">
        <v>42</v>
      </c>
      <c r="U246" s="22"/>
      <c r="V246" s="22" t="s">
        <v>42</v>
      </c>
      <c r="W246" s="22" t="s">
        <v>42</v>
      </c>
      <c r="X246" s="22" t="s">
        <v>42</v>
      </c>
      <c r="Y246" s="22" t="s">
        <v>42</v>
      </c>
      <c r="Z246" s="22" t="s">
        <v>42</v>
      </c>
      <c r="AA246" s="22" t="s">
        <v>42</v>
      </c>
      <c r="AB246" s="22" t="s">
        <v>42</v>
      </c>
      <c r="AC246" s="22" t="s">
        <v>42</v>
      </c>
      <c r="AD246" s="22" t="s">
        <v>42</v>
      </c>
      <c r="AE246" s="22" t="s">
        <v>42</v>
      </c>
      <c r="AF246" s="22" t="s">
        <v>42</v>
      </c>
      <c r="AG246" s="22" t="s">
        <v>42</v>
      </c>
      <c r="AH246" s="22" t="s">
        <v>42</v>
      </c>
      <c r="AJ246" s="22" t="s">
        <v>42</v>
      </c>
      <c r="AK246" s="22" t="s">
        <v>42</v>
      </c>
      <c r="AL246" s="22" t="s">
        <v>42</v>
      </c>
      <c r="AM246" s="22">
        <f t="shared" si="12"/>
        <v>25</v>
      </c>
    </row>
    <row r="247" spans="1:39" hidden="1" x14ac:dyDescent="0.25">
      <c r="A247" s="20" t="s">
        <v>55</v>
      </c>
      <c r="B247" s="38" t="s">
        <v>588</v>
      </c>
      <c r="C247" s="20" t="s">
        <v>589</v>
      </c>
      <c r="D247" s="20" t="s">
        <v>21</v>
      </c>
      <c r="E247" s="20" t="s">
        <v>21</v>
      </c>
      <c r="F247" s="20" t="s">
        <v>58</v>
      </c>
      <c r="G247" s="39"/>
      <c r="H247" s="40"/>
      <c r="I247" s="22" t="s">
        <v>42</v>
      </c>
      <c r="L247" s="22" t="s">
        <v>42</v>
      </c>
      <c r="M247" s="22" t="s">
        <v>42</v>
      </c>
      <c r="N247" s="22" t="s">
        <v>42</v>
      </c>
      <c r="O247" s="22" t="s">
        <v>42</v>
      </c>
      <c r="P247" s="22" t="s">
        <v>42</v>
      </c>
      <c r="Q247" s="22" t="s">
        <v>42</v>
      </c>
      <c r="R247" s="22" t="s">
        <v>42</v>
      </c>
      <c r="S247" s="22" t="s">
        <v>42</v>
      </c>
      <c r="T247" s="22" t="s">
        <v>42</v>
      </c>
      <c r="U247" s="22"/>
      <c r="V247" s="22" t="s">
        <v>42</v>
      </c>
      <c r="W247" s="22" t="s">
        <v>42</v>
      </c>
      <c r="X247" s="22" t="s">
        <v>42</v>
      </c>
      <c r="Y247" s="22" t="s">
        <v>42</v>
      </c>
      <c r="Z247" s="22" t="s">
        <v>42</v>
      </c>
      <c r="AA247" s="22" t="s">
        <v>42</v>
      </c>
      <c r="AB247" s="22" t="s">
        <v>42</v>
      </c>
      <c r="AC247" s="22" t="s">
        <v>42</v>
      </c>
      <c r="AD247" s="22" t="s">
        <v>42</v>
      </c>
      <c r="AE247" s="22" t="s">
        <v>42</v>
      </c>
      <c r="AF247" s="22" t="s">
        <v>42</v>
      </c>
      <c r="AG247" s="22" t="s">
        <v>42</v>
      </c>
      <c r="AH247" s="22" t="s">
        <v>42</v>
      </c>
      <c r="AJ247" s="22" t="s">
        <v>42</v>
      </c>
      <c r="AK247" s="22" t="s">
        <v>42</v>
      </c>
      <c r="AL247" s="22" t="s">
        <v>42</v>
      </c>
      <c r="AM247" s="22">
        <f t="shared" si="12"/>
        <v>26</v>
      </c>
    </row>
    <row r="248" spans="1:39" x14ac:dyDescent="0.25">
      <c r="A248" s="20" t="s">
        <v>55</v>
      </c>
      <c r="B248" s="38" t="s">
        <v>590</v>
      </c>
      <c r="C248" s="20" t="s">
        <v>591</v>
      </c>
      <c r="D248" s="20" t="s">
        <v>21</v>
      </c>
      <c r="E248" s="20" t="s">
        <v>21</v>
      </c>
      <c r="F248" s="20" t="s">
        <v>58</v>
      </c>
      <c r="G248" s="39"/>
      <c r="H248" s="40"/>
      <c r="I248" s="22" t="s">
        <v>42</v>
      </c>
      <c r="L248" s="22" t="s">
        <v>42</v>
      </c>
      <c r="M248" s="22" t="s">
        <v>42</v>
      </c>
      <c r="O248" s="22" t="s">
        <v>42</v>
      </c>
      <c r="Q248" s="22" t="s">
        <v>42</v>
      </c>
      <c r="R248" s="22" t="s">
        <v>42</v>
      </c>
      <c r="S248" s="22" t="s">
        <v>42</v>
      </c>
      <c r="T248" s="22" t="s">
        <v>42</v>
      </c>
      <c r="U248" s="22"/>
      <c r="V248" s="22" t="s">
        <v>42</v>
      </c>
      <c r="W248" s="22" t="s">
        <v>42</v>
      </c>
      <c r="X248" s="22" t="s">
        <v>42</v>
      </c>
      <c r="Y248" s="22" t="s">
        <v>42</v>
      </c>
      <c r="Z248" s="22" t="s">
        <v>42</v>
      </c>
      <c r="AA248" s="22" t="s">
        <v>42</v>
      </c>
      <c r="AB248" s="22"/>
      <c r="AC248" s="22" t="s">
        <v>42</v>
      </c>
      <c r="AD248" s="22" t="s">
        <v>42</v>
      </c>
      <c r="AE248" s="22" t="s">
        <v>42</v>
      </c>
      <c r="AF248" s="22" t="s">
        <v>42</v>
      </c>
      <c r="AG248" s="22" t="s">
        <v>42</v>
      </c>
      <c r="AH248" s="22" t="s">
        <v>42</v>
      </c>
      <c r="AI248" s="22" t="s">
        <v>42</v>
      </c>
      <c r="AJ248" s="22" t="s">
        <v>42</v>
      </c>
      <c r="AL248" s="22" t="s">
        <v>42</v>
      </c>
      <c r="AM248" s="22">
        <f t="shared" si="12"/>
        <v>23</v>
      </c>
    </row>
    <row r="249" spans="1:39" x14ac:dyDescent="0.25">
      <c r="A249" s="20" t="s">
        <v>55</v>
      </c>
      <c r="B249" s="38" t="s">
        <v>592</v>
      </c>
      <c r="C249" s="20" t="s">
        <v>593</v>
      </c>
      <c r="D249" s="20" t="s">
        <v>21</v>
      </c>
      <c r="E249" s="20" t="s">
        <v>21</v>
      </c>
      <c r="F249" s="20" t="s">
        <v>58</v>
      </c>
      <c r="G249" s="39"/>
      <c r="H249" s="40"/>
      <c r="I249" s="22" t="s">
        <v>42</v>
      </c>
      <c r="M249" s="22" t="s">
        <v>42</v>
      </c>
      <c r="N249" s="22" t="s">
        <v>42</v>
      </c>
      <c r="Q249" s="22" t="s">
        <v>42</v>
      </c>
      <c r="R249" s="22" t="s">
        <v>42</v>
      </c>
      <c r="S249" s="22" t="s">
        <v>42</v>
      </c>
      <c r="T249" s="22" t="s">
        <v>42</v>
      </c>
      <c r="U249" s="22"/>
      <c r="V249" s="22" t="s">
        <v>42</v>
      </c>
      <c r="W249" s="22" t="s">
        <v>42</v>
      </c>
      <c r="X249" s="22" t="s">
        <v>42</v>
      </c>
      <c r="Y249" s="22" t="s">
        <v>42</v>
      </c>
      <c r="Z249" s="22" t="s">
        <v>42</v>
      </c>
      <c r="AA249" s="22" t="s">
        <v>42</v>
      </c>
      <c r="AB249" s="22"/>
      <c r="AC249" s="22" t="s">
        <v>42</v>
      </c>
      <c r="AD249" s="22" t="s">
        <v>42</v>
      </c>
      <c r="AE249" s="22" t="s">
        <v>42</v>
      </c>
      <c r="AF249" s="22" t="s">
        <v>42</v>
      </c>
      <c r="AG249" s="22" t="s">
        <v>42</v>
      </c>
      <c r="AH249" s="22" t="s">
        <v>42</v>
      </c>
      <c r="AI249" s="22" t="s">
        <v>42</v>
      </c>
      <c r="AJ249" s="22" t="s">
        <v>42</v>
      </c>
      <c r="AK249" s="22" t="s">
        <v>42</v>
      </c>
      <c r="AL249" s="22" t="s">
        <v>42</v>
      </c>
      <c r="AM249" s="22">
        <f t="shared" si="12"/>
        <v>23</v>
      </c>
    </row>
    <row r="250" spans="1:39" x14ac:dyDescent="0.25">
      <c r="A250" s="20" t="s">
        <v>55</v>
      </c>
      <c r="B250" s="38" t="s">
        <v>594</v>
      </c>
      <c r="C250" s="20" t="s">
        <v>595</v>
      </c>
      <c r="D250" s="20" t="s">
        <v>21</v>
      </c>
      <c r="E250" s="20" t="s">
        <v>21</v>
      </c>
      <c r="F250" s="20" t="s">
        <v>58</v>
      </c>
      <c r="G250" s="39"/>
      <c r="H250" s="40"/>
      <c r="I250" s="22" t="s">
        <v>42</v>
      </c>
      <c r="J250" s="33"/>
      <c r="L250" s="22" t="s">
        <v>42</v>
      </c>
      <c r="M250" s="22" t="s">
        <v>42</v>
      </c>
      <c r="N250" s="22" t="s">
        <v>42</v>
      </c>
      <c r="O250" s="22" t="s">
        <v>42</v>
      </c>
      <c r="P250" s="22" t="s">
        <v>42</v>
      </c>
      <c r="Q250" s="22" t="s">
        <v>42</v>
      </c>
      <c r="R250" s="22" t="s">
        <v>42</v>
      </c>
      <c r="S250" s="22" t="s">
        <v>42</v>
      </c>
      <c r="T250" s="22" t="s">
        <v>42</v>
      </c>
      <c r="U250" s="22"/>
      <c r="V250" s="22" t="s">
        <v>42</v>
      </c>
      <c r="W250" s="22" t="s">
        <v>42</v>
      </c>
      <c r="X250" s="22" t="s">
        <v>42</v>
      </c>
      <c r="Y250" s="22" t="s">
        <v>42</v>
      </c>
      <c r="Z250" s="22" t="s">
        <v>42</v>
      </c>
      <c r="AA250" s="22" t="s">
        <v>42</v>
      </c>
      <c r="AB250" s="22" t="s">
        <v>42</v>
      </c>
      <c r="AC250" s="22" t="s">
        <v>42</v>
      </c>
      <c r="AD250" s="22" t="s">
        <v>42</v>
      </c>
      <c r="AE250" s="22" t="s">
        <v>42</v>
      </c>
      <c r="AF250" s="22" t="s">
        <v>42</v>
      </c>
      <c r="AH250" s="22" t="s">
        <v>42</v>
      </c>
      <c r="AI250" s="22" t="s">
        <v>42</v>
      </c>
      <c r="AJ250" s="22" t="s">
        <v>42</v>
      </c>
      <c r="AK250" s="22" t="s">
        <v>42</v>
      </c>
      <c r="AL250" s="22" t="s">
        <v>42</v>
      </c>
      <c r="AM250" s="22">
        <f t="shared" si="12"/>
        <v>26</v>
      </c>
    </row>
    <row r="251" spans="1:39" x14ac:dyDescent="0.25">
      <c r="A251" s="20" t="s">
        <v>55</v>
      </c>
      <c r="B251" s="38" t="s">
        <v>596</v>
      </c>
      <c r="C251" s="20" t="s">
        <v>597</v>
      </c>
      <c r="D251" s="20" t="s">
        <v>21</v>
      </c>
      <c r="E251" s="20" t="s">
        <v>21</v>
      </c>
      <c r="F251" s="20" t="s">
        <v>58</v>
      </c>
      <c r="G251" s="39"/>
      <c r="H251" s="40"/>
      <c r="I251" s="22" t="s">
        <v>42</v>
      </c>
      <c r="L251" s="22" t="s">
        <v>42</v>
      </c>
      <c r="M251" s="22" t="s">
        <v>42</v>
      </c>
      <c r="N251" s="22" t="s">
        <v>42</v>
      </c>
      <c r="O251" s="22" t="s">
        <v>42</v>
      </c>
      <c r="P251" s="22" t="s">
        <v>42</v>
      </c>
      <c r="Q251" s="22" t="s">
        <v>42</v>
      </c>
      <c r="R251" s="22" t="s">
        <v>42</v>
      </c>
      <c r="S251" s="22" t="s">
        <v>42</v>
      </c>
      <c r="T251" s="22" t="s">
        <v>42</v>
      </c>
      <c r="U251" s="22"/>
      <c r="V251" s="22" t="s">
        <v>42</v>
      </c>
      <c r="W251" s="22" t="s">
        <v>42</v>
      </c>
      <c r="X251" s="22" t="s">
        <v>42</v>
      </c>
      <c r="Y251" s="22" t="s">
        <v>42</v>
      </c>
      <c r="Z251" s="22" t="s">
        <v>42</v>
      </c>
      <c r="AA251" s="22" t="s">
        <v>42</v>
      </c>
      <c r="AB251" s="22" t="s">
        <v>42</v>
      </c>
      <c r="AC251" s="22" t="s">
        <v>42</v>
      </c>
      <c r="AD251" s="22" t="s">
        <v>42</v>
      </c>
      <c r="AE251" s="22" t="s">
        <v>42</v>
      </c>
      <c r="AF251" s="22" t="s">
        <v>42</v>
      </c>
      <c r="AG251" s="22" t="s">
        <v>42</v>
      </c>
      <c r="AH251" s="22" t="s">
        <v>42</v>
      </c>
      <c r="AI251" s="22" t="s">
        <v>42</v>
      </c>
      <c r="AJ251" s="22" t="s">
        <v>42</v>
      </c>
      <c r="AK251" s="22" t="s">
        <v>42</v>
      </c>
      <c r="AL251" s="22" t="s">
        <v>42</v>
      </c>
      <c r="AM251" s="22">
        <f t="shared" si="12"/>
        <v>27</v>
      </c>
    </row>
    <row r="252" spans="1:39" x14ac:dyDescent="0.25">
      <c r="A252" s="20" t="s">
        <v>55</v>
      </c>
      <c r="B252" s="38" t="s">
        <v>598</v>
      </c>
      <c r="C252" s="20" t="s">
        <v>599</v>
      </c>
      <c r="D252" s="20" t="s">
        <v>21</v>
      </c>
      <c r="E252" s="20" t="s">
        <v>21</v>
      </c>
      <c r="F252" s="20" t="s">
        <v>58</v>
      </c>
      <c r="G252" s="39"/>
      <c r="H252" s="40"/>
      <c r="I252" s="22" t="s">
        <v>42</v>
      </c>
      <c r="L252" s="22" t="s">
        <v>42</v>
      </c>
      <c r="M252" s="22" t="s">
        <v>42</v>
      </c>
      <c r="N252" s="22" t="s">
        <v>42</v>
      </c>
      <c r="O252" s="22" t="s">
        <v>42</v>
      </c>
      <c r="R252" s="22" t="s">
        <v>42</v>
      </c>
      <c r="S252" s="22" t="s">
        <v>42</v>
      </c>
      <c r="T252" s="22" t="s">
        <v>42</v>
      </c>
      <c r="U252" s="22"/>
      <c r="V252" s="22" t="s">
        <v>42</v>
      </c>
      <c r="W252" s="22" t="s">
        <v>42</v>
      </c>
      <c r="X252" s="22" t="s">
        <v>42</v>
      </c>
      <c r="Y252" s="22" t="s">
        <v>42</v>
      </c>
      <c r="Z252" s="22" t="s">
        <v>42</v>
      </c>
      <c r="AA252" s="22" t="s">
        <v>42</v>
      </c>
      <c r="AB252" s="22"/>
      <c r="AC252" s="22" t="s">
        <v>42</v>
      </c>
      <c r="AD252" s="22" t="s">
        <v>42</v>
      </c>
      <c r="AE252" s="22" t="s">
        <v>42</v>
      </c>
      <c r="AF252" s="22" t="s">
        <v>42</v>
      </c>
      <c r="AG252" s="22" t="s">
        <v>42</v>
      </c>
      <c r="AH252" s="22" t="s">
        <v>42</v>
      </c>
      <c r="AI252" s="22" t="s">
        <v>42</v>
      </c>
      <c r="AJ252" s="22" t="s">
        <v>42</v>
      </c>
      <c r="AK252" s="22" t="s">
        <v>42</v>
      </c>
      <c r="AL252" s="22" t="s">
        <v>42</v>
      </c>
      <c r="AM252" s="22">
        <f t="shared" si="12"/>
        <v>24</v>
      </c>
    </row>
    <row r="253" spans="1:39" x14ac:dyDescent="0.25">
      <c r="A253" s="20" t="s">
        <v>55</v>
      </c>
      <c r="B253" s="38" t="s">
        <v>600</v>
      </c>
      <c r="C253" s="20" t="s">
        <v>601</v>
      </c>
      <c r="D253" s="20" t="s">
        <v>21</v>
      </c>
      <c r="E253" s="20" t="s">
        <v>21</v>
      </c>
      <c r="F253" s="20" t="s">
        <v>58</v>
      </c>
      <c r="G253" s="39"/>
      <c r="H253" s="40"/>
      <c r="I253" s="22" t="s">
        <v>42</v>
      </c>
      <c r="J253" s="33"/>
      <c r="L253" s="22" t="s">
        <v>42</v>
      </c>
      <c r="M253" s="22" t="s">
        <v>42</v>
      </c>
      <c r="N253" s="22" t="s">
        <v>42</v>
      </c>
      <c r="O253" s="22" t="s">
        <v>42</v>
      </c>
      <c r="P253" s="22" t="s">
        <v>42</v>
      </c>
      <c r="Q253" s="22" t="s">
        <v>42</v>
      </c>
      <c r="R253" s="22" t="s">
        <v>42</v>
      </c>
      <c r="S253" s="22" t="s">
        <v>42</v>
      </c>
      <c r="T253" s="22" t="s">
        <v>42</v>
      </c>
      <c r="U253" s="22"/>
      <c r="V253" s="22" t="s">
        <v>42</v>
      </c>
      <c r="W253" s="22" t="s">
        <v>42</v>
      </c>
      <c r="X253" s="22" t="s">
        <v>42</v>
      </c>
      <c r="Y253" s="22" t="s">
        <v>42</v>
      </c>
      <c r="Z253" s="22" t="s">
        <v>42</v>
      </c>
      <c r="AA253" s="22" t="s">
        <v>42</v>
      </c>
      <c r="AB253" s="22" t="s">
        <v>42</v>
      </c>
      <c r="AC253" s="22" t="s">
        <v>42</v>
      </c>
      <c r="AD253" s="22" t="s">
        <v>42</v>
      </c>
      <c r="AE253" s="22" t="s">
        <v>42</v>
      </c>
      <c r="AF253" s="22" t="s">
        <v>42</v>
      </c>
      <c r="AG253" s="22" t="s">
        <v>42</v>
      </c>
      <c r="AH253" s="22" t="s">
        <v>42</v>
      </c>
      <c r="AI253" s="22" t="s">
        <v>42</v>
      </c>
      <c r="AJ253" s="22" t="s">
        <v>42</v>
      </c>
      <c r="AK253" s="22" t="s">
        <v>42</v>
      </c>
      <c r="AL253" s="22" t="s">
        <v>42</v>
      </c>
      <c r="AM253" s="22">
        <f t="shared" si="12"/>
        <v>27</v>
      </c>
    </row>
    <row r="254" spans="1:39" x14ac:dyDescent="0.25">
      <c r="A254" s="20" t="s">
        <v>55</v>
      </c>
      <c r="B254" s="38" t="s">
        <v>602</v>
      </c>
      <c r="C254" s="20" t="s">
        <v>603</v>
      </c>
      <c r="D254" s="20" t="s">
        <v>21</v>
      </c>
      <c r="E254" s="20" t="s">
        <v>21</v>
      </c>
      <c r="F254" s="20" t="s">
        <v>58</v>
      </c>
      <c r="G254" s="39"/>
      <c r="H254" s="40"/>
      <c r="I254" s="22" t="s">
        <v>42</v>
      </c>
      <c r="J254" s="33"/>
      <c r="L254" s="22" t="s">
        <v>42</v>
      </c>
      <c r="M254" s="22" t="s">
        <v>42</v>
      </c>
      <c r="N254" s="22" t="s">
        <v>42</v>
      </c>
      <c r="O254" s="22" t="s">
        <v>42</v>
      </c>
      <c r="P254" s="22" t="s">
        <v>42</v>
      </c>
      <c r="Q254" s="22" t="s">
        <v>42</v>
      </c>
      <c r="R254" s="22" t="s">
        <v>42</v>
      </c>
      <c r="S254" s="22" t="s">
        <v>42</v>
      </c>
      <c r="T254" s="22" t="s">
        <v>42</v>
      </c>
      <c r="U254" s="22"/>
      <c r="V254" s="22" t="s">
        <v>42</v>
      </c>
      <c r="W254" s="22" t="s">
        <v>42</v>
      </c>
      <c r="X254" s="22" t="s">
        <v>42</v>
      </c>
      <c r="Y254" s="22" t="s">
        <v>42</v>
      </c>
      <c r="Z254" s="22" t="s">
        <v>42</v>
      </c>
      <c r="AA254" s="22" t="s">
        <v>42</v>
      </c>
      <c r="AB254" s="22" t="s">
        <v>42</v>
      </c>
      <c r="AC254" s="22" t="s">
        <v>42</v>
      </c>
      <c r="AD254" s="22" t="s">
        <v>42</v>
      </c>
      <c r="AE254" s="22" t="s">
        <v>42</v>
      </c>
      <c r="AF254" s="22" t="s">
        <v>42</v>
      </c>
      <c r="AG254" s="22" t="s">
        <v>42</v>
      </c>
      <c r="AH254" s="22" t="s">
        <v>42</v>
      </c>
      <c r="AI254" s="22" t="s">
        <v>42</v>
      </c>
      <c r="AJ254" s="22" t="s">
        <v>42</v>
      </c>
      <c r="AK254" s="22" t="s">
        <v>42</v>
      </c>
      <c r="AL254" s="22" t="s">
        <v>42</v>
      </c>
      <c r="AM254" s="22">
        <f t="shared" si="12"/>
        <v>27</v>
      </c>
    </row>
    <row r="255" spans="1:39" x14ac:dyDescent="0.25">
      <c r="A255" s="20" t="s">
        <v>55</v>
      </c>
      <c r="B255" s="38" t="s">
        <v>604</v>
      </c>
      <c r="C255" s="20" t="s">
        <v>605</v>
      </c>
      <c r="D255" s="20" t="s">
        <v>21</v>
      </c>
      <c r="E255" s="20" t="s">
        <v>21</v>
      </c>
      <c r="F255" s="20" t="s">
        <v>58</v>
      </c>
      <c r="G255" s="39"/>
      <c r="H255" s="40"/>
      <c r="I255" s="22" t="s">
        <v>42</v>
      </c>
      <c r="J255" s="33"/>
      <c r="L255" s="22" t="s">
        <v>42</v>
      </c>
      <c r="M255" s="22" t="s">
        <v>42</v>
      </c>
      <c r="N255" s="22" t="s">
        <v>42</v>
      </c>
      <c r="P255" s="22" t="s">
        <v>42</v>
      </c>
      <c r="Q255" s="22" t="s">
        <v>42</v>
      </c>
      <c r="R255" s="22" t="s">
        <v>42</v>
      </c>
      <c r="S255" s="22" t="s">
        <v>42</v>
      </c>
      <c r="T255" s="22" t="s">
        <v>42</v>
      </c>
      <c r="U255" s="22"/>
      <c r="V255" s="22" t="s">
        <v>42</v>
      </c>
      <c r="W255" s="22" t="s">
        <v>42</v>
      </c>
      <c r="X255" s="22" t="s">
        <v>42</v>
      </c>
      <c r="Y255" s="22" t="s">
        <v>42</v>
      </c>
      <c r="Z255" s="22" t="s">
        <v>42</v>
      </c>
      <c r="AA255" s="22" t="s">
        <v>42</v>
      </c>
      <c r="AB255" s="22" t="s">
        <v>42</v>
      </c>
      <c r="AC255" s="22" t="s">
        <v>42</v>
      </c>
      <c r="AD255" s="22" t="s">
        <v>42</v>
      </c>
      <c r="AE255" s="22" t="s">
        <v>42</v>
      </c>
      <c r="AF255" s="22" t="s">
        <v>42</v>
      </c>
      <c r="AG255" s="22" t="s">
        <v>42</v>
      </c>
      <c r="AH255" s="22" t="s">
        <v>42</v>
      </c>
      <c r="AI255" s="22" t="s">
        <v>42</v>
      </c>
      <c r="AJ255" s="22" t="s">
        <v>42</v>
      </c>
      <c r="AL255" s="22" t="s">
        <v>42</v>
      </c>
      <c r="AM255" s="22">
        <f t="shared" si="12"/>
        <v>25</v>
      </c>
    </row>
    <row r="256" spans="1:39" hidden="1" x14ac:dyDescent="0.25">
      <c r="A256" s="20" t="s">
        <v>55</v>
      </c>
      <c r="B256" s="38" t="s">
        <v>606</v>
      </c>
      <c r="C256" s="20" t="s">
        <v>607</v>
      </c>
      <c r="D256" s="20" t="s">
        <v>21</v>
      </c>
      <c r="E256" s="20" t="s">
        <v>21</v>
      </c>
      <c r="F256" s="20" t="s">
        <v>58</v>
      </c>
      <c r="G256" s="39"/>
      <c r="H256" s="40"/>
      <c r="I256" s="22" t="s">
        <v>42</v>
      </c>
      <c r="L256" s="22" t="s">
        <v>42</v>
      </c>
      <c r="M256" s="22" t="s">
        <v>42</v>
      </c>
      <c r="N256" s="22" t="s">
        <v>42</v>
      </c>
      <c r="O256" s="22" t="s">
        <v>42</v>
      </c>
      <c r="P256" s="22" t="s">
        <v>42</v>
      </c>
      <c r="Q256" s="22" t="s">
        <v>42</v>
      </c>
      <c r="R256" s="22" t="s">
        <v>42</v>
      </c>
      <c r="S256" s="22" t="s">
        <v>42</v>
      </c>
      <c r="T256" s="22" t="s">
        <v>42</v>
      </c>
      <c r="U256" s="22"/>
      <c r="V256" s="22" t="s">
        <v>42</v>
      </c>
      <c r="W256" s="22" t="s">
        <v>42</v>
      </c>
      <c r="X256" s="22" t="s">
        <v>42</v>
      </c>
      <c r="Y256" s="22" t="s">
        <v>42</v>
      </c>
      <c r="Z256" s="22" t="s">
        <v>42</v>
      </c>
      <c r="AA256" s="22" t="s">
        <v>42</v>
      </c>
      <c r="AB256" s="22" t="s">
        <v>42</v>
      </c>
      <c r="AC256" s="22" t="s">
        <v>42</v>
      </c>
      <c r="AD256" s="22" t="s">
        <v>42</v>
      </c>
      <c r="AE256" s="22" t="s">
        <v>42</v>
      </c>
      <c r="AF256" s="22" t="s">
        <v>42</v>
      </c>
      <c r="AG256" s="22"/>
      <c r="AH256" s="22" t="s">
        <v>42</v>
      </c>
      <c r="AJ256" s="22" t="s">
        <v>42</v>
      </c>
      <c r="AK256" s="22" t="s">
        <v>42</v>
      </c>
      <c r="AL256" s="22" t="s">
        <v>42</v>
      </c>
      <c r="AM256" s="22">
        <f t="shared" si="12"/>
        <v>25</v>
      </c>
    </row>
    <row r="257" spans="1:39" hidden="1" x14ac:dyDescent="0.25">
      <c r="A257" s="20" t="s">
        <v>55</v>
      </c>
      <c r="B257" s="38" t="s">
        <v>608</v>
      </c>
      <c r="C257" s="20" t="s">
        <v>609</v>
      </c>
      <c r="D257" s="20" t="s">
        <v>7</v>
      </c>
      <c r="E257" s="20" t="s">
        <v>7</v>
      </c>
      <c r="F257" s="20" t="s">
        <v>63</v>
      </c>
      <c r="G257" s="39"/>
      <c r="H257" s="40"/>
      <c r="I257" s="33" t="s">
        <v>38</v>
      </c>
      <c r="J257" s="33"/>
      <c r="K257" s="33"/>
      <c r="L257" s="33" t="s">
        <v>38</v>
      </c>
      <c r="M257" s="33" t="s">
        <v>38</v>
      </c>
      <c r="N257" s="33"/>
      <c r="O257" s="33" t="s">
        <v>38</v>
      </c>
      <c r="P257" s="33" t="s">
        <v>38</v>
      </c>
      <c r="Q257" s="33" t="s">
        <v>38</v>
      </c>
      <c r="R257" s="33" t="s">
        <v>38</v>
      </c>
      <c r="S257" s="33" t="s">
        <v>38</v>
      </c>
      <c r="T257" s="33"/>
      <c r="U257" s="33"/>
      <c r="V257" s="33" t="s">
        <v>38</v>
      </c>
      <c r="W257" s="33" t="s">
        <v>38</v>
      </c>
      <c r="X257" s="22"/>
      <c r="Y257" s="33"/>
      <c r="Z257" s="33"/>
      <c r="AA257" s="33" t="s">
        <v>38</v>
      </c>
      <c r="AB257" s="33"/>
      <c r="AC257" s="33" t="s">
        <v>38</v>
      </c>
      <c r="AD257" s="33" t="s">
        <v>38</v>
      </c>
      <c r="AE257" s="33" t="s">
        <v>38</v>
      </c>
      <c r="AF257" s="33" t="s">
        <v>38</v>
      </c>
      <c r="AG257" s="33" t="s">
        <v>38</v>
      </c>
      <c r="AH257" s="33" t="s">
        <v>38</v>
      </c>
      <c r="AI257" s="33"/>
      <c r="AJ257" s="33" t="s">
        <v>38</v>
      </c>
      <c r="AK257" s="33" t="s">
        <v>38</v>
      </c>
      <c r="AL257" s="33" t="s">
        <v>38</v>
      </c>
      <c r="AM257" s="22">
        <f t="shared" si="12"/>
        <v>20</v>
      </c>
    </row>
    <row r="258" spans="1:39" hidden="1" x14ac:dyDescent="0.25">
      <c r="A258" s="20" t="s">
        <v>55</v>
      </c>
      <c r="B258" s="38" t="s">
        <v>610</v>
      </c>
      <c r="C258" s="20" t="s">
        <v>611</v>
      </c>
      <c r="D258" s="20" t="s">
        <v>10</v>
      </c>
      <c r="E258" s="20" t="s">
        <v>10</v>
      </c>
      <c r="F258" s="20" t="s">
        <v>58</v>
      </c>
      <c r="G258" s="39"/>
      <c r="H258" s="40"/>
      <c r="I258" s="22" t="s">
        <v>42</v>
      </c>
      <c r="M258" s="22" t="s">
        <v>42</v>
      </c>
      <c r="O258" s="22" t="s">
        <v>42</v>
      </c>
      <c r="P258" s="22" t="s">
        <v>42</v>
      </c>
      <c r="Q258" s="22" t="s">
        <v>42</v>
      </c>
      <c r="R258" s="22" t="s">
        <v>42</v>
      </c>
      <c r="S258" s="22" t="s">
        <v>42</v>
      </c>
      <c r="T258" s="22" t="s">
        <v>42</v>
      </c>
      <c r="U258" s="22"/>
      <c r="V258" s="22" t="s">
        <v>42</v>
      </c>
      <c r="W258" s="22" t="s">
        <v>42</v>
      </c>
      <c r="X258" s="22" t="s">
        <v>42</v>
      </c>
      <c r="Y258" s="22" t="s">
        <v>42</v>
      </c>
      <c r="Z258" s="22" t="s">
        <v>42</v>
      </c>
      <c r="AA258" s="22" t="s">
        <v>42</v>
      </c>
      <c r="AB258" s="22"/>
      <c r="AC258" s="22" t="s">
        <v>42</v>
      </c>
      <c r="AD258" s="22" t="s">
        <v>42</v>
      </c>
      <c r="AE258" s="22" t="s">
        <v>42</v>
      </c>
      <c r="AF258" s="22" t="s">
        <v>42</v>
      </c>
      <c r="AG258" s="22" t="s">
        <v>42</v>
      </c>
      <c r="AH258" s="22" t="s">
        <v>42</v>
      </c>
      <c r="AJ258" s="22" t="s">
        <v>42</v>
      </c>
      <c r="AK258" s="22" t="s">
        <v>42</v>
      </c>
      <c r="AL258" s="22" t="s">
        <v>42</v>
      </c>
      <c r="AM258" s="22">
        <f t="shared" si="12"/>
        <v>23</v>
      </c>
    </row>
    <row r="259" spans="1:39" hidden="1" x14ac:dyDescent="0.25">
      <c r="A259" s="20" t="s">
        <v>55</v>
      </c>
      <c r="B259" s="38" t="s">
        <v>612</v>
      </c>
      <c r="C259" s="20" t="s">
        <v>613</v>
      </c>
      <c r="D259" s="20" t="s">
        <v>14</v>
      </c>
      <c r="E259" s="20" t="s">
        <v>14</v>
      </c>
      <c r="F259" s="20" t="s">
        <v>58</v>
      </c>
      <c r="G259" s="39"/>
      <c r="H259" s="40"/>
      <c r="I259" s="22" t="s">
        <v>42</v>
      </c>
      <c r="J259" s="33"/>
      <c r="M259" s="22" t="s">
        <v>42</v>
      </c>
      <c r="O259" s="22" t="s">
        <v>42</v>
      </c>
      <c r="Q259" s="22" t="s">
        <v>42</v>
      </c>
      <c r="R259" s="22" t="s">
        <v>42</v>
      </c>
      <c r="S259" s="22" t="s">
        <v>42</v>
      </c>
      <c r="T259" s="22" t="s">
        <v>42</v>
      </c>
      <c r="U259" s="22"/>
      <c r="V259" s="22"/>
      <c r="W259" s="22" t="s">
        <v>42</v>
      </c>
      <c r="X259" s="22" t="s">
        <v>42</v>
      </c>
      <c r="Y259" s="22" t="s">
        <v>42</v>
      </c>
      <c r="Z259" s="22" t="s">
        <v>42</v>
      </c>
      <c r="AA259" s="22" t="s">
        <v>42</v>
      </c>
      <c r="AC259" s="22" t="s">
        <v>42</v>
      </c>
      <c r="AD259" s="22" t="s">
        <v>42</v>
      </c>
      <c r="AE259" s="22" t="s">
        <v>42</v>
      </c>
      <c r="AF259" s="22" t="s">
        <v>42</v>
      </c>
      <c r="AG259" s="22" t="s">
        <v>42</v>
      </c>
      <c r="AH259" s="22" t="s">
        <v>42</v>
      </c>
      <c r="AK259" s="22" t="s">
        <v>42</v>
      </c>
      <c r="AM259" s="22">
        <f t="shared" si="12"/>
        <v>19</v>
      </c>
    </row>
    <row r="260" spans="1:39" hidden="1" x14ac:dyDescent="0.25">
      <c r="A260" s="20" t="s">
        <v>55</v>
      </c>
      <c r="B260" s="38" t="s">
        <v>614</v>
      </c>
      <c r="C260" s="20" t="s">
        <v>615</v>
      </c>
      <c r="D260" s="20" t="s">
        <v>13</v>
      </c>
      <c r="E260" s="20" t="s">
        <v>13</v>
      </c>
      <c r="F260" s="20" t="s">
        <v>58</v>
      </c>
      <c r="G260" s="39"/>
      <c r="H260" s="40"/>
      <c r="I260" s="22" t="s">
        <v>42</v>
      </c>
      <c r="L260" s="22" t="s">
        <v>42</v>
      </c>
      <c r="M260" s="22" t="s">
        <v>42</v>
      </c>
      <c r="O260" s="22" t="s">
        <v>42</v>
      </c>
      <c r="P260" s="22" t="s">
        <v>42</v>
      </c>
      <c r="Q260" s="22" t="s">
        <v>42</v>
      </c>
      <c r="R260" s="22" t="s">
        <v>42</v>
      </c>
      <c r="S260" s="22" t="s">
        <v>42</v>
      </c>
      <c r="T260" s="22" t="s">
        <v>42</v>
      </c>
      <c r="U260" s="22"/>
      <c r="V260" s="22" t="s">
        <v>42</v>
      </c>
      <c r="W260" s="22" t="s">
        <v>42</v>
      </c>
      <c r="X260" s="22" t="s">
        <v>42</v>
      </c>
      <c r="Y260" s="22" t="s">
        <v>42</v>
      </c>
      <c r="Z260" s="22" t="s">
        <v>42</v>
      </c>
      <c r="AA260" s="22" t="s">
        <v>42</v>
      </c>
      <c r="AB260" s="22"/>
      <c r="AC260" s="22" t="s">
        <v>42</v>
      </c>
      <c r="AD260" s="22" t="s">
        <v>42</v>
      </c>
      <c r="AE260" s="22" t="s">
        <v>42</v>
      </c>
      <c r="AF260" s="22" t="s">
        <v>42</v>
      </c>
      <c r="AG260" s="22" t="s">
        <v>42</v>
      </c>
      <c r="AH260" s="22" t="s">
        <v>42</v>
      </c>
      <c r="AJ260" s="22" t="s">
        <v>42</v>
      </c>
      <c r="AK260" s="22" t="s">
        <v>42</v>
      </c>
      <c r="AL260" s="22" t="s">
        <v>42</v>
      </c>
      <c r="AM260" s="22">
        <f t="shared" si="12"/>
        <v>24</v>
      </c>
    </row>
    <row r="261" spans="1:39" hidden="1" x14ac:dyDescent="0.25">
      <c r="A261" s="20" t="s">
        <v>55</v>
      </c>
      <c r="B261" s="38" t="s">
        <v>616</v>
      </c>
      <c r="C261" s="20" t="s">
        <v>617</v>
      </c>
      <c r="D261" s="20" t="s">
        <v>28</v>
      </c>
      <c r="E261" s="20" t="s">
        <v>28</v>
      </c>
      <c r="F261" s="20" t="s">
        <v>58</v>
      </c>
      <c r="G261" s="39"/>
      <c r="H261" s="40"/>
      <c r="I261" s="22" t="s">
        <v>42</v>
      </c>
      <c r="L261" s="22" t="s">
        <v>42</v>
      </c>
      <c r="M261" s="22" t="s">
        <v>42</v>
      </c>
      <c r="O261" s="22" t="s">
        <v>42</v>
      </c>
      <c r="P261" s="22" t="s">
        <v>42</v>
      </c>
      <c r="Q261" s="22" t="s">
        <v>42</v>
      </c>
      <c r="R261" s="22" t="s">
        <v>42</v>
      </c>
      <c r="S261" s="22" t="s">
        <v>42</v>
      </c>
      <c r="T261" s="22" t="s">
        <v>42</v>
      </c>
      <c r="U261" s="22"/>
      <c r="V261" s="22" t="s">
        <v>42</v>
      </c>
      <c r="W261" s="22"/>
      <c r="X261" s="22" t="s">
        <v>42</v>
      </c>
      <c r="Y261" s="22" t="s">
        <v>42</v>
      </c>
      <c r="Z261" s="22" t="s">
        <v>42</v>
      </c>
      <c r="AA261" s="22"/>
      <c r="AB261" s="22"/>
      <c r="AC261" s="22"/>
      <c r="AD261" s="22"/>
      <c r="AE261" s="22" t="s">
        <v>42</v>
      </c>
      <c r="AF261" s="22" t="s">
        <v>42</v>
      </c>
      <c r="AG261" s="22" t="s">
        <v>42</v>
      </c>
      <c r="AH261" s="22" t="s">
        <v>42</v>
      </c>
      <c r="AJ261" s="22" t="s">
        <v>42</v>
      </c>
      <c r="AK261" s="22" t="s">
        <v>42</v>
      </c>
      <c r="AL261" s="22" t="s">
        <v>42</v>
      </c>
      <c r="AM261" s="22">
        <f t="shared" si="12"/>
        <v>20</v>
      </c>
    </row>
    <row r="262" spans="1:39" hidden="1" x14ac:dyDescent="0.25">
      <c r="A262" s="20" t="s">
        <v>55</v>
      </c>
      <c r="B262" s="38" t="s">
        <v>618</v>
      </c>
      <c r="C262" s="20" t="s">
        <v>619</v>
      </c>
      <c r="D262" s="20" t="s">
        <v>22</v>
      </c>
      <c r="E262" s="20" t="s">
        <v>22</v>
      </c>
      <c r="F262" s="20" t="s">
        <v>58</v>
      </c>
      <c r="G262" s="39"/>
      <c r="H262" s="40"/>
      <c r="I262" s="22" t="s">
        <v>42</v>
      </c>
      <c r="L262" s="22" t="s">
        <v>42</v>
      </c>
      <c r="M262" s="22" t="s">
        <v>42</v>
      </c>
      <c r="O262" s="22" t="s">
        <v>42</v>
      </c>
      <c r="P262" s="22" t="s">
        <v>42</v>
      </c>
      <c r="Q262" s="22" t="s">
        <v>42</v>
      </c>
      <c r="R262" s="22" t="s">
        <v>42</v>
      </c>
      <c r="S262" s="22" t="s">
        <v>42</v>
      </c>
      <c r="T262" s="22" t="s">
        <v>42</v>
      </c>
      <c r="U262" s="22"/>
      <c r="V262" s="22"/>
      <c r="W262" s="22"/>
      <c r="X262" s="22" t="s">
        <v>42</v>
      </c>
      <c r="Y262" s="22" t="s">
        <v>42</v>
      </c>
      <c r="Z262" s="22" t="s">
        <v>42</v>
      </c>
      <c r="AA262" s="22" t="s">
        <v>42</v>
      </c>
      <c r="AB262" s="22"/>
      <c r="AC262" s="22" t="s">
        <v>42</v>
      </c>
      <c r="AD262" s="22" t="s">
        <v>42</v>
      </c>
      <c r="AE262" s="22" t="s">
        <v>42</v>
      </c>
      <c r="AF262" s="22" t="s">
        <v>42</v>
      </c>
      <c r="AG262" s="22" t="s">
        <v>42</v>
      </c>
      <c r="AH262" s="22" t="s">
        <v>42</v>
      </c>
      <c r="AJ262" s="22" t="s">
        <v>42</v>
      </c>
      <c r="AK262" s="22" t="s">
        <v>42</v>
      </c>
      <c r="AL262" s="22" t="s">
        <v>42</v>
      </c>
      <c r="AM262" s="22">
        <f t="shared" si="12"/>
        <v>22</v>
      </c>
    </row>
    <row r="263" spans="1:39" hidden="1" x14ac:dyDescent="0.25">
      <c r="A263" s="20" t="s">
        <v>55</v>
      </c>
      <c r="B263" s="38" t="s">
        <v>620</v>
      </c>
      <c r="C263" s="20" t="s">
        <v>621</v>
      </c>
      <c r="D263" s="20" t="s">
        <v>28</v>
      </c>
      <c r="E263" s="20" t="s">
        <v>28</v>
      </c>
      <c r="F263" s="20" t="s">
        <v>58</v>
      </c>
      <c r="G263" s="39"/>
      <c r="H263" s="40"/>
      <c r="I263" s="22" t="s">
        <v>42</v>
      </c>
      <c r="J263" s="33"/>
      <c r="O263" s="22" t="s">
        <v>42</v>
      </c>
      <c r="P263" s="22" t="s">
        <v>42</v>
      </c>
      <c r="Q263" s="22" t="s">
        <v>42</v>
      </c>
      <c r="R263" s="22" t="s">
        <v>42</v>
      </c>
      <c r="S263" s="22" t="s">
        <v>42</v>
      </c>
      <c r="T263" s="22" t="s">
        <v>42</v>
      </c>
      <c r="U263" s="22"/>
      <c r="V263" s="22" t="s">
        <v>42</v>
      </c>
      <c r="W263" s="22" t="s">
        <v>42</v>
      </c>
      <c r="X263" s="22" t="s">
        <v>42</v>
      </c>
      <c r="Y263" s="22" t="s">
        <v>42</v>
      </c>
      <c r="Z263" s="22" t="s">
        <v>42</v>
      </c>
      <c r="AA263" s="22" t="s">
        <v>42</v>
      </c>
      <c r="AB263" s="22"/>
      <c r="AC263" s="22" t="s">
        <v>42</v>
      </c>
      <c r="AD263" s="22" t="s">
        <v>42</v>
      </c>
      <c r="AE263" s="22"/>
      <c r="AF263" s="22" t="s">
        <v>42</v>
      </c>
      <c r="AG263" s="22" t="s">
        <v>42</v>
      </c>
      <c r="AH263" s="22" t="s">
        <v>42</v>
      </c>
      <c r="AJ263" s="22" t="s">
        <v>42</v>
      </c>
      <c r="AK263" s="22" t="s">
        <v>42</v>
      </c>
      <c r="AL263" s="22" t="s">
        <v>42</v>
      </c>
      <c r="AM263" s="22">
        <f t="shared" si="12"/>
        <v>21</v>
      </c>
    </row>
    <row r="264" spans="1:39" hidden="1" x14ac:dyDescent="0.25">
      <c r="A264" s="20" t="s">
        <v>55</v>
      </c>
      <c r="B264" s="38" t="s">
        <v>622</v>
      </c>
      <c r="C264" s="20" t="s">
        <v>623</v>
      </c>
      <c r="D264" s="20" t="s">
        <v>18</v>
      </c>
      <c r="E264" s="20" t="s">
        <v>18</v>
      </c>
      <c r="F264" s="20" t="s">
        <v>58</v>
      </c>
      <c r="G264" s="39"/>
      <c r="H264" s="40"/>
      <c r="I264" s="22" t="s">
        <v>42</v>
      </c>
      <c r="J264" s="33"/>
      <c r="L264" s="22" t="s">
        <v>42</v>
      </c>
      <c r="M264" s="22" t="s">
        <v>42</v>
      </c>
      <c r="O264" s="22" t="s">
        <v>42</v>
      </c>
      <c r="P264" s="22" t="s">
        <v>42</v>
      </c>
      <c r="Q264" s="22" t="s">
        <v>42</v>
      </c>
      <c r="R264" s="22" t="s">
        <v>42</v>
      </c>
      <c r="S264" s="22" t="s">
        <v>42</v>
      </c>
      <c r="T264" s="22" t="s">
        <v>42</v>
      </c>
      <c r="U264" s="22"/>
      <c r="V264" s="22" t="s">
        <v>42</v>
      </c>
      <c r="W264" s="22" t="s">
        <v>42</v>
      </c>
      <c r="X264" s="22" t="s">
        <v>42</v>
      </c>
      <c r="Y264" s="22" t="s">
        <v>42</v>
      </c>
      <c r="Z264" s="22"/>
      <c r="AA264" s="22" t="s">
        <v>42</v>
      </c>
      <c r="AB264" s="22"/>
      <c r="AC264" s="22"/>
      <c r="AD264" s="22" t="s">
        <v>42</v>
      </c>
      <c r="AE264" s="22" t="s">
        <v>42</v>
      </c>
      <c r="AF264" s="22"/>
      <c r="AG264" s="22" t="s">
        <v>42</v>
      </c>
      <c r="AH264" s="22" t="s">
        <v>42</v>
      </c>
      <c r="AJ264" s="22" t="s">
        <v>42</v>
      </c>
      <c r="AK264" s="22" t="s">
        <v>42</v>
      </c>
      <c r="AM264" s="22">
        <f t="shared" si="12"/>
        <v>20</v>
      </c>
    </row>
    <row r="265" spans="1:39" hidden="1" x14ac:dyDescent="0.25">
      <c r="A265" s="20" t="s">
        <v>55</v>
      </c>
      <c r="B265" s="38" t="s">
        <v>624</v>
      </c>
      <c r="C265" s="20" t="s">
        <v>625</v>
      </c>
      <c r="D265" s="20" t="s">
        <v>19</v>
      </c>
      <c r="E265" s="20" t="s">
        <v>19</v>
      </c>
      <c r="F265" s="20" t="s">
        <v>58</v>
      </c>
      <c r="G265" s="39"/>
      <c r="H265" s="40"/>
      <c r="I265" s="22" t="s">
        <v>42</v>
      </c>
      <c r="L265" s="22" t="s">
        <v>42</v>
      </c>
      <c r="M265" s="22" t="s">
        <v>42</v>
      </c>
      <c r="O265" s="22" t="s">
        <v>42</v>
      </c>
      <c r="R265" s="22" t="s">
        <v>42</v>
      </c>
      <c r="S265" s="22" t="s">
        <v>42</v>
      </c>
      <c r="T265" s="22" t="s">
        <v>42</v>
      </c>
      <c r="U265" s="22"/>
      <c r="V265" s="22" t="s">
        <v>42</v>
      </c>
      <c r="W265" s="22" t="s">
        <v>42</v>
      </c>
      <c r="X265" s="22" t="s">
        <v>42</v>
      </c>
      <c r="Y265" s="22" t="s">
        <v>42</v>
      </c>
      <c r="Z265" s="22" t="s">
        <v>42</v>
      </c>
      <c r="AA265" s="22" t="s">
        <v>42</v>
      </c>
      <c r="AB265" s="22"/>
      <c r="AC265" s="22" t="s">
        <v>42</v>
      </c>
      <c r="AD265" s="22" t="s">
        <v>42</v>
      </c>
      <c r="AE265" s="22" t="s">
        <v>42</v>
      </c>
      <c r="AF265" s="22" t="s">
        <v>42</v>
      </c>
      <c r="AG265" s="22" t="s">
        <v>42</v>
      </c>
      <c r="AH265" s="22" t="s">
        <v>42</v>
      </c>
      <c r="AJ265" s="22" t="s">
        <v>42</v>
      </c>
      <c r="AK265" s="22" t="s">
        <v>42</v>
      </c>
      <c r="AL265" s="22" t="s">
        <v>42</v>
      </c>
      <c r="AM265" s="22">
        <f t="shared" si="12"/>
        <v>22</v>
      </c>
    </row>
    <row r="266" spans="1:39" hidden="1" x14ac:dyDescent="0.25">
      <c r="A266" s="20" t="s">
        <v>55</v>
      </c>
      <c r="B266" s="38" t="s">
        <v>626</v>
      </c>
      <c r="C266" s="20" t="s">
        <v>627</v>
      </c>
      <c r="D266" s="20" t="s">
        <v>11</v>
      </c>
      <c r="E266" s="20" t="s">
        <v>11</v>
      </c>
      <c r="F266" s="20" t="s">
        <v>58</v>
      </c>
      <c r="G266" s="39"/>
      <c r="H266" s="40"/>
      <c r="I266" s="22" t="s">
        <v>42</v>
      </c>
      <c r="L266" s="22" t="s">
        <v>42</v>
      </c>
      <c r="O266" s="22" t="s">
        <v>42</v>
      </c>
      <c r="P266" s="22" t="s">
        <v>42</v>
      </c>
      <c r="Q266" s="22" t="s">
        <v>42</v>
      </c>
      <c r="R266" s="22" t="s">
        <v>42</v>
      </c>
      <c r="S266" s="22"/>
      <c r="T266" s="22"/>
      <c r="U266" s="22"/>
      <c r="V266" s="22" t="s">
        <v>42</v>
      </c>
      <c r="W266" s="22" t="s">
        <v>42</v>
      </c>
      <c r="X266" s="22" t="s">
        <v>42</v>
      </c>
      <c r="Y266" s="22" t="s">
        <v>42</v>
      </c>
      <c r="Z266" s="22" t="s">
        <v>42</v>
      </c>
      <c r="AA266" s="22" t="s">
        <v>42</v>
      </c>
      <c r="AB266" s="22"/>
      <c r="AC266" s="22" t="s">
        <v>42</v>
      </c>
      <c r="AD266" s="22" t="s">
        <v>42</v>
      </c>
      <c r="AE266" s="22" t="s">
        <v>42</v>
      </c>
      <c r="AF266" s="22" t="s">
        <v>42</v>
      </c>
      <c r="AG266" s="22" t="s">
        <v>42</v>
      </c>
      <c r="AH266" s="22" t="s">
        <v>42</v>
      </c>
      <c r="AJ266" s="22" t="s">
        <v>42</v>
      </c>
      <c r="AK266" s="22" t="s">
        <v>42</v>
      </c>
      <c r="AL266" s="22" t="s">
        <v>42</v>
      </c>
      <c r="AM266" s="22">
        <f t="shared" si="12"/>
        <v>21</v>
      </c>
    </row>
    <row r="267" spans="1:39" hidden="1" x14ac:dyDescent="0.25">
      <c r="A267" s="20" t="s">
        <v>55</v>
      </c>
      <c r="B267" s="38" t="s">
        <v>628</v>
      </c>
      <c r="C267" s="20" t="s">
        <v>629</v>
      </c>
      <c r="D267" s="20" t="s">
        <v>11</v>
      </c>
      <c r="E267" s="20" t="s">
        <v>11</v>
      </c>
      <c r="F267" s="20" t="s">
        <v>58</v>
      </c>
      <c r="G267" s="39"/>
      <c r="H267" s="40"/>
      <c r="I267" s="22" t="s">
        <v>42</v>
      </c>
      <c r="L267" s="22" t="s">
        <v>42</v>
      </c>
      <c r="M267" s="22" t="s">
        <v>42</v>
      </c>
      <c r="O267" s="22" t="s">
        <v>42</v>
      </c>
      <c r="R267" s="22"/>
      <c r="S267" s="22" t="s">
        <v>42</v>
      </c>
      <c r="T267" s="22" t="s">
        <v>42</v>
      </c>
      <c r="U267" s="22"/>
      <c r="V267" s="22" t="s">
        <v>42</v>
      </c>
      <c r="W267" s="22" t="s">
        <v>42</v>
      </c>
      <c r="X267" s="22" t="s">
        <v>42</v>
      </c>
      <c r="Y267" s="22" t="s">
        <v>42</v>
      </c>
      <c r="Z267" s="22" t="s">
        <v>42</v>
      </c>
      <c r="AA267" s="22"/>
      <c r="AB267" s="22"/>
      <c r="AD267" s="22"/>
      <c r="AE267" s="22"/>
      <c r="AF267" s="22"/>
      <c r="AG267" s="22"/>
      <c r="AH267" s="22"/>
      <c r="AM267" s="22">
        <f t="shared" si="12"/>
        <v>11</v>
      </c>
    </row>
    <row r="268" spans="1:39" hidden="1" x14ac:dyDescent="0.25">
      <c r="A268" s="20" t="s">
        <v>55</v>
      </c>
      <c r="B268" s="38" t="s">
        <v>630</v>
      </c>
      <c r="C268" s="20" t="s">
        <v>631</v>
      </c>
      <c r="D268" s="20" t="s">
        <v>11</v>
      </c>
      <c r="E268" s="20" t="s">
        <v>11</v>
      </c>
      <c r="F268" s="20" t="s">
        <v>58</v>
      </c>
      <c r="G268" s="39"/>
      <c r="H268" s="40"/>
      <c r="I268" s="22" t="s">
        <v>42</v>
      </c>
      <c r="L268" s="22" t="s">
        <v>42</v>
      </c>
      <c r="M268" s="22" t="s">
        <v>42</v>
      </c>
      <c r="O268" s="22" t="s">
        <v>42</v>
      </c>
      <c r="R268" s="22"/>
      <c r="S268" s="22" t="s">
        <v>42</v>
      </c>
      <c r="T268" s="22" t="s">
        <v>42</v>
      </c>
      <c r="U268" s="22"/>
      <c r="V268" s="22" t="s">
        <v>42</v>
      </c>
      <c r="W268" s="22" t="s">
        <v>42</v>
      </c>
      <c r="X268" s="22" t="s">
        <v>42</v>
      </c>
      <c r="Y268" s="22" t="s">
        <v>42</v>
      </c>
      <c r="Z268" s="22" t="s">
        <v>42</v>
      </c>
      <c r="AA268" s="22" t="s">
        <v>42</v>
      </c>
      <c r="AB268" s="22"/>
      <c r="AC268" s="22" t="s">
        <v>42</v>
      </c>
      <c r="AD268" s="22" t="s">
        <v>42</v>
      </c>
      <c r="AE268" s="22" t="s">
        <v>42</v>
      </c>
      <c r="AF268" s="22" t="s">
        <v>42</v>
      </c>
      <c r="AG268" s="22" t="s">
        <v>42</v>
      </c>
      <c r="AH268" s="22" t="s">
        <v>42</v>
      </c>
      <c r="AJ268" s="22" t="s">
        <v>42</v>
      </c>
      <c r="AK268" s="22" t="s">
        <v>42</v>
      </c>
      <c r="AL268" s="22" t="s">
        <v>42</v>
      </c>
      <c r="AM268" s="22">
        <f t="shared" si="12"/>
        <v>21</v>
      </c>
    </row>
    <row r="269" spans="1:39" hidden="1" x14ac:dyDescent="0.25">
      <c r="A269" s="20" t="s">
        <v>55</v>
      </c>
      <c r="B269" s="38" t="s">
        <v>632</v>
      </c>
      <c r="C269" s="20" t="s">
        <v>631</v>
      </c>
      <c r="D269" s="20" t="s">
        <v>11</v>
      </c>
      <c r="E269" s="20" t="s">
        <v>11</v>
      </c>
      <c r="F269" s="20" t="s">
        <v>58</v>
      </c>
      <c r="G269" s="39"/>
      <c r="H269" s="40"/>
      <c r="I269" s="22" t="s">
        <v>42</v>
      </c>
      <c r="L269" s="22" t="s">
        <v>42</v>
      </c>
      <c r="M269" s="22" t="s">
        <v>42</v>
      </c>
      <c r="O269" s="22" t="s">
        <v>42</v>
      </c>
      <c r="R269" s="22"/>
      <c r="S269" s="22" t="s">
        <v>42</v>
      </c>
      <c r="T269" s="22" t="s">
        <v>42</v>
      </c>
      <c r="U269" s="22"/>
      <c r="V269" s="22" t="s">
        <v>42</v>
      </c>
      <c r="W269" s="22" t="s">
        <v>42</v>
      </c>
      <c r="X269" s="22" t="s">
        <v>42</v>
      </c>
      <c r="Y269" s="22" t="s">
        <v>42</v>
      </c>
      <c r="Z269" s="22" t="s">
        <v>42</v>
      </c>
      <c r="AA269" s="22" t="s">
        <v>42</v>
      </c>
      <c r="AB269" s="22"/>
      <c r="AC269" s="22" t="s">
        <v>42</v>
      </c>
      <c r="AD269" s="22" t="s">
        <v>42</v>
      </c>
      <c r="AE269" s="22" t="s">
        <v>42</v>
      </c>
      <c r="AF269" s="22" t="s">
        <v>42</v>
      </c>
      <c r="AG269" s="22" t="s">
        <v>42</v>
      </c>
      <c r="AH269" s="22"/>
      <c r="AJ269" s="22" t="s">
        <v>42</v>
      </c>
      <c r="AK269" s="22" t="s">
        <v>42</v>
      </c>
      <c r="AL269" s="22" t="s">
        <v>42</v>
      </c>
      <c r="AM269" s="22">
        <f t="shared" si="12"/>
        <v>20</v>
      </c>
    </row>
    <row r="270" spans="1:39" x14ac:dyDescent="0.25">
      <c r="A270" s="20" t="s">
        <v>55</v>
      </c>
      <c r="B270" s="38" t="s">
        <v>633</v>
      </c>
      <c r="C270" s="20" t="s">
        <v>634</v>
      </c>
      <c r="D270" s="20" t="s">
        <v>21</v>
      </c>
      <c r="E270" s="20" t="s">
        <v>21</v>
      </c>
      <c r="F270" s="20" t="s">
        <v>58</v>
      </c>
      <c r="G270" s="39"/>
      <c r="H270" s="40"/>
      <c r="I270" s="22" t="s">
        <v>42</v>
      </c>
      <c r="L270" s="22" t="s">
        <v>42</v>
      </c>
      <c r="M270" s="22" t="s">
        <v>42</v>
      </c>
      <c r="N270" s="22" t="s">
        <v>42</v>
      </c>
      <c r="O270" s="22" t="s">
        <v>42</v>
      </c>
      <c r="P270" s="22" t="s">
        <v>42</v>
      </c>
      <c r="Q270" s="22" t="s">
        <v>42</v>
      </c>
      <c r="R270" s="22" t="s">
        <v>42</v>
      </c>
      <c r="S270" s="22" t="s">
        <v>42</v>
      </c>
      <c r="T270" s="22" t="s">
        <v>42</v>
      </c>
      <c r="U270" s="22"/>
      <c r="V270" s="22" t="s">
        <v>42</v>
      </c>
      <c r="W270" s="22" t="s">
        <v>42</v>
      </c>
      <c r="X270" s="22"/>
      <c r="Y270" s="22" t="s">
        <v>42</v>
      </c>
      <c r="Z270" s="22" t="s">
        <v>42</v>
      </c>
      <c r="AA270" s="22" t="s">
        <v>42</v>
      </c>
      <c r="AB270" s="22" t="s">
        <v>42</v>
      </c>
      <c r="AC270" s="22" t="s">
        <v>42</v>
      </c>
      <c r="AD270" s="22" t="s">
        <v>42</v>
      </c>
      <c r="AE270" s="22" t="s">
        <v>42</v>
      </c>
      <c r="AF270" s="22"/>
      <c r="AG270" s="22" t="s">
        <v>42</v>
      </c>
      <c r="AH270" s="22" t="s">
        <v>42</v>
      </c>
      <c r="AI270" s="22" t="s">
        <v>42</v>
      </c>
      <c r="AJ270" s="22" t="s">
        <v>42</v>
      </c>
      <c r="AK270" s="22" t="s">
        <v>42</v>
      </c>
      <c r="AL270" s="22" t="s">
        <v>42</v>
      </c>
      <c r="AM270" s="22">
        <f t="shared" si="12"/>
        <v>25</v>
      </c>
    </row>
    <row r="271" spans="1:39" x14ac:dyDescent="0.25">
      <c r="A271" s="20" t="s">
        <v>55</v>
      </c>
      <c r="B271" s="38" t="s">
        <v>635</v>
      </c>
      <c r="C271" s="20" t="s">
        <v>636</v>
      </c>
      <c r="D271" s="20" t="s">
        <v>21</v>
      </c>
      <c r="E271" s="20" t="s">
        <v>21</v>
      </c>
      <c r="F271" s="20" t="s">
        <v>58</v>
      </c>
      <c r="G271" s="39"/>
      <c r="H271" s="40"/>
      <c r="I271" s="22" t="s">
        <v>42</v>
      </c>
      <c r="O271" s="22" t="s">
        <v>42</v>
      </c>
      <c r="P271" s="22" t="s">
        <v>42</v>
      </c>
      <c r="Q271" s="22" t="s">
        <v>42</v>
      </c>
      <c r="R271" s="22" t="s">
        <v>42</v>
      </c>
      <c r="S271" s="22" t="s">
        <v>42</v>
      </c>
      <c r="T271" s="22" t="s">
        <v>42</v>
      </c>
      <c r="U271" s="22"/>
      <c r="V271" s="22" t="s">
        <v>42</v>
      </c>
      <c r="W271" s="22" t="s">
        <v>42</v>
      </c>
      <c r="X271" s="22" t="s">
        <v>42</v>
      </c>
      <c r="Y271" s="22" t="s">
        <v>42</v>
      </c>
      <c r="Z271" s="22" t="s">
        <v>42</v>
      </c>
      <c r="AA271" s="22" t="s">
        <v>42</v>
      </c>
      <c r="AB271" s="22"/>
      <c r="AC271" s="22" t="s">
        <v>42</v>
      </c>
      <c r="AD271" s="22" t="s">
        <v>42</v>
      </c>
      <c r="AE271" s="22" t="s">
        <v>42</v>
      </c>
      <c r="AF271" s="22" t="s">
        <v>42</v>
      </c>
      <c r="AG271" s="22" t="s">
        <v>42</v>
      </c>
      <c r="AH271" s="22" t="s">
        <v>42</v>
      </c>
      <c r="AI271" s="22" t="s">
        <v>42</v>
      </c>
      <c r="AJ271" s="22" t="s">
        <v>42</v>
      </c>
      <c r="AK271" s="22" t="s">
        <v>42</v>
      </c>
      <c r="AL271" s="22" t="s">
        <v>42</v>
      </c>
      <c r="AM271" s="22">
        <f t="shared" ref="AM271:AM334" si="13">COUNTA(I271:AL271)-COUNTIF(I271:AL271,"CT")</f>
        <v>23</v>
      </c>
    </row>
    <row r="272" spans="1:39" x14ac:dyDescent="0.25">
      <c r="A272" s="20" t="s">
        <v>55</v>
      </c>
      <c r="B272" s="38" t="s">
        <v>639</v>
      </c>
      <c r="C272" s="20" t="s">
        <v>640</v>
      </c>
      <c r="D272" s="20" t="s">
        <v>21</v>
      </c>
      <c r="E272" s="20" t="s">
        <v>21</v>
      </c>
      <c r="F272" s="20" t="s">
        <v>58</v>
      </c>
      <c r="G272" s="39"/>
      <c r="H272" s="40"/>
      <c r="I272" s="22" t="s">
        <v>42</v>
      </c>
      <c r="L272" s="22" t="s">
        <v>42</v>
      </c>
      <c r="M272" s="22" t="s">
        <v>42</v>
      </c>
      <c r="O272" s="22" t="s">
        <v>42</v>
      </c>
      <c r="P272" s="22" t="s">
        <v>42</v>
      </c>
      <c r="Q272" s="22" t="s">
        <v>42</v>
      </c>
      <c r="R272" s="22" t="s">
        <v>42</v>
      </c>
      <c r="S272" s="22" t="s">
        <v>42</v>
      </c>
      <c r="T272" s="22" t="s">
        <v>42</v>
      </c>
      <c r="U272" s="22"/>
      <c r="V272" s="22" t="s">
        <v>42</v>
      </c>
      <c r="W272" s="22" t="s">
        <v>42</v>
      </c>
      <c r="X272" s="22" t="s">
        <v>42</v>
      </c>
      <c r="Y272" s="22" t="s">
        <v>42</v>
      </c>
      <c r="Z272" s="22" t="s">
        <v>42</v>
      </c>
      <c r="AA272" s="22" t="s">
        <v>42</v>
      </c>
      <c r="AB272" s="22" t="s">
        <v>42</v>
      </c>
      <c r="AC272" s="22" t="s">
        <v>42</v>
      </c>
      <c r="AD272" s="22" t="s">
        <v>42</v>
      </c>
      <c r="AE272" s="22" t="s">
        <v>42</v>
      </c>
      <c r="AF272" s="22" t="s">
        <v>42</v>
      </c>
      <c r="AG272" s="22" t="s">
        <v>42</v>
      </c>
      <c r="AH272" s="22" t="s">
        <v>42</v>
      </c>
      <c r="AI272" s="22" t="s">
        <v>42</v>
      </c>
      <c r="AJ272" s="22" t="s">
        <v>42</v>
      </c>
      <c r="AK272" s="22" t="s">
        <v>42</v>
      </c>
      <c r="AL272" s="22" t="s">
        <v>42</v>
      </c>
      <c r="AM272" s="22">
        <f t="shared" si="13"/>
        <v>26</v>
      </c>
    </row>
    <row r="273" spans="1:39" x14ac:dyDescent="0.25">
      <c r="A273" s="20" t="s">
        <v>55</v>
      </c>
      <c r="B273" s="38" t="s">
        <v>641</v>
      </c>
      <c r="C273" s="20" t="s">
        <v>642</v>
      </c>
      <c r="D273" s="20" t="s">
        <v>21</v>
      </c>
      <c r="E273" s="20" t="s">
        <v>21</v>
      </c>
      <c r="F273" s="20" t="s">
        <v>58</v>
      </c>
      <c r="G273" s="39"/>
      <c r="H273" s="40"/>
      <c r="I273" s="22" t="s">
        <v>42</v>
      </c>
      <c r="J273" s="33"/>
      <c r="L273" s="22" t="s">
        <v>42</v>
      </c>
      <c r="M273" s="22" t="s">
        <v>42</v>
      </c>
      <c r="N273" s="22" t="s">
        <v>42</v>
      </c>
      <c r="O273" s="22" t="s">
        <v>42</v>
      </c>
      <c r="P273" s="22" t="s">
        <v>42</v>
      </c>
      <c r="Q273" s="22" t="s">
        <v>42</v>
      </c>
      <c r="R273" s="22" t="s">
        <v>42</v>
      </c>
      <c r="S273" s="22" t="s">
        <v>42</v>
      </c>
      <c r="T273" s="22" t="s">
        <v>42</v>
      </c>
      <c r="U273" s="22"/>
      <c r="V273" s="22" t="s">
        <v>42</v>
      </c>
      <c r="W273" s="22" t="s">
        <v>42</v>
      </c>
      <c r="X273" s="22" t="s">
        <v>42</v>
      </c>
      <c r="Y273" s="22" t="s">
        <v>42</v>
      </c>
      <c r="Z273" s="22" t="s">
        <v>42</v>
      </c>
      <c r="AA273" s="22" t="s">
        <v>42</v>
      </c>
      <c r="AB273" s="22" t="s">
        <v>42</v>
      </c>
      <c r="AC273" s="22" t="s">
        <v>42</v>
      </c>
      <c r="AD273" s="22" t="s">
        <v>42</v>
      </c>
      <c r="AE273" s="22" t="s">
        <v>42</v>
      </c>
      <c r="AF273" s="22" t="s">
        <v>42</v>
      </c>
      <c r="AG273" s="22" t="s">
        <v>42</v>
      </c>
      <c r="AH273" s="22" t="s">
        <v>42</v>
      </c>
      <c r="AI273" s="22" t="s">
        <v>42</v>
      </c>
      <c r="AJ273" s="22" t="s">
        <v>42</v>
      </c>
      <c r="AK273" s="22" t="s">
        <v>42</v>
      </c>
      <c r="AL273" s="22" t="s">
        <v>42</v>
      </c>
      <c r="AM273" s="22">
        <f t="shared" si="13"/>
        <v>27</v>
      </c>
    </row>
    <row r="274" spans="1:39" x14ac:dyDescent="0.25">
      <c r="A274" s="20" t="s">
        <v>55</v>
      </c>
      <c r="B274" s="38" t="s">
        <v>643</v>
      </c>
      <c r="C274" s="20" t="s">
        <v>644</v>
      </c>
      <c r="D274" s="20" t="s">
        <v>21</v>
      </c>
      <c r="E274" s="20" t="s">
        <v>21</v>
      </c>
      <c r="F274" s="20" t="s">
        <v>58</v>
      </c>
      <c r="G274" s="39"/>
      <c r="H274" s="40"/>
      <c r="I274" s="22" t="s">
        <v>42</v>
      </c>
      <c r="N274" s="22" t="s">
        <v>42</v>
      </c>
      <c r="O274" s="22" t="s">
        <v>42</v>
      </c>
      <c r="P274" s="22" t="s">
        <v>42</v>
      </c>
      <c r="Q274" s="22" t="s">
        <v>42</v>
      </c>
      <c r="R274" s="22" t="s">
        <v>42</v>
      </c>
      <c r="S274" s="22" t="s">
        <v>42</v>
      </c>
      <c r="T274" s="22" t="s">
        <v>42</v>
      </c>
      <c r="U274" s="22"/>
      <c r="V274" s="22" t="s">
        <v>42</v>
      </c>
      <c r="W274" s="22" t="s">
        <v>42</v>
      </c>
      <c r="X274" s="22" t="s">
        <v>42</v>
      </c>
      <c r="Y274" s="22" t="s">
        <v>42</v>
      </c>
      <c r="Z274" s="22" t="s">
        <v>42</v>
      </c>
      <c r="AA274" s="22" t="s">
        <v>42</v>
      </c>
      <c r="AB274" s="22" t="s">
        <v>42</v>
      </c>
      <c r="AC274" s="22" t="s">
        <v>42</v>
      </c>
      <c r="AD274" s="22" t="s">
        <v>42</v>
      </c>
      <c r="AE274" s="22" t="s">
        <v>42</v>
      </c>
      <c r="AF274" s="22" t="s">
        <v>42</v>
      </c>
      <c r="AG274" s="22" t="s">
        <v>42</v>
      </c>
      <c r="AH274" s="22" t="s">
        <v>42</v>
      </c>
      <c r="AI274" s="22" t="s">
        <v>42</v>
      </c>
      <c r="AJ274" s="22" t="s">
        <v>42</v>
      </c>
      <c r="AK274" s="22" t="s">
        <v>42</v>
      </c>
      <c r="AL274" s="22" t="s">
        <v>42</v>
      </c>
      <c r="AM274" s="22">
        <f t="shared" si="13"/>
        <v>25</v>
      </c>
    </row>
    <row r="275" spans="1:39" hidden="1" x14ac:dyDescent="0.25">
      <c r="A275" s="20" t="s">
        <v>55</v>
      </c>
      <c r="B275" s="38" t="s">
        <v>645</v>
      </c>
      <c r="C275" s="20" t="s">
        <v>646</v>
      </c>
      <c r="D275" s="20" t="s">
        <v>21</v>
      </c>
      <c r="E275" s="20" t="s">
        <v>21</v>
      </c>
      <c r="F275" s="20" t="s">
        <v>58</v>
      </c>
      <c r="G275" s="39"/>
      <c r="H275" s="40"/>
      <c r="I275" s="22" t="s">
        <v>42</v>
      </c>
      <c r="L275" s="22" t="s">
        <v>42</v>
      </c>
      <c r="M275" s="22" t="s">
        <v>42</v>
      </c>
      <c r="O275" s="22" t="s">
        <v>42</v>
      </c>
      <c r="P275" s="22" t="s">
        <v>42</v>
      </c>
      <c r="Q275" s="22" t="s">
        <v>42</v>
      </c>
      <c r="R275" s="22" t="s">
        <v>42</v>
      </c>
      <c r="S275" s="22" t="s">
        <v>42</v>
      </c>
      <c r="T275" s="22" t="s">
        <v>42</v>
      </c>
      <c r="U275" s="22"/>
      <c r="V275" s="22" t="s">
        <v>42</v>
      </c>
      <c r="W275" s="22" t="s">
        <v>42</v>
      </c>
      <c r="X275" s="22" t="s">
        <v>42</v>
      </c>
      <c r="Y275" s="22" t="s">
        <v>42</v>
      </c>
      <c r="Z275" s="22" t="s">
        <v>42</v>
      </c>
      <c r="AA275" s="22" t="s">
        <v>42</v>
      </c>
      <c r="AB275" s="22"/>
      <c r="AC275" s="22" t="s">
        <v>42</v>
      </c>
      <c r="AD275" s="22" t="s">
        <v>42</v>
      </c>
      <c r="AE275" s="22" t="s">
        <v>42</v>
      </c>
      <c r="AF275" s="22" t="s">
        <v>42</v>
      </c>
      <c r="AG275" s="22" t="s">
        <v>42</v>
      </c>
      <c r="AH275" s="22" t="s">
        <v>42</v>
      </c>
      <c r="AJ275" s="22" t="s">
        <v>42</v>
      </c>
      <c r="AK275" s="22" t="s">
        <v>42</v>
      </c>
      <c r="AL275" s="22" t="s">
        <v>42</v>
      </c>
      <c r="AM275" s="22">
        <f t="shared" si="13"/>
        <v>24</v>
      </c>
    </row>
    <row r="276" spans="1:39" hidden="1" x14ac:dyDescent="0.25">
      <c r="A276" s="20" t="s">
        <v>55</v>
      </c>
      <c r="B276" s="38" t="s">
        <v>647</v>
      </c>
      <c r="C276" s="20" t="s">
        <v>648</v>
      </c>
      <c r="D276" s="20" t="s">
        <v>28</v>
      </c>
      <c r="E276" s="20" t="s">
        <v>28</v>
      </c>
      <c r="F276" s="20" t="s">
        <v>58</v>
      </c>
      <c r="G276" s="39"/>
      <c r="H276" s="40"/>
      <c r="I276" s="22" t="s">
        <v>42</v>
      </c>
      <c r="L276" s="22" t="s">
        <v>42</v>
      </c>
      <c r="M276" s="22" t="s">
        <v>42</v>
      </c>
      <c r="O276" s="22" t="s">
        <v>42</v>
      </c>
      <c r="P276" s="22" t="s">
        <v>42</v>
      </c>
      <c r="Q276" s="22" t="s">
        <v>42</v>
      </c>
      <c r="R276" s="22" t="s">
        <v>42</v>
      </c>
      <c r="S276" s="22" t="s">
        <v>42</v>
      </c>
      <c r="T276" s="22" t="s">
        <v>42</v>
      </c>
      <c r="U276" s="22"/>
      <c r="V276" s="22" t="s">
        <v>42</v>
      </c>
      <c r="W276" s="22" t="s">
        <v>42</v>
      </c>
      <c r="X276" s="22" t="s">
        <v>42</v>
      </c>
      <c r="Y276" s="22" t="s">
        <v>42</v>
      </c>
      <c r="Z276" s="22" t="s">
        <v>42</v>
      </c>
      <c r="AA276" s="22" t="s">
        <v>42</v>
      </c>
      <c r="AB276" s="22"/>
      <c r="AC276" s="22" t="s">
        <v>42</v>
      </c>
      <c r="AD276" s="22" t="s">
        <v>42</v>
      </c>
      <c r="AE276" s="22"/>
      <c r="AF276" s="22" t="s">
        <v>42</v>
      </c>
      <c r="AG276" s="22" t="s">
        <v>42</v>
      </c>
      <c r="AH276" s="22" t="s">
        <v>42</v>
      </c>
      <c r="AJ276" s="22" t="s">
        <v>42</v>
      </c>
      <c r="AK276" s="22" t="s">
        <v>42</v>
      </c>
      <c r="AL276" s="22" t="s">
        <v>42</v>
      </c>
      <c r="AM276" s="22">
        <f t="shared" si="13"/>
        <v>23</v>
      </c>
    </row>
    <row r="277" spans="1:39" hidden="1" x14ac:dyDescent="0.25">
      <c r="A277" s="20" t="s">
        <v>55</v>
      </c>
      <c r="B277" s="38" t="s">
        <v>649</v>
      </c>
      <c r="C277" s="20" t="s">
        <v>650</v>
      </c>
      <c r="D277" s="20" t="s">
        <v>23</v>
      </c>
      <c r="E277" s="20" t="s">
        <v>23</v>
      </c>
      <c r="F277" s="20" t="s">
        <v>58</v>
      </c>
      <c r="G277" s="39"/>
      <c r="H277" s="40"/>
      <c r="I277" s="22" t="s">
        <v>42</v>
      </c>
      <c r="O277" s="22" t="s">
        <v>42</v>
      </c>
      <c r="P277" s="22" t="s">
        <v>42</v>
      </c>
      <c r="Q277" s="22" t="s">
        <v>42</v>
      </c>
      <c r="R277" s="22" t="s">
        <v>42</v>
      </c>
      <c r="S277" s="22" t="s">
        <v>42</v>
      </c>
      <c r="T277" s="22" t="s">
        <v>42</v>
      </c>
      <c r="U277" s="22"/>
      <c r="V277" s="22" t="s">
        <v>42</v>
      </c>
      <c r="W277" s="22" t="s">
        <v>42</v>
      </c>
      <c r="X277" s="22"/>
      <c r="Y277" s="22" t="s">
        <v>42</v>
      </c>
      <c r="Z277" s="22" t="s">
        <v>42</v>
      </c>
      <c r="AA277" s="22" t="s">
        <v>42</v>
      </c>
      <c r="AB277" s="22"/>
      <c r="AC277" s="22" t="s">
        <v>42</v>
      </c>
      <c r="AD277" s="22" t="s">
        <v>42</v>
      </c>
      <c r="AE277" s="22" t="s">
        <v>42</v>
      </c>
      <c r="AF277" s="22" t="s">
        <v>42</v>
      </c>
      <c r="AG277" s="22" t="s">
        <v>42</v>
      </c>
      <c r="AH277" s="22" t="s">
        <v>42</v>
      </c>
      <c r="AJ277" s="22" t="s">
        <v>42</v>
      </c>
      <c r="AK277" s="22" t="s">
        <v>42</v>
      </c>
      <c r="AL277" s="22" t="s">
        <v>42</v>
      </c>
      <c r="AM277" s="22">
        <f t="shared" si="13"/>
        <v>21</v>
      </c>
    </row>
    <row r="278" spans="1:39" hidden="1" x14ac:dyDescent="0.25">
      <c r="A278" s="20" t="s">
        <v>55</v>
      </c>
      <c r="B278" s="38" t="s">
        <v>651</v>
      </c>
      <c r="C278" s="20" t="s">
        <v>652</v>
      </c>
      <c r="D278" s="20" t="s">
        <v>17</v>
      </c>
      <c r="E278" s="20" t="s">
        <v>17</v>
      </c>
      <c r="F278" s="20" t="s">
        <v>58</v>
      </c>
      <c r="G278" s="39"/>
      <c r="H278" s="40"/>
      <c r="I278" s="33"/>
      <c r="J278" s="33"/>
      <c r="K278" s="33"/>
      <c r="L278" s="33" t="s">
        <v>38</v>
      </c>
      <c r="M278" s="33" t="s">
        <v>38</v>
      </c>
      <c r="N278" s="33"/>
      <c r="O278" s="33" t="s">
        <v>38</v>
      </c>
      <c r="P278" s="33" t="s">
        <v>38</v>
      </c>
      <c r="Q278" s="22" t="s">
        <v>42</v>
      </c>
      <c r="R278" s="22" t="s">
        <v>42</v>
      </c>
      <c r="S278" s="22" t="s">
        <v>42</v>
      </c>
      <c r="T278" s="22" t="s">
        <v>42</v>
      </c>
      <c r="V278" s="22" t="s">
        <v>42</v>
      </c>
      <c r="W278" s="22" t="s">
        <v>42</v>
      </c>
      <c r="X278" s="22" t="s">
        <v>42</v>
      </c>
      <c r="Y278" s="22" t="s">
        <v>42</v>
      </c>
      <c r="Z278" s="22" t="s">
        <v>42</v>
      </c>
      <c r="AA278" s="22" t="s">
        <v>42</v>
      </c>
      <c r="AC278" s="22" t="s">
        <v>42</v>
      </c>
      <c r="AD278" s="22" t="s">
        <v>42</v>
      </c>
      <c r="AE278" s="22" t="s">
        <v>42</v>
      </c>
      <c r="AF278" s="22" t="s">
        <v>42</v>
      </c>
      <c r="AG278" s="22" t="s">
        <v>42</v>
      </c>
      <c r="AH278" s="22" t="s">
        <v>42</v>
      </c>
      <c r="AJ278" s="22" t="s">
        <v>42</v>
      </c>
      <c r="AK278" s="22" t="s">
        <v>42</v>
      </c>
      <c r="AL278" s="22" t="s">
        <v>42</v>
      </c>
      <c r="AM278" s="22">
        <f t="shared" si="13"/>
        <v>23</v>
      </c>
    </row>
    <row r="279" spans="1:39" hidden="1" x14ac:dyDescent="0.25">
      <c r="A279" s="20" t="s">
        <v>55</v>
      </c>
      <c r="B279" s="38" t="s">
        <v>653</v>
      </c>
      <c r="C279" s="20" t="s">
        <v>654</v>
      </c>
      <c r="D279" s="20" t="s">
        <v>15</v>
      </c>
      <c r="E279" s="20" t="s">
        <v>15</v>
      </c>
      <c r="F279" s="20" t="s">
        <v>63</v>
      </c>
      <c r="G279" s="39"/>
      <c r="H279" s="40"/>
      <c r="I279" s="33" t="s">
        <v>38</v>
      </c>
      <c r="J279" s="33"/>
      <c r="K279" s="33"/>
      <c r="L279" s="33" t="s">
        <v>38</v>
      </c>
      <c r="M279" s="33" t="s">
        <v>38</v>
      </c>
      <c r="N279" s="33"/>
      <c r="O279" s="33" t="s">
        <v>38</v>
      </c>
      <c r="P279" s="33" t="s">
        <v>38</v>
      </c>
      <c r="Q279" s="33" t="s">
        <v>38</v>
      </c>
      <c r="R279" s="33" t="s">
        <v>38</v>
      </c>
      <c r="S279" s="33" t="s">
        <v>38</v>
      </c>
      <c r="T279" s="33" t="s">
        <v>38</v>
      </c>
      <c r="U279" s="33"/>
      <c r="V279" s="33" t="s">
        <v>38</v>
      </c>
      <c r="W279" s="33" t="s">
        <v>38</v>
      </c>
      <c r="X279" s="33" t="s">
        <v>38</v>
      </c>
      <c r="Y279" s="33" t="s">
        <v>38</v>
      </c>
      <c r="Z279" s="33" t="s">
        <v>38</v>
      </c>
      <c r="AA279" s="33" t="s">
        <v>38</v>
      </c>
      <c r="AB279" s="33"/>
      <c r="AC279" s="33"/>
      <c r="AD279" s="33" t="s">
        <v>38</v>
      </c>
      <c r="AE279" s="33" t="s">
        <v>38</v>
      </c>
      <c r="AF279" s="33" t="s">
        <v>38</v>
      </c>
      <c r="AG279" s="33" t="s">
        <v>38</v>
      </c>
      <c r="AH279" s="33" t="s">
        <v>38</v>
      </c>
      <c r="AI279" s="33"/>
      <c r="AJ279" s="33" t="s">
        <v>38</v>
      </c>
      <c r="AK279" s="33" t="s">
        <v>38</v>
      </c>
      <c r="AL279" s="33" t="s">
        <v>38</v>
      </c>
      <c r="AM279" s="22">
        <f t="shared" si="13"/>
        <v>23</v>
      </c>
    </row>
    <row r="280" spans="1:39" hidden="1" x14ac:dyDescent="0.25">
      <c r="A280" s="20" t="s">
        <v>55</v>
      </c>
      <c r="B280" s="38" t="s">
        <v>655</v>
      </c>
      <c r="C280" s="20" t="s">
        <v>656</v>
      </c>
      <c r="D280" s="20" t="s">
        <v>18</v>
      </c>
      <c r="E280" s="20" t="s">
        <v>18</v>
      </c>
      <c r="F280" s="20" t="s">
        <v>58</v>
      </c>
      <c r="G280" s="39"/>
      <c r="H280" s="40"/>
      <c r="I280" s="22" t="s">
        <v>42</v>
      </c>
      <c r="J280" s="33"/>
      <c r="M280" s="22" t="s">
        <v>42</v>
      </c>
      <c r="O280" s="22" t="s">
        <v>42</v>
      </c>
      <c r="P280" s="22" t="s">
        <v>42</v>
      </c>
      <c r="Q280" s="22" t="s">
        <v>42</v>
      </c>
      <c r="R280" s="22" t="s">
        <v>42</v>
      </c>
      <c r="S280" s="22" t="s">
        <v>42</v>
      </c>
      <c r="T280" s="22" t="s">
        <v>42</v>
      </c>
      <c r="U280" s="22"/>
      <c r="V280" s="22" t="s">
        <v>42</v>
      </c>
      <c r="W280" s="22" t="s">
        <v>42</v>
      </c>
      <c r="X280" s="22"/>
      <c r="Y280" s="22" t="s">
        <v>42</v>
      </c>
      <c r="Z280" s="22" t="s">
        <v>42</v>
      </c>
      <c r="AA280" s="22" t="s">
        <v>42</v>
      </c>
      <c r="AB280" s="22"/>
      <c r="AC280" s="22" t="s">
        <v>42</v>
      </c>
      <c r="AD280" s="22" t="s">
        <v>42</v>
      </c>
      <c r="AE280" s="22" t="s">
        <v>42</v>
      </c>
      <c r="AF280" s="22" t="s">
        <v>42</v>
      </c>
      <c r="AG280" s="22" t="s">
        <v>42</v>
      </c>
      <c r="AH280" s="22" t="s">
        <v>42</v>
      </c>
      <c r="AK280" s="22" t="s">
        <v>42</v>
      </c>
      <c r="AL280" s="22" t="s">
        <v>42</v>
      </c>
      <c r="AM280" s="22">
        <f t="shared" si="13"/>
        <v>21</v>
      </c>
    </row>
    <row r="281" spans="1:39" hidden="1" x14ac:dyDescent="0.25">
      <c r="A281" s="20" t="s">
        <v>55</v>
      </c>
      <c r="B281" s="38" t="s">
        <v>657</v>
      </c>
      <c r="C281" s="20" t="s">
        <v>658</v>
      </c>
      <c r="D281" s="20" t="s">
        <v>7</v>
      </c>
      <c r="E281" s="20" t="s">
        <v>7</v>
      </c>
      <c r="F281" s="20" t="s">
        <v>63</v>
      </c>
      <c r="G281" s="39"/>
      <c r="H281" s="40"/>
      <c r="I281" s="33" t="s">
        <v>38</v>
      </c>
      <c r="J281" s="33"/>
      <c r="K281" s="33"/>
      <c r="L281" s="33" t="s">
        <v>38</v>
      </c>
      <c r="M281" s="33" t="s">
        <v>38</v>
      </c>
      <c r="N281" s="33"/>
      <c r="O281" s="33" t="s">
        <v>38</v>
      </c>
      <c r="P281" s="33" t="s">
        <v>38</v>
      </c>
      <c r="Q281" s="33" t="s">
        <v>38</v>
      </c>
      <c r="R281" s="33" t="s">
        <v>38</v>
      </c>
      <c r="S281" s="33" t="s">
        <v>38</v>
      </c>
      <c r="T281" s="33" t="s">
        <v>38</v>
      </c>
      <c r="U281" s="33"/>
      <c r="V281" s="33" t="s">
        <v>38</v>
      </c>
      <c r="W281" s="33" t="s">
        <v>38</v>
      </c>
      <c r="X281" s="22"/>
      <c r="Y281" s="33" t="s">
        <v>38</v>
      </c>
      <c r="Z281" s="33" t="s">
        <v>38</v>
      </c>
      <c r="AA281" s="33" t="s">
        <v>38</v>
      </c>
      <c r="AB281" s="33"/>
      <c r="AC281" s="33" t="s">
        <v>38</v>
      </c>
      <c r="AD281" s="33" t="s">
        <v>38</v>
      </c>
      <c r="AE281" s="33" t="s">
        <v>38</v>
      </c>
      <c r="AF281" s="33" t="s">
        <v>38</v>
      </c>
      <c r="AG281" s="33" t="s">
        <v>38</v>
      </c>
      <c r="AH281" s="33" t="s">
        <v>38</v>
      </c>
      <c r="AI281" s="33"/>
      <c r="AJ281" s="33" t="s">
        <v>38</v>
      </c>
      <c r="AK281" s="33" t="s">
        <v>38</v>
      </c>
      <c r="AL281" s="33" t="s">
        <v>38</v>
      </c>
      <c r="AM281" s="22">
        <f t="shared" si="13"/>
        <v>23</v>
      </c>
    </row>
    <row r="282" spans="1:39" hidden="1" x14ac:dyDescent="0.25">
      <c r="A282" s="20" t="s">
        <v>55</v>
      </c>
      <c r="B282" s="38" t="s">
        <v>659</v>
      </c>
      <c r="C282" s="20" t="s">
        <v>660</v>
      </c>
      <c r="D282" s="20" t="s">
        <v>18</v>
      </c>
      <c r="E282" s="20" t="s">
        <v>18</v>
      </c>
      <c r="F282" s="20" t="s">
        <v>58</v>
      </c>
      <c r="G282" s="39"/>
      <c r="H282" s="40"/>
      <c r="I282" s="22" t="s">
        <v>42</v>
      </c>
      <c r="L282" s="22" t="s">
        <v>42</v>
      </c>
      <c r="M282" s="22" t="s">
        <v>42</v>
      </c>
      <c r="O282" s="22" t="s">
        <v>42</v>
      </c>
      <c r="P282" s="22" t="s">
        <v>42</v>
      </c>
      <c r="Q282" s="22" t="s">
        <v>42</v>
      </c>
      <c r="R282" s="22" t="s">
        <v>42</v>
      </c>
      <c r="S282" s="22"/>
      <c r="T282" s="22" t="s">
        <v>42</v>
      </c>
      <c r="U282" s="22"/>
      <c r="V282" s="22" t="s">
        <v>42</v>
      </c>
      <c r="W282" s="22" t="s">
        <v>42</v>
      </c>
      <c r="X282" s="22" t="s">
        <v>42</v>
      </c>
      <c r="Y282" s="22" t="s">
        <v>42</v>
      </c>
      <c r="Z282" s="22" t="s">
        <v>42</v>
      </c>
      <c r="AA282" s="22" t="s">
        <v>42</v>
      </c>
      <c r="AB282" s="22"/>
      <c r="AC282" s="22" t="s">
        <v>42</v>
      </c>
      <c r="AD282" s="22" t="s">
        <v>42</v>
      </c>
      <c r="AE282" s="22" t="s">
        <v>42</v>
      </c>
      <c r="AF282" s="22" t="s">
        <v>42</v>
      </c>
      <c r="AG282" s="22" t="s">
        <v>42</v>
      </c>
      <c r="AH282" s="22" t="s">
        <v>42</v>
      </c>
      <c r="AJ282" s="22" t="s">
        <v>42</v>
      </c>
      <c r="AK282" s="22" t="s">
        <v>42</v>
      </c>
      <c r="AL282" s="22" t="s">
        <v>42</v>
      </c>
      <c r="AM282" s="22">
        <f t="shared" si="13"/>
        <v>23</v>
      </c>
    </row>
    <row r="283" spans="1:39" hidden="1" x14ac:dyDescent="0.25">
      <c r="A283" s="20" t="s">
        <v>55</v>
      </c>
      <c r="B283" s="38" t="s">
        <v>661</v>
      </c>
      <c r="C283" s="20" t="s">
        <v>662</v>
      </c>
      <c r="D283" s="20" t="s">
        <v>10</v>
      </c>
      <c r="E283" s="20" t="s">
        <v>10</v>
      </c>
      <c r="F283" s="20" t="s">
        <v>58</v>
      </c>
      <c r="G283" s="39"/>
      <c r="H283" s="40"/>
      <c r="I283" s="22" t="s">
        <v>42</v>
      </c>
      <c r="L283" s="22" t="s">
        <v>42</v>
      </c>
      <c r="M283" s="22" t="s">
        <v>42</v>
      </c>
      <c r="O283" s="22" t="s">
        <v>42</v>
      </c>
      <c r="P283" s="22" t="s">
        <v>42</v>
      </c>
      <c r="Q283" s="22" t="s">
        <v>42</v>
      </c>
      <c r="R283" s="22" t="s">
        <v>42</v>
      </c>
      <c r="S283" s="22" t="s">
        <v>42</v>
      </c>
      <c r="T283" s="22" t="s">
        <v>42</v>
      </c>
      <c r="U283" s="22"/>
      <c r="V283" s="22" t="s">
        <v>42</v>
      </c>
      <c r="W283" s="22" t="s">
        <v>42</v>
      </c>
      <c r="X283" s="22" t="s">
        <v>42</v>
      </c>
      <c r="Y283" s="22" t="s">
        <v>42</v>
      </c>
      <c r="Z283" s="22" t="s">
        <v>42</v>
      </c>
      <c r="AA283" s="22" t="s">
        <v>42</v>
      </c>
      <c r="AB283" s="22"/>
      <c r="AC283" s="22" t="s">
        <v>42</v>
      </c>
      <c r="AD283" s="22" t="s">
        <v>42</v>
      </c>
      <c r="AE283" s="22" t="s">
        <v>42</v>
      </c>
      <c r="AF283" s="22" t="s">
        <v>42</v>
      </c>
      <c r="AG283" s="22" t="s">
        <v>42</v>
      </c>
      <c r="AH283" s="22" t="s">
        <v>42</v>
      </c>
      <c r="AJ283" s="22" t="s">
        <v>42</v>
      </c>
      <c r="AK283" s="22" t="s">
        <v>42</v>
      </c>
      <c r="AL283" s="22" t="s">
        <v>42</v>
      </c>
      <c r="AM283" s="22">
        <f t="shared" si="13"/>
        <v>24</v>
      </c>
    </row>
    <row r="284" spans="1:39" hidden="1" x14ac:dyDescent="0.25">
      <c r="A284" s="20" t="s">
        <v>55</v>
      </c>
      <c r="B284" s="38" t="s">
        <v>663</v>
      </c>
      <c r="C284" s="20" t="s">
        <v>664</v>
      </c>
      <c r="D284" s="20" t="s">
        <v>21</v>
      </c>
      <c r="E284" s="20" t="s">
        <v>21</v>
      </c>
      <c r="F284" s="20" t="s">
        <v>58</v>
      </c>
      <c r="G284" s="39"/>
      <c r="H284" s="40"/>
      <c r="I284" s="22" t="s">
        <v>42</v>
      </c>
      <c r="L284" s="22" t="s">
        <v>42</v>
      </c>
      <c r="M284" s="22" t="s">
        <v>42</v>
      </c>
      <c r="O284" s="22" t="s">
        <v>42</v>
      </c>
      <c r="P284" s="22" t="s">
        <v>42</v>
      </c>
      <c r="Q284" s="22" t="s">
        <v>42</v>
      </c>
      <c r="R284" s="22" t="s">
        <v>42</v>
      </c>
      <c r="S284" s="22" t="s">
        <v>42</v>
      </c>
      <c r="T284" s="22" t="s">
        <v>42</v>
      </c>
      <c r="U284" s="22"/>
      <c r="V284" s="22" t="s">
        <v>42</v>
      </c>
      <c r="W284" s="22" t="s">
        <v>42</v>
      </c>
      <c r="X284" s="22" t="s">
        <v>42</v>
      </c>
      <c r="Y284" s="22" t="s">
        <v>42</v>
      </c>
      <c r="Z284" s="22" t="s">
        <v>42</v>
      </c>
      <c r="AA284" s="22" t="s">
        <v>42</v>
      </c>
      <c r="AB284" s="22"/>
      <c r="AC284" s="22" t="s">
        <v>42</v>
      </c>
      <c r="AD284" s="22" t="s">
        <v>42</v>
      </c>
      <c r="AE284" s="22" t="s">
        <v>42</v>
      </c>
      <c r="AF284" s="22" t="s">
        <v>42</v>
      </c>
      <c r="AG284" s="22" t="s">
        <v>42</v>
      </c>
      <c r="AH284" s="22"/>
      <c r="AJ284" s="22" t="s">
        <v>42</v>
      </c>
      <c r="AK284" s="22" t="s">
        <v>42</v>
      </c>
      <c r="AL284" s="22" t="s">
        <v>42</v>
      </c>
      <c r="AM284" s="22">
        <f t="shared" si="13"/>
        <v>23</v>
      </c>
    </row>
    <row r="285" spans="1:39" hidden="1" x14ac:dyDescent="0.25">
      <c r="A285" s="20" t="s">
        <v>55</v>
      </c>
      <c r="B285" s="38" t="s">
        <v>665</v>
      </c>
      <c r="C285" s="20" t="s">
        <v>666</v>
      </c>
      <c r="D285" s="20" t="s">
        <v>21</v>
      </c>
      <c r="E285" s="20" t="s">
        <v>21</v>
      </c>
      <c r="F285" s="20" t="s">
        <v>58</v>
      </c>
      <c r="G285" s="39"/>
      <c r="H285" s="40"/>
      <c r="I285" s="22" t="s">
        <v>42</v>
      </c>
      <c r="J285" s="33"/>
      <c r="L285" s="22" t="s">
        <v>42</v>
      </c>
      <c r="M285" s="22" t="s">
        <v>42</v>
      </c>
      <c r="O285" s="22" t="s">
        <v>42</v>
      </c>
      <c r="P285" s="22" t="s">
        <v>42</v>
      </c>
      <c r="Q285" s="22" t="s">
        <v>42</v>
      </c>
      <c r="R285" s="22" t="s">
        <v>42</v>
      </c>
      <c r="S285" s="22" t="s">
        <v>42</v>
      </c>
      <c r="T285" s="22" t="s">
        <v>42</v>
      </c>
      <c r="U285" s="22"/>
      <c r="V285" s="22" t="s">
        <v>42</v>
      </c>
      <c r="W285" s="22" t="s">
        <v>42</v>
      </c>
      <c r="X285" s="22" t="s">
        <v>42</v>
      </c>
      <c r="Y285" s="22" t="s">
        <v>42</v>
      </c>
      <c r="Z285" s="22" t="s">
        <v>42</v>
      </c>
      <c r="AA285" s="22"/>
      <c r="AB285" s="22"/>
      <c r="AC285" s="22" t="s">
        <v>42</v>
      </c>
      <c r="AD285" s="22" t="s">
        <v>42</v>
      </c>
      <c r="AE285" s="22" t="s">
        <v>42</v>
      </c>
      <c r="AF285" s="22" t="s">
        <v>42</v>
      </c>
      <c r="AG285" s="22" t="s">
        <v>42</v>
      </c>
      <c r="AH285" s="22" t="s">
        <v>42</v>
      </c>
      <c r="AJ285" s="22" t="s">
        <v>42</v>
      </c>
      <c r="AK285" s="22" t="s">
        <v>42</v>
      </c>
      <c r="AL285" s="22" t="s">
        <v>42</v>
      </c>
      <c r="AM285" s="22">
        <f t="shared" si="13"/>
        <v>23</v>
      </c>
    </row>
    <row r="286" spans="1:39" hidden="1" x14ac:dyDescent="0.25">
      <c r="A286" s="20" t="s">
        <v>55</v>
      </c>
      <c r="B286" s="38" t="s">
        <v>667</v>
      </c>
      <c r="C286" s="20" t="s">
        <v>668</v>
      </c>
      <c r="D286" s="20" t="s">
        <v>8</v>
      </c>
      <c r="E286" s="20" t="s">
        <v>8</v>
      </c>
      <c r="F286" s="20" t="s">
        <v>58</v>
      </c>
      <c r="G286" s="39"/>
      <c r="H286" s="40"/>
      <c r="I286" s="22" t="s">
        <v>42</v>
      </c>
      <c r="L286" s="22" t="s">
        <v>42</v>
      </c>
      <c r="M286" s="22" t="s">
        <v>42</v>
      </c>
      <c r="O286" s="22" t="s">
        <v>42</v>
      </c>
      <c r="P286" s="22" t="s">
        <v>42</v>
      </c>
      <c r="Q286" s="22" t="s">
        <v>42</v>
      </c>
      <c r="R286" s="22" t="s">
        <v>42</v>
      </c>
      <c r="S286" s="22" t="s">
        <v>42</v>
      </c>
      <c r="T286" s="22" t="s">
        <v>42</v>
      </c>
      <c r="U286" s="22"/>
      <c r="V286" s="22" t="s">
        <v>42</v>
      </c>
      <c r="W286" s="22" t="s">
        <v>42</v>
      </c>
      <c r="X286" s="22" t="s">
        <v>42</v>
      </c>
      <c r="Y286" s="22" t="s">
        <v>42</v>
      </c>
      <c r="Z286" s="22" t="s">
        <v>42</v>
      </c>
      <c r="AA286" s="22" t="s">
        <v>42</v>
      </c>
      <c r="AB286" s="22"/>
      <c r="AC286" s="22" t="s">
        <v>42</v>
      </c>
      <c r="AD286" s="22" t="s">
        <v>42</v>
      </c>
      <c r="AE286" s="22" t="s">
        <v>42</v>
      </c>
      <c r="AF286" s="22" t="s">
        <v>42</v>
      </c>
      <c r="AG286" s="22" t="s">
        <v>42</v>
      </c>
      <c r="AH286" s="22" t="s">
        <v>42</v>
      </c>
      <c r="AJ286" s="22" t="s">
        <v>42</v>
      </c>
      <c r="AK286" s="22" t="s">
        <v>42</v>
      </c>
      <c r="AL286" s="22" t="s">
        <v>42</v>
      </c>
      <c r="AM286" s="22">
        <f t="shared" si="13"/>
        <v>24</v>
      </c>
    </row>
    <row r="287" spans="1:39" hidden="1" x14ac:dyDescent="0.25">
      <c r="A287" s="20" t="s">
        <v>55</v>
      </c>
      <c r="B287" s="38" t="s">
        <v>669</v>
      </c>
      <c r="C287" s="20" t="s">
        <v>670</v>
      </c>
      <c r="D287" s="20" t="s">
        <v>10</v>
      </c>
      <c r="E287" s="20" t="s">
        <v>10</v>
      </c>
      <c r="F287" s="20" t="s">
        <v>58</v>
      </c>
      <c r="G287" s="39"/>
      <c r="H287" s="40"/>
      <c r="I287" s="22" t="s">
        <v>42</v>
      </c>
      <c r="L287" s="22" t="s">
        <v>42</v>
      </c>
      <c r="M287" s="22" t="s">
        <v>42</v>
      </c>
      <c r="O287" s="22" t="s">
        <v>42</v>
      </c>
      <c r="P287" s="22" t="s">
        <v>42</v>
      </c>
      <c r="Q287" s="22" t="s">
        <v>42</v>
      </c>
      <c r="R287" s="22" t="s">
        <v>42</v>
      </c>
      <c r="S287" s="22" t="s">
        <v>42</v>
      </c>
      <c r="T287" s="22" t="s">
        <v>42</v>
      </c>
      <c r="U287" s="22"/>
      <c r="V287" s="22" t="s">
        <v>42</v>
      </c>
      <c r="W287" s="22" t="s">
        <v>42</v>
      </c>
      <c r="X287" s="22" t="s">
        <v>42</v>
      </c>
      <c r="Y287" s="22" t="s">
        <v>42</v>
      </c>
      <c r="Z287" s="22" t="s">
        <v>42</v>
      </c>
      <c r="AA287" s="22" t="s">
        <v>42</v>
      </c>
      <c r="AB287" s="22"/>
      <c r="AC287" s="22" t="s">
        <v>42</v>
      </c>
      <c r="AD287" s="22" t="s">
        <v>42</v>
      </c>
      <c r="AE287" s="22" t="s">
        <v>42</v>
      </c>
      <c r="AF287" s="22" t="s">
        <v>42</v>
      </c>
      <c r="AG287" s="22" t="s">
        <v>42</v>
      </c>
      <c r="AH287" s="22" t="s">
        <v>42</v>
      </c>
      <c r="AJ287" s="22" t="s">
        <v>42</v>
      </c>
      <c r="AK287" s="22" t="s">
        <v>42</v>
      </c>
      <c r="AL287" s="22" t="s">
        <v>42</v>
      </c>
      <c r="AM287" s="22">
        <f t="shared" si="13"/>
        <v>24</v>
      </c>
    </row>
    <row r="288" spans="1:39" hidden="1" x14ac:dyDescent="0.25">
      <c r="A288" s="20" t="s">
        <v>55</v>
      </c>
      <c r="B288" s="38" t="s">
        <v>671</v>
      </c>
      <c r="C288" s="20" t="s">
        <v>672</v>
      </c>
      <c r="D288" s="20" t="s">
        <v>11</v>
      </c>
      <c r="E288" s="20" t="s">
        <v>11</v>
      </c>
      <c r="F288" s="20" t="s">
        <v>58</v>
      </c>
      <c r="G288" s="39"/>
      <c r="H288" s="40"/>
      <c r="I288" s="22" t="s">
        <v>42</v>
      </c>
      <c r="L288" s="22" t="s">
        <v>42</v>
      </c>
      <c r="O288" s="22" t="s">
        <v>42</v>
      </c>
      <c r="P288" s="22" t="s">
        <v>42</v>
      </c>
      <c r="Q288" s="22" t="s">
        <v>42</v>
      </c>
      <c r="R288" s="22" t="s">
        <v>42</v>
      </c>
      <c r="U288" s="22"/>
      <c r="V288" s="22" t="s">
        <v>42</v>
      </c>
      <c r="W288" s="22" t="s">
        <v>42</v>
      </c>
      <c r="X288" s="22" t="s">
        <v>42</v>
      </c>
      <c r="Y288" s="22" t="s">
        <v>42</v>
      </c>
      <c r="Z288" s="22" t="s">
        <v>42</v>
      </c>
      <c r="AA288" s="22" t="s">
        <v>42</v>
      </c>
      <c r="AB288" s="22"/>
      <c r="AC288" s="22" t="s">
        <v>42</v>
      </c>
      <c r="AD288" s="22" t="s">
        <v>42</v>
      </c>
      <c r="AE288" s="22" t="s">
        <v>42</v>
      </c>
      <c r="AF288" s="22" t="s">
        <v>42</v>
      </c>
      <c r="AG288" s="22" t="s">
        <v>42</v>
      </c>
      <c r="AH288" s="22" t="s">
        <v>42</v>
      </c>
      <c r="AJ288" s="22" t="s">
        <v>42</v>
      </c>
      <c r="AM288" s="22">
        <f t="shared" si="13"/>
        <v>19</v>
      </c>
    </row>
    <row r="289" spans="1:39" hidden="1" x14ac:dyDescent="0.25">
      <c r="A289" s="20" t="s">
        <v>55</v>
      </c>
      <c r="B289" s="38" t="s">
        <v>673</v>
      </c>
      <c r="C289" s="20" t="s">
        <v>674</v>
      </c>
      <c r="D289" s="20" t="s">
        <v>11</v>
      </c>
      <c r="E289" s="20" t="s">
        <v>11</v>
      </c>
      <c r="F289" s="20" t="s">
        <v>58</v>
      </c>
      <c r="G289" s="39"/>
      <c r="H289" s="40"/>
      <c r="I289" s="22" t="s">
        <v>42</v>
      </c>
      <c r="J289" s="33"/>
      <c r="L289" s="22" t="s">
        <v>42</v>
      </c>
      <c r="M289" s="22" t="s">
        <v>42</v>
      </c>
      <c r="O289" s="22" t="s">
        <v>42</v>
      </c>
      <c r="R289" s="22"/>
      <c r="S289" s="22"/>
      <c r="T289" s="22"/>
      <c r="U289" s="22"/>
      <c r="V289" s="22" t="s">
        <v>42</v>
      </c>
      <c r="W289" s="22" t="s">
        <v>42</v>
      </c>
      <c r="X289" s="22" t="s">
        <v>42</v>
      </c>
      <c r="Y289" s="22" t="s">
        <v>42</v>
      </c>
      <c r="Z289" s="22" t="s">
        <v>42</v>
      </c>
      <c r="AA289" s="22" t="s">
        <v>42</v>
      </c>
      <c r="AB289" s="22"/>
      <c r="AC289" s="22" t="s">
        <v>42</v>
      </c>
      <c r="AD289" s="22" t="s">
        <v>42</v>
      </c>
      <c r="AE289" s="22" t="s">
        <v>42</v>
      </c>
      <c r="AF289" s="22" t="s">
        <v>42</v>
      </c>
      <c r="AG289" s="22" t="s">
        <v>42</v>
      </c>
      <c r="AH289" s="22" t="s">
        <v>42</v>
      </c>
      <c r="AJ289" s="22" t="s">
        <v>42</v>
      </c>
      <c r="AK289" s="22" t="s">
        <v>42</v>
      </c>
      <c r="AL289" s="22" t="s">
        <v>42</v>
      </c>
      <c r="AM289" s="22">
        <f t="shared" si="13"/>
        <v>19</v>
      </c>
    </row>
    <row r="290" spans="1:39" hidden="1" x14ac:dyDescent="0.25">
      <c r="A290" s="20" t="s">
        <v>55</v>
      </c>
      <c r="B290" s="38" t="s">
        <v>675</v>
      </c>
      <c r="C290" s="20" t="s">
        <v>676</v>
      </c>
      <c r="D290" s="20" t="s">
        <v>23</v>
      </c>
      <c r="E290" s="20" t="s">
        <v>23</v>
      </c>
      <c r="F290" s="20" t="s">
        <v>58</v>
      </c>
      <c r="G290" s="39"/>
      <c r="H290" s="40"/>
      <c r="I290" s="22" t="s">
        <v>42</v>
      </c>
      <c r="L290" s="22" t="s">
        <v>42</v>
      </c>
      <c r="M290" s="22" t="s">
        <v>42</v>
      </c>
      <c r="O290" s="22" t="s">
        <v>42</v>
      </c>
      <c r="P290" s="22" t="s">
        <v>42</v>
      </c>
      <c r="Q290" s="22" t="s">
        <v>42</v>
      </c>
      <c r="R290" s="22" t="s">
        <v>42</v>
      </c>
      <c r="S290" s="22" t="s">
        <v>42</v>
      </c>
      <c r="T290" s="22" t="s">
        <v>42</v>
      </c>
      <c r="U290" s="22"/>
      <c r="V290" s="22" t="s">
        <v>42</v>
      </c>
      <c r="W290" s="22" t="s">
        <v>42</v>
      </c>
      <c r="X290" s="22" t="s">
        <v>42</v>
      </c>
      <c r="Y290" s="22" t="s">
        <v>42</v>
      </c>
      <c r="Z290" s="22" t="s">
        <v>42</v>
      </c>
      <c r="AA290" s="22" t="s">
        <v>42</v>
      </c>
      <c r="AB290" s="22"/>
      <c r="AC290" s="22" t="s">
        <v>42</v>
      </c>
      <c r="AD290" s="22" t="s">
        <v>42</v>
      </c>
      <c r="AE290" s="22" t="s">
        <v>42</v>
      </c>
      <c r="AF290" s="22" t="s">
        <v>42</v>
      </c>
      <c r="AG290" s="22" t="s">
        <v>42</v>
      </c>
      <c r="AH290" s="22" t="s">
        <v>42</v>
      </c>
      <c r="AJ290" s="22" t="s">
        <v>42</v>
      </c>
      <c r="AK290" s="22" t="s">
        <v>42</v>
      </c>
      <c r="AL290" s="22" t="s">
        <v>42</v>
      </c>
      <c r="AM290" s="22">
        <f t="shared" si="13"/>
        <v>24</v>
      </c>
    </row>
    <row r="291" spans="1:39" hidden="1" x14ac:dyDescent="0.25">
      <c r="A291" s="20" t="s">
        <v>55</v>
      </c>
      <c r="B291" s="38" t="s">
        <v>677</v>
      </c>
      <c r="C291" s="20" t="s">
        <v>678</v>
      </c>
      <c r="D291" s="20" t="s">
        <v>24</v>
      </c>
      <c r="E291" s="20" t="s">
        <v>20</v>
      </c>
      <c r="F291" s="20" t="s">
        <v>63</v>
      </c>
      <c r="G291" s="39"/>
      <c r="H291" s="40"/>
      <c r="I291" s="33" t="s">
        <v>38</v>
      </c>
      <c r="J291" s="33"/>
      <c r="K291" s="33"/>
      <c r="L291" s="33" t="s">
        <v>38</v>
      </c>
      <c r="M291" s="33" t="s">
        <v>38</v>
      </c>
      <c r="N291" s="33"/>
      <c r="O291" s="33" t="s">
        <v>38</v>
      </c>
      <c r="P291" s="33" t="s">
        <v>38</v>
      </c>
      <c r="Q291" s="33" t="s">
        <v>38</v>
      </c>
      <c r="R291" s="33" t="s">
        <v>38</v>
      </c>
      <c r="S291" s="33" t="s">
        <v>38</v>
      </c>
      <c r="T291" s="33" t="s">
        <v>38</v>
      </c>
      <c r="U291" s="33"/>
      <c r="V291" s="33" t="s">
        <v>38</v>
      </c>
      <c r="W291" s="33" t="s">
        <v>38</v>
      </c>
      <c r="X291" s="33" t="s">
        <v>38</v>
      </c>
      <c r="Y291" s="33" t="s">
        <v>38</v>
      </c>
      <c r="Z291" s="33" t="s">
        <v>38</v>
      </c>
      <c r="AA291" s="33" t="s">
        <v>38</v>
      </c>
      <c r="AB291" s="33"/>
      <c r="AC291" s="33" t="s">
        <v>38</v>
      </c>
      <c r="AD291" s="33" t="s">
        <v>38</v>
      </c>
      <c r="AE291" s="33" t="s">
        <v>38</v>
      </c>
      <c r="AF291" s="33" t="s">
        <v>38</v>
      </c>
      <c r="AG291" s="33" t="s">
        <v>38</v>
      </c>
      <c r="AH291" s="33" t="s">
        <v>38</v>
      </c>
      <c r="AI291" s="33"/>
      <c r="AJ291" s="33" t="s">
        <v>38</v>
      </c>
      <c r="AK291" s="33" t="s">
        <v>38</v>
      </c>
      <c r="AL291" s="33" t="s">
        <v>38</v>
      </c>
      <c r="AM291" s="22">
        <f t="shared" si="13"/>
        <v>24</v>
      </c>
    </row>
    <row r="292" spans="1:39" hidden="1" x14ac:dyDescent="0.25">
      <c r="A292" s="20" t="s">
        <v>55</v>
      </c>
      <c r="B292" s="38" t="s">
        <v>679</v>
      </c>
      <c r="C292" s="20" t="s">
        <v>680</v>
      </c>
      <c r="D292" s="20" t="s">
        <v>24</v>
      </c>
      <c r="E292" s="20" t="s">
        <v>20</v>
      </c>
      <c r="F292" s="20" t="s">
        <v>63</v>
      </c>
      <c r="G292" s="39" t="s">
        <v>64</v>
      </c>
      <c r="H292" s="40"/>
      <c r="I292" s="33" t="s">
        <v>40</v>
      </c>
      <c r="J292" s="33"/>
      <c r="K292" s="33"/>
      <c r="L292" s="33" t="s">
        <v>40</v>
      </c>
      <c r="M292" s="33" t="s">
        <v>40</v>
      </c>
      <c r="N292" s="33"/>
      <c r="O292" s="33" t="s">
        <v>40</v>
      </c>
      <c r="P292" s="33" t="s">
        <v>40</v>
      </c>
      <c r="Q292" s="33" t="s">
        <v>40</v>
      </c>
      <c r="R292" s="33" t="s">
        <v>40</v>
      </c>
      <c r="S292" s="33" t="s">
        <v>40</v>
      </c>
      <c r="T292" s="33" t="s">
        <v>40</v>
      </c>
      <c r="U292" s="33"/>
      <c r="V292" s="33" t="s">
        <v>40</v>
      </c>
      <c r="W292" s="33" t="s">
        <v>40</v>
      </c>
      <c r="X292" s="33" t="s">
        <v>40</v>
      </c>
      <c r="Y292" s="33" t="s">
        <v>40</v>
      </c>
      <c r="Z292" s="33" t="s">
        <v>40</v>
      </c>
      <c r="AA292" s="33" t="s">
        <v>40</v>
      </c>
      <c r="AB292" s="33"/>
      <c r="AC292" s="33" t="s">
        <v>40</v>
      </c>
      <c r="AD292" s="33" t="s">
        <v>40</v>
      </c>
      <c r="AE292" s="33" t="s">
        <v>40</v>
      </c>
      <c r="AF292" s="33" t="s">
        <v>40</v>
      </c>
      <c r="AG292" s="33" t="s">
        <v>40</v>
      </c>
      <c r="AH292" s="33" t="s">
        <v>40</v>
      </c>
      <c r="AI292" s="33"/>
      <c r="AJ292" s="33" t="s">
        <v>40</v>
      </c>
      <c r="AK292" s="33" t="s">
        <v>40</v>
      </c>
      <c r="AL292" s="33" t="s">
        <v>40</v>
      </c>
      <c r="AM292" s="22">
        <f t="shared" si="13"/>
        <v>24</v>
      </c>
    </row>
    <row r="293" spans="1:39" hidden="1" x14ac:dyDescent="0.25">
      <c r="A293" s="20" t="s">
        <v>55</v>
      </c>
      <c r="B293" s="38" t="s">
        <v>681</v>
      </c>
      <c r="C293" s="20" t="s">
        <v>682</v>
      </c>
      <c r="D293" s="20" t="s">
        <v>10</v>
      </c>
      <c r="E293" s="20" t="s">
        <v>10</v>
      </c>
      <c r="F293" s="20" t="s">
        <v>58</v>
      </c>
      <c r="G293" s="39"/>
      <c r="H293" s="40"/>
      <c r="I293" s="31" t="s">
        <v>147</v>
      </c>
      <c r="L293" s="29" t="s">
        <v>147</v>
      </c>
      <c r="M293" s="31" t="s">
        <v>147</v>
      </c>
      <c r="O293" s="29" t="s">
        <v>147</v>
      </c>
      <c r="P293" s="29" t="s">
        <v>147</v>
      </c>
      <c r="Q293" s="31" t="s">
        <v>147</v>
      </c>
      <c r="R293" s="31" t="s">
        <v>147</v>
      </c>
      <c r="S293" s="31" t="s">
        <v>147</v>
      </c>
      <c r="T293" s="31" t="s">
        <v>147</v>
      </c>
      <c r="U293" s="22"/>
      <c r="V293" s="22" t="s">
        <v>42</v>
      </c>
      <c r="W293" s="31" t="s">
        <v>147</v>
      </c>
      <c r="X293" s="31" t="s">
        <v>147</v>
      </c>
      <c r="Y293" s="31" t="s">
        <v>147</v>
      </c>
      <c r="Z293" s="31" t="s">
        <v>147</v>
      </c>
      <c r="AA293" s="31" t="s">
        <v>147</v>
      </c>
      <c r="AB293" s="22"/>
      <c r="AC293" s="22" t="s">
        <v>147</v>
      </c>
      <c r="AD293" s="31" t="s">
        <v>147</v>
      </c>
      <c r="AE293" s="31" t="s">
        <v>147</v>
      </c>
      <c r="AF293" s="22" t="s">
        <v>42</v>
      </c>
      <c r="AG293" s="31" t="s">
        <v>147</v>
      </c>
      <c r="AH293" s="31" t="s">
        <v>147</v>
      </c>
      <c r="AJ293" s="31" t="s">
        <v>147</v>
      </c>
      <c r="AK293" s="22" t="s">
        <v>42</v>
      </c>
      <c r="AL293" s="31" t="s">
        <v>147</v>
      </c>
      <c r="AM293" s="22">
        <f t="shared" si="13"/>
        <v>3</v>
      </c>
    </row>
    <row r="294" spans="1:39" hidden="1" x14ac:dyDescent="0.25">
      <c r="A294" s="20" t="s">
        <v>55</v>
      </c>
      <c r="B294" s="38" t="s">
        <v>683</v>
      </c>
      <c r="C294" s="20" t="s">
        <v>684</v>
      </c>
      <c r="D294" s="20" t="s">
        <v>10</v>
      </c>
      <c r="E294" s="20" t="s">
        <v>10</v>
      </c>
      <c r="F294" s="20" t="s">
        <v>58</v>
      </c>
      <c r="G294" s="39"/>
      <c r="H294" s="40"/>
      <c r="I294" s="22" t="s">
        <v>42</v>
      </c>
      <c r="L294" s="22" t="s">
        <v>42</v>
      </c>
      <c r="M294" s="22" t="s">
        <v>42</v>
      </c>
      <c r="O294" s="22" t="s">
        <v>42</v>
      </c>
      <c r="P294" s="22" t="s">
        <v>42</v>
      </c>
      <c r="Q294" s="22" t="s">
        <v>42</v>
      </c>
      <c r="R294" s="22" t="s">
        <v>42</v>
      </c>
      <c r="S294" s="22" t="s">
        <v>42</v>
      </c>
      <c r="T294" s="22" t="s">
        <v>42</v>
      </c>
      <c r="U294" s="22"/>
      <c r="V294" s="22" t="s">
        <v>42</v>
      </c>
      <c r="W294" s="22" t="s">
        <v>42</v>
      </c>
      <c r="X294" s="22" t="s">
        <v>42</v>
      </c>
      <c r="Y294" s="22"/>
      <c r="Z294" s="22" t="s">
        <v>42</v>
      </c>
      <c r="AA294" s="22" t="s">
        <v>42</v>
      </c>
      <c r="AB294" s="22"/>
      <c r="AC294" s="22" t="s">
        <v>42</v>
      </c>
      <c r="AD294" s="22" t="s">
        <v>42</v>
      </c>
      <c r="AE294" s="22" t="s">
        <v>42</v>
      </c>
      <c r="AF294" s="22" t="s">
        <v>42</v>
      </c>
      <c r="AG294" s="22" t="s">
        <v>42</v>
      </c>
      <c r="AH294" s="22" t="s">
        <v>42</v>
      </c>
      <c r="AJ294" s="22" t="s">
        <v>42</v>
      </c>
      <c r="AK294" s="22" t="s">
        <v>42</v>
      </c>
      <c r="AL294" s="22" t="s">
        <v>42</v>
      </c>
      <c r="AM294" s="22">
        <f t="shared" si="13"/>
        <v>23</v>
      </c>
    </row>
    <row r="295" spans="1:39" hidden="1" x14ac:dyDescent="0.25">
      <c r="A295" s="20" t="s">
        <v>55</v>
      </c>
      <c r="B295" s="38" t="s">
        <v>685</v>
      </c>
      <c r="C295" s="20" t="s">
        <v>686</v>
      </c>
      <c r="D295" s="20" t="s">
        <v>13</v>
      </c>
      <c r="E295" s="20" t="s">
        <v>13</v>
      </c>
      <c r="F295" s="20" t="s">
        <v>58</v>
      </c>
      <c r="G295" s="39"/>
      <c r="H295" s="40"/>
      <c r="I295" s="22" t="s">
        <v>42</v>
      </c>
      <c r="L295" s="22" t="s">
        <v>42</v>
      </c>
      <c r="M295" s="22" t="s">
        <v>42</v>
      </c>
      <c r="O295" s="22" t="s">
        <v>42</v>
      </c>
      <c r="P295" s="22" t="s">
        <v>42</v>
      </c>
      <c r="Q295" s="22" t="s">
        <v>42</v>
      </c>
      <c r="R295" s="22" t="s">
        <v>42</v>
      </c>
      <c r="S295" s="22" t="s">
        <v>42</v>
      </c>
      <c r="T295" s="22" t="s">
        <v>42</v>
      </c>
      <c r="U295" s="22"/>
      <c r="V295" s="22" t="s">
        <v>42</v>
      </c>
      <c r="W295" s="22" t="s">
        <v>42</v>
      </c>
      <c r="X295" s="22" t="s">
        <v>42</v>
      </c>
      <c r="Y295" s="22" t="s">
        <v>42</v>
      </c>
      <c r="Z295" s="22" t="s">
        <v>42</v>
      </c>
      <c r="AA295" s="22" t="s">
        <v>42</v>
      </c>
      <c r="AB295" s="22"/>
      <c r="AC295" s="22" t="s">
        <v>42</v>
      </c>
      <c r="AD295" s="22" t="s">
        <v>42</v>
      </c>
      <c r="AE295" s="22" t="s">
        <v>42</v>
      </c>
      <c r="AF295" s="22" t="s">
        <v>42</v>
      </c>
      <c r="AG295" s="22" t="s">
        <v>42</v>
      </c>
      <c r="AH295" s="22" t="s">
        <v>42</v>
      </c>
      <c r="AJ295" s="22" t="s">
        <v>42</v>
      </c>
      <c r="AK295" s="22" t="s">
        <v>42</v>
      </c>
      <c r="AL295" s="22" t="s">
        <v>42</v>
      </c>
      <c r="AM295" s="22">
        <f t="shared" si="13"/>
        <v>24</v>
      </c>
    </row>
    <row r="296" spans="1:39" hidden="1" x14ac:dyDescent="0.25">
      <c r="A296" s="20" t="s">
        <v>55</v>
      </c>
      <c r="B296" s="38" t="s">
        <v>687</v>
      </c>
      <c r="C296" s="20" t="s">
        <v>688</v>
      </c>
      <c r="D296" s="20" t="s">
        <v>18</v>
      </c>
      <c r="E296" s="20" t="s">
        <v>18</v>
      </c>
      <c r="F296" s="20" t="s">
        <v>58</v>
      </c>
      <c r="G296" s="39"/>
      <c r="H296" s="40"/>
      <c r="I296" s="22" t="s">
        <v>42</v>
      </c>
      <c r="M296" s="22" t="s">
        <v>42</v>
      </c>
      <c r="O296" s="22" t="s">
        <v>42</v>
      </c>
      <c r="P296" s="22" t="s">
        <v>42</v>
      </c>
      <c r="Q296" s="22" t="s">
        <v>42</v>
      </c>
      <c r="R296" s="22" t="s">
        <v>42</v>
      </c>
      <c r="S296" s="22" t="s">
        <v>42</v>
      </c>
      <c r="T296" s="22" t="s">
        <v>42</v>
      </c>
      <c r="U296" s="22"/>
      <c r="V296" s="22" t="s">
        <v>42</v>
      </c>
      <c r="W296" s="22" t="s">
        <v>42</v>
      </c>
      <c r="X296" s="22" t="s">
        <v>42</v>
      </c>
      <c r="Y296" s="22" t="s">
        <v>42</v>
      </c>
      <c r="Z296" s="22" t="s">
        <v>42</v>
      </c>
      <c r="AA296" s="22" t="s">
        <v>42</v>
      </c>
      <c r="AB296" s="22"/>
      <c r="AC296" s="22" t="s">
        <v>42</v>
      </c>
      <c r="AD296" s="22" t="s">
        <v>42</v>
      </c>
      <c r="AE296" s="22" t="s">
        <v>42</v>
      </c>
      <c r="AF296" s="22" t="s">
        <v>42</v>
      </c>
      <c r="AG296" s="22" t="s">
        <v>42</v>
      </c>
      <c r="AH296" s="22" t="s">
        <v>42</v>
      </c>
      <c r="AJ296" s="22" t="s">
        <v>42</v>
      </c>
      <c r="AK296" s="22" t="s">
        <v>42</v>
      </c>
      <c r="AM296" s="22">
        <f t="shared" si="13"/>
        <v>22</v>
      </c>
    </row>
    <row r="297" spans="1:39" hidden="1" x14ac:dyDescent="0.25">
      <c r="A297" s="20" t="s">
        <v>55</v>
      </c>
      <c r="B297" s="38" t="s">
        <v>689</v>
      </c>
      <c r="C297" s="20" t="s">
        <v>690</v>
      </c>
      <c r="D297" s="20" t="s">
        <v>10</v>
      </c>
      <c r="E297" s="20" t="s">
        <v>10</v>
      </c>
      <c r="F297" s="20" t="s">
        <v>63</v>
      </c>
      <c r="G297" s="39"/>
      <c r="H297" s="40"/>
      <c r="I297" s="33" t="s">
        <v>38</v>
      </c>
      <c r="J297" s="33"/>
      <c r="K297" s="33"/>
      <c r="L297" s="33" t="s">
        <v>38</v>
      </c>
      <c r="M297" s="33" t="s">
        <v>38</v>
      </c>
      <c r="N297" s="33"/>
      <c r="O297" s="33" t="s">
        <v>38</v>
      </c>
      <c r="P297" s="33" t="s">
        <v>38</v>
      </c>
      <c r="Q297" s="33" t="s">
        <v>38</v>
      </c>
      <c r="R297" s="33" t="s">
        <v>38</v>
      </c>
      <c r="S297" s="33" t="s">
        <v>38</v>
      </c>
      <c r="T297" s="33" t="s">
        <v>38</v>
      </c>
      <c r="U297" s="33"/>
      <c r="V297" s="33" t="s">
        <v>38</v>
      </c>
      <c r="W297" s="33" t="s">
        <v>38</v>
      </c>
      <c r="X297" s="33" t="s">
        <v>38</v>
      </c>
      <c r="Y297" s="33" t="s">
        <v>38</v>
      </c>
      <c r="Z297" s="33" t="s">
        <v>38</v>
      </c>
      <c r="AA297" s="33" t="s">
        <v>38</v>
      </c>
      <c r="AB297" s="33"/>
      <c r="AC297" s="33" t="s">
        <v>38</v>
      </c>
      <c r="AD297" s="33" t="s">
        <v>38</v>
      </c>
      <c r="AE297" s="33" t="s">
        <v>38</v>
      </c>
      <c r="AF297" s="33" t="s">
        <v>38</v>
      </c>
      <c r="AG297" s="33" t="s">
        <v>38</v>
      </c>
      <c r="AH297" s="33" t="s">
        <v>38</v>
      </c>
      <c r="AI297" s="33"/>
      <c r="AJ297" s="33"/>
      <c r="AK297" s="33" t="s">
        <v>38</v>
      </c>
      <c r="AL297" s="22" t="s">
        <v>42</v>
      </c>
      <c r="AM297" s="22">
        <f t="shared" si="13"/>
        <v>23</v>
      </c>
    </row>
    <row r="298" spans="1:39" hidden="1" x14ac:dyDescent="0.25">
      <c r="A298" s="20" t="s">
        <v>55</v>
      </c>
      <c r="B298" s="38" t="s">
        <v>691</v>
      </c>
      <c r="C298" s="20" t="s">
        <v>692</v>
      </c>
      <c r="D298" s="20" t="s">
        <v>10</v>
      </c>
      <c r="E298" s="20" t="s">
        <v>10</v>
      </c>
      <c r="F298" s="20" t="s">
        <v>58</v>
      </c>
      <c r="G298" s="39"/>
      <c r="H298" s="40"/>
      <c r="I298" s="22" t="s">
        <v>42</v>
      </c>
      <c r="L298" s="22" t="s">
        <v>42</v>
      </c>
      <c r="M298" s="22" t="s">
        <v>42</v>
      </c>
      <c r="O298" s="22" t="s">
        <v>42</v>
      </c>
      <c r="P298" s="22" t="s">
        <v>42</v>
      </c>
      <c r="Q298" s="22" t="s">
        <v>42</v>
      </c>
      <c r="R298" s="22" t="s">
        <v>42</v>
      </c>
      <c r="S298" s="22" t="s">
        <v>42</v>
      </c>
      <c r="T298" s="22" t="s">
        <v>42</v>
      </c>
      <c r="U298" s="22"/>
      <c r="V298" s="22" t="s">
        <v>42</v>
      </c>
      <c r="W298" s="22" t="s">
        <v>42</v>
      </c>
      <c r="X298" s="22" t="s">
        <v>42</v>
      </c>
      <c r="Y298" s="22" t="s">
        <v>42</v>
      </c>
      <c r="Z298" s="22" t="s">
        <v>42</v>
      </c>
      <c r="AA298" s="22" t="s">
        <v>42</v>
      </c>
      <c r="AB298" s="22"/>
      <c r="AC298" s="22" t="s">
        <v>42</v>
      </c>
      <c r="AD298" s="22" t="s">
        <v>42</v>
      </c>
      <c r="AE298" s="22" t="s">
        <v>42</v>
      </c>
      <c r="AF298" s="22" t="s">
        <v>42</v>
      </c>
      <c r="AG298" s="22" t="s">
        <v>42</v>
      </c>
      <c r="AH298" s="22" t="s">
        <v>42</v>
      </c>
      <c r="AJ298" s="22" t="s">
        <v>42</v>
      </c>
      <c r="AK298" s="22" t="s">
        <v>42</v>
      </c>
      <c r="AL298" s="22" t="s">
        <v>42</v>
      </c>
      <c r="AM298" s="22">
        <f t="shared" si="13"/>
        <v>24</v>
      </c>
    </row>
    <row r="299" spans="1:39" hidden="1" x14ac:dyDescent="0.25">
      <c r="A299" s="20" t="s">
        <v>55</v>
      </c>
      <c r="B299" s="38" t="s">
        <v>693</v>
      </c>
      <c r="C299" s="20" t="s">
        <v>694</v>
      </c>
      <c r="D299" s="20" t="s">
        <v>16</v>
      </c>
      <c r="E299" s="20" t="s">
        <v>16</v>
      </c>
      <c r="F299" s="20" t="s">
        <v>170</v>
      </c>
      <c r="G299" s="39"/>
      <c r="H299" s="40"/>
      <c r="I299" s="31" t="s">
        <v>36</v>
      </c>
      <c r="J299" s="31"/>
      <c r="K299" s="31"/>
      <c r="L299" s="31" t="s">
        <v>36</v>
      </c>
      <c r="M299" s="31" t="s">
        <v>36</v>
      </c>
      <c r="N299" s="31"/>
      <c r="O299" s="31" t="s">
        <v>36</v>
      </c>
      <c r="P299" s="31" t="s">
        <v>36</v>
      </c>
      <c r="Q299" s="31" t="s">
        <v>36</v>
      </c>
      <c r="R299" s="31" t="s">
        <v>36</v>
      </c>
      <c r="S299" s="31" t="s">
        <v>36</v>
      </c>
      <c r="T299" s="31" t="s">
        <v>36</v>
      </c>
      <c r="U299" s="31"/>
      <c r="V299" s="31" t="s">
        <v>36</v>
      </c>
      <c r="W299" s="31" t="s">
        <v>36</v>
      </c>
      <c r="X299" s="31" t="s">
        <v>36</v>
      </c>
      <c r="Y299" s="31" t="s">
        <v>36</v>
      </c>
      <c r="Z299" s="31" t="s">
        <v>36</v>
      </c>
      <c r="AA299" s="31" t="s">
        <v>36</v>
      </c>
      <c r="AB299" s="31"/>
      <c r="AC299" s="31" t="s">
        <v>36</v>
      </c>
      <c r="AD299" s="31" t="s">
        <v>36</v>
      </c>
      <c r="AE299" s="31" t="s">
        <v>36</v>
      </c>
      <c r="AF299" s="31" t="s">
        <v>36</v>
      </c>
      <c r="AG299" s="31" t="s">
        <v>36</v>
      </c>
      <c r="AH299" s="31" t="s">
        <v>36</v>
      </c>
      <c r="AI299" s="31"/>
      <c r="AJ299" s="31" t="s">
        <v>36</v>
      </c>
      <c r="AK299" s="31" t="s">
        <v>36</v>
      </c>
      <c r="AL299" s="31" t="s">
        <v>36</v>
      </c>
      <c r="AM299" s="22">
        <f t="shared" si="13"/>
        <v>24</v>
      </c>
    </row>
    <row r="300" spans="1:39" hidden="1" x14ac:dyDescent="0.25">
      <c r="A300" s="20" t="s">
        <v>55</v>
      </c>
      <c r="B300" s="38" t="s">
        <v>695</v>
      </c>
      <c r="C300" s="20" t="s">
        <v>696</v>
      </c>
      <c r="D300" s="20" t="s">
        <v>21</v>
      </c>
      <c r="E300" s="20" t="s">
        <v>21</v>
      </c>
      <c r="F300" s="20" t="s">
        <v>58</v>
      </c>
      <c r="G300" s="39"/>
      <c r="H300" s="40"/>
      <c r="I300" s="22" t="s">
        <v>42</v>
      </c>
      <c r="L300" s="22" t="s">
        <v>42</v>
      </c>
      <c r="M300" s="22" t="s">
        <v>42</v>
      </c>
      <c r="O300" s="22" t="s">
        <v>42</v>
      </c>
      <c r="P300" s="22" t="s">
        <v>42</v>
      </c>
      <c r="Q300" s="22" t="s">
        <v>42</v>
      </c>
      <c r="R300" s="22" t="s">
        <v>42</v>
      </c>
      <c r="S300" s="22" t="s">
        <v>42</v>
      </c>
      <c r="T300" s="22" t="s">
        <v>42</v>
      </c>
      <c r="U300" s="22"/>
      <c r="V300" s="22" t="s">
        <v>42</v>
      </c>
      <c r="W300" s="22" t="s">
        <v>42</v>
      </c>
      <c r="X300" s="22" t="s">
        <v>42</v>
      </c>
      <c r="Y300" s="22" t="s">
        <v>42</v>
      </c>
      <c r="Z300" s="22" t="s">
        <v>42</v>
      </c>
      <c r="AA300" s="22" t="s">
        <v>42</v>
      </c>
      <c r="AB300" s="22"/>
      <c r="AC300" s="22" t="s">
        <v>42</v>
      </c>
      <c r="AD300" s="22" t="s">
        <v>42</v>
      </c>
      <c r="AE300" s="22" t="s">
        <v>42</v>
      </c>
      <c r="AF300" s="22" t="s">
        <v>42</v>
      </c>
      <c r="AG300" s="22" t="s">
        <v>42</v>
      </c>
      <c r="AH300" s="22" t="s">
        <v>42</v>
      </c>
      <c r="AJ300" s="22" t="s">
        <v>42</v>
      </c>
      <c r="AK300" s="22" t="s">
        <v>42</v>
      </c>
      <c r="AM300" s="22">
        <f t="shared" si="13"/>
        <v>23</v>
      </c>
    </row>
    <row r="301" spans="1:39" hidden="1" x14ac:dyDescent="0.25">
      <c r="A301" s="20" t="s">
        <v>55</v>
      </c>
      <c r="B301" s="38" t="s">
        <v>697</v>
      </c>
      <c r="C301" s="20" t="s">
        <v>698</v>
      </c>
      <c r="D301" s="20" t="s">
        <v>21</v>
      </c>
      <c r="E301" s="20" t="s">
        <v>21</v>
      </c>
      <c r="F301" s="20" t="s">
        <v>58</v>
      </c>
      <c r="G301" s="39"/>
      <c r="H301" s="40"/>
      <c r="I301" s="22" t="s">
        <v>42</v>
      </c>
      <c r="J301" s="33"/>
      <c r="L301" s="22" t="s">
        <v>42</v>
      </c>
      <c r="M301" s="22" t="s">
        <v>42</v>
      </c>
      <c r="N301" s="22" t="s">
        <v>42</v>
      </c>
      <c r="O301" s="22" t="s">
        <v>42</v>
      </c>
      <c r="P301" s="22" t="s">
        <v>42</v>
      </c>
      <c r="Q301" s="22" t="s">
        <v>42</v>
      </c>
      <c r="R301" s="22" t="s">
        <v>42</v>
      </c>
      <c r="S301" s="22" t="s">
        <v>42</v>
      </c>
      <c r="T301" s="22" t="s">
        <v>42</v>
      </c>
      <c r="U301" s="22"/>
      <c r="V301" s="22" t="s">
        <v>42</v>
      </c>
      <c r="W301" s="22" t="s">
        <v>42</v>
      </c>
      <c r="X301" s="22" t="s">
        <v>42</v>
      </c>
      <c r="Y301" s="22" t="s">
        <v>42</v>
      </c>
      <c r="Z301" s="22" t="s">
        <v>42</v>
      </c>
      <c r="AA301" s="22" t="s">
        <v>42</v>
      </c>
      <c r="AB301" s="22" t="s">
        <v>42</v>
      </c>
      <c r="AC301" s="22" t="s">
        <v>42</v>
      </c>
      <c r="AD301" s="22" t="s">
        <v>42</v>
      </c>
      <c r="AE301" s="22" t="s">
        <v>42</v>
      </c>
      <c r="AF301" s="22" t="s">
        <v>42</v>
      </c>
      <c r="AG301" s="22" t="s">
        <v>42</v>
      </c>
      <c r="AH301" s="22"/>
      <c r="AJ301" s="22" t="s">
        <v>42</v>
      </c>
      <c r="AK301" s="22" t="s">
        <v>42</v>
      </c>
      <c r="AL301" s="22" t="s">
        <v>42</v>
      </c>
      <c r="AM301" s="22">
        <f t="shared" si="13"/>
        <v>25</v>
      </c>
    </row>
    <row r="302" spans="1:39" x14ac:dyDescent="0.25">
      <c r="A302" s="20" t="s">
        <v>55</v>
      </c>
      <c r="B302" s="38" t="s">
        <v>699</v>
      </c>
      <c r="C302" s="20" t="s">
        <v>700</v>
      </c>
      <c r="D302" s="20" t="s">
        <v>21</v>
      </c>
      <c r="E302" s="20" t="s">
        <v>21</v>
      </c>
      <c r="F302" s="20" t="s">
        <v>58</v>
      </c>
      <c r="G302" s="39"/>
      <c r="H302" s="40"/>
      <c r="I302" s="22" t="s">
        <v>42</v>
      </c>
      <c r="J302" s="33"/>
      <c r="L302" s="22" t="s">
        <v>42</v>
      </c>
      <c r="M302" s="22" t="s">
        <v>42</v>
      </c>
      <c r="N302" s="22" t="s">
        <v>42</v>
      </c>
      <c r="O302" s="22" t="s">
        <v>42</v>
      </c>
      <c r="P302" s="22" t="s">
        <v>42</v>
      </c>
      <c r="Q302" s="22" t="s">
        <v>42</v>
      </c>
      <c r="R302" s="22" t="s">
        <v>42</v>
      </c>
      <c r="S302" s="22" t="s">
        <v>42</v>
      </c>
      <c r="T302" s="22" t="s">
        <v>42</v>
      </c>
      <c r="U302" s="22"/>
      <c r="V302" s="22" t="s">
        <v>42</v>
      </c>
      <c r="W302" s="22" t="s">
        <v>42</v>
      </c>
      <c r="X302" s="22" t="s">
        <v>42</v>
      </c>
      <c r="Y302" s="22" t="s">
        <v>42</v>
      </c>
      <c r="Z302" s="22" t="s">
        <v>42</v>
      </c>
      <c r="AA302" s="22" t="s">
        <v>42</v>
      </c>
      <c r="AB302" s="22" t="s">
        <v>42</v>
      </c>
      <c r="AC302" s="22" t="s">
        <v>42</v>
      </c>
      <c r="AD302" s="22" t="s">
        <v>42</v>
      </c>
      <c r="AE302" s="22" t="s">
        <v>42</v>
      </c>
      <c r="AF302" s="22" t="s">
        <v>42</v>
      </c>
      <c r="AG302" s="22" t="s">
        <v>42</v>
      </c>
      <c r="AH302" s="22" t="s">
        <v>42</v>
      </c>
      <c r="AI302" s="22" t="s">
        <v>42</v>
      </c>
      <c r="AJ302" s="22" t="s">
        <v>42</v>
      </c>
      <c r="AK302" s="22" t="s">
        <v>42</v>
      </c>
      <c r="AL302" s="22" t="s">
        <v>42</v>
      </c>
      <c r="AM302" s="22">
        <f t="shared" si="13"/>
        <v>27</v>
      </c>
    </row>
    <row r="303" spans="1:39" hidden="1" x14ac:dyDescent="0.25">
      <c r="A303" s="20" t="s">
        <v>55</v>
      </c>
      <c r="B303" s="38" t="s">
        <v>701</v>
      </c>
      <c r="C303" s="20" t="s">
        <v>16</v>
      </c>
      <c r="D303" s="20" t="s">
        <v>16</v>
      </c>
      <c r="E303" s="20" t="s">
        <v>16</v>
      </c>
      <c r="F303" s="20" t="s">
        <v>170</v>
      </c>
      <c r="G303" s="39"/>
      <c r="H303" s="40"/>
      <c r="J303" s="33"/>
      <c r="P303" s="31"/>
      <c r="U303" s="22"/>
      <c r="V303" s="22"/>
      <c r="W303" s="22"/>
      <c r="X303" s="31"/>
      <c r="Z303" s="22"/>
      <c r="AM303" s="22">
        <f t="shared" si="13"/>
        <v>0</v>
      </c>
    </row>
    <row r="304" spans="1:39" hidden="1" x14ac:dyDescent="0.25">
      <c r="A304" s="20" t="s">
        <v>55</v>
      </c>
      <c r="B304" s="38" t="s">
        <v>702</v>
      </c>
      <c r="C304" s="20" t="s">
        <v>913</v>
      </c>
      <c r="D304" s="20" t="s">
        <v>23</v>
      </c>
      <c r="E304" s="20" t="s">
        <v>23</v>
      </c>
      <c r="F304" s="20" t="s">
        <v>58</v>
      </c>
      <c r="G304" s="39"/>
      <c r="H304" s="40"/>
      <c r="I304" s="22" t="s">
        <v>42</v>
      </c>
      <c r="L304" s="22" t="s">
        <v>42</v>
      </c>
      <c r="M304" s="22" t="s">
        <v>42</v>
      </c>
      <c r="O304" s="22" t="s">
        <v>42</v>
      </c>
      <c r="P304" s="22" t="s">
        <v>42</v>
      </c>
      <c r="R304" s="22"/>
      <c r="S304" s="22"/>
      <c r="T304" s="22"/>
      <c r="U304" s="22"/>
      <c r="V304" s="22"/>
      <c r="W304" s="22"/>
      <c r="X304" s="22"/>
      <c r="Z304" s="22"/>
      <c r="AA304" s="22"/>
      <c r="AB304" s="22"/>
      <c r="AC304" s="22" t="s">
        <v>42</v>
      </c>
      <c r="AD304" s="22" t="s">
        <v>42</v>
      </c>
      <c r="AE304" s="22" t="s">
        <v>42</v>
      </c>
      <c r="AF304" s="22" t="s">
        <v>42</v>
      </c>
      <c r="AG304" s="22" t="s">
        <v>42</v>
      </c>
      <c r="AH304" s="22" t="s">
        <v>42</v>
      </c>
      <c r="AJ304" s="22" t="s">
        <v>42</v>
      </c>
      <c r="AK304" s="22" t="s">
        <v>42</v>
      </c>
      <c r="AM304" s="22">
        <f t="shared" si="13"/>
        <v>13</v>
      </c>
    </row>
    <row r="305" spans="1:39" hidden="1" x14ac:dyDescent="0.25">
      <c r="A305" s="20" t="s">
        <v>55</v>
      </c>
      <c r="B305" s="38" t="s">
        <v>704</v>
      </c>
      <c r="C305" s="20" t="s">
        <v>705</v>
      </c>
      <c r="D305" s="20" t="s">
        <v>10</v>
      </c>
      <c r="E305" s="20" t="s">
        <v>10</v>
      </c>
      <c r="F305" s="20" t="s">
        <v>58</v>
      </c>
      <c r="G305" s="39"/>
      <c r="H305" s="40"/>
      <c r="I305" s="22" t="s">
        <v>42</v>
      </c>
      <c r="L305" s="22" t="s">
        <v>42</v>
      </c>
      <c r="M305" s="22" t="s">
        <v>42</v>
      </c>
      <c r="O305" s="22" t="s">
        <v>42</v>
      </c>
      <c r="P305" s="22" t="s">
        <v>42</v>
      </c>
      <c r="Q305" s="22" t="s">
        <v>42</v>
      </c>
      <c r="R305" s="22" t="s">
        <v>42</v>
      </c>
      <c r="S305" s="22" t="s">
        <v>42</v>
      </c>
      <c r="T305" s="22" t="s">
        <v>42</v>
      </c>
      <c r="U305" s="22"/>
      <c r="V305" s="22" t="s">
        <v>42</v>
      </c>
      <c r="W305" s="22" t="s">
        <v>42</v>
      </c>
      <c r="X305" s="22" t="s">
        <v>42</v>
      </c>
      <c r="Y305" s="22" t="s">
        <v>42</v>
      </c>
      <c r="Z305" s="22" t="s">
        <v>42</v>
      </c>
      <c r="AA305" s="22" t="s">
        <v>42</v>
      </c>
      <c r="AB305" s="22"/>
      <c r="AC305" s="22" t="s">
        <v>42</v>
      </c>
      <c r="AD305" s="22"/>
      <c r="AE305" s="22" t="s">
        <v>42</v>
      </c>
      <c r="AF305" s="22" t="s">
        <v>42</v>
      </c>
      <c r="AG305" s="22" t="s">
        <v>42</v>
      </c>
      <c r="AH305" s="22" t="s">
        <v>42</v>
      </c>
      <c r="AJ305" s="22" t="s">
        <v>42</v>
      </c>
      <c r="AK305" s="22" t="s">
        <v>42</v>
      </c>
      <c r="AL305" s="22" t="s">
        <v>42</v>
      </c>
      <c r="AM305" s="22">
        <f t="shared" si="13"/>
        <v>23</v>
      </c>
    </row>
    <row r="306" spans="1:39" hidden="1" x14ac:dyDescent="0.25">
      <c r="A306" s="20" t="s">
        <v>55</v>
      </c>
      <c r="B306" s="38" t="s">
        <v>706</v>
      </c>
      <c r="C306" s="20" t="s">
        <v>703</v>
      </c>
      <c r="D306" s="20" t="s">
        <v>14</v>
      </c>
      <c r="E306" s="20" t="s">
        <v>14</v>
      </c>
      <c r="F306" s="20" t="s">
        <v>58</v>
      </c>
      <c r="G306" s="39"/>
      <c r="H306" s="40"/>
      <c r="I306" s="22" t="s">
        <v>42</v>
      </c>
      <c r="L306" s="22" t="s">
        <v>42</v>
      </c>
      <c r="M306" s="22" t="s">
        <v>42</v>
      </c>
      <c r="P306" s="22" t="s">
        <v>42</v>
      </c>
      <c r="Q306" s="22" t="s">
        <v>42</v>
      </c>
      <c r="R306" s="22" t="s">
        <v>42</v>
      </c>
      <c r="S306" s="22" t="s">
        <v>42</v>
      </c>
      <c r="T306" s="22" t="s">
        <v>42</v>
      </c>
      <c r="U306" s="22"/>
      <c r="V306" s="22" t="s">
        <v>42</v>
      </c>
      <c r="W306" s="22" t="s">
        <v>42</v>
      </c>
      <c r="X306" s="22" t="s">
        <v>42</v>
      </c>
      <c r="Y306" s="22" t="s">
        <v>42</v>
      </c>
      <c r="Z306" s="22" t="s">
        <v>42</v>
      </c>
      <c r="AA306" s="22" t="s">
        <v>42</v>
      </c>
      <c r="AB306" s="22"/>
      <c r="AC306" s="22"/>
      <c r="AD306" s="22" t="s">
        <v>42</v>
      </c>
      <c r="AE306" s="22"/>
      <c r="AF306" s="22"/>
      <c r="AG306" s="22" t="s">
        <v>42</v>
      </c>
      <c r="AH306" s="22"/>
      <c r="AJ306" s="22" t="s">
        <v>42</v>
      </c>
      <c r="AK306" s="22" t="s">
        <v>42</v>
      </c>
      <c r="AL306" s="22" t="s">
        <v>42</v>
      </c>
      <c r="AM306" s="22">
        <f t="shared" si="13"/>
        <v>19</v>
      </c>
    </row>
    <row r="307" spans="1:39" hidden="1" x14ac:dyDescent="0.25">
      <c r="A307" s="20" t="s">
        <v>55</v>
      </c>
      <c r="B307" s="38" t="s">
        <v>707</v>
      </c>
      <c r="C307" s="20" t="s">
        <v>708</v>
      </c>
      <c r="D307" s="20" t="s">
        <v>19</v>
      </c>
      <c r="E307" s="20" t="s">
        <v>19</v>
      </c>
      <c r="F307" s="20" t="s">
        <v>58</v>
      </c>
      <c r="G307" s="39"/>
      <c r="H307" s="40"/>
      <c r="I307" s="22" t="s">
        <v>42</v>
      </c>
      <c r="L307" s="22" t="s">
        <v>42</v>
      </c>
      <c r="M307" s="22" t="s">
        <v>42</v>
      </c>
      <c r="O307" s="22" t="s">
        <v>42</v>
      </c>
      <c r="P307" s="22" t="s">
        <v>42</v>
      </c>
      <c r="Q307" s="22" t="s">
        <v>42</v>
      </c>
      <c r="R307" s="22" t="s">
        <v>42</v>
      </c>
      <c r="S307" s="22" t="s">
        <v>42</v>
      </c>
      <c r="T307" s="22" t="s">
        <v>42</v>
      </c>
      <c r="U307" s="22"/>
      <c r="V307" s="22" t="s">
        <v>42</v>
      </c>
      <c r="W307" s="22" t="s">
        <v>42</v>
      </c>
      <c r="X307" s="22" t="s">
        <v>42</v>
      </c>
      <c r="Y307" s="22" t="s">
        <v>42</v>
      </c>
      <c r="Z307" s="22" t="s">
        <v>42</v>
      </c>
      <c r="AA307" s="22" t="s">
        <v>42</v>
      </c>
      <c r="AB307" s="22"/>
      <c r="AC307" s="22" t="s">
        <v>42</v>
      </c>
      <c r="AD307" s="22" t="s">
        <v>42</v>
      </c>
      <c r="AE307" s="22" t="s">
        <v>42</v>
      </c>
      <c r="AF307" s="22" t="s">
        <v>42</v>
      </c>
      <c r="AG307" s="22" t="s">
        <v>42</v>
      </c>
      <c r="AH307" s="22" t="s">
        <v>42</v>
      </c>
      <c r="AJ307" s="22" t="s">
        <v>42</v>
      </c>
      <c r="AK307" s="22" t="s">
        <v>42</v>
      </c>
      <c r="AL307" s="22" t="s">
        <v>42</v>
      </c>
      <c r="AM307" s="22">
        <f t="shared" si="13"/>
        <v>24</v>
      </c>
    </row>
    <row r="308" spans="1:39" x14ac:dyDescent="0.25">
      <c r="A308" s="20" t="s">
        <v>55</v>
      </c>
      <c r="B308" s="38" t="s">
        <v>709</v>
      </c>
      <c r="C308" s="20" t="s">
        <v>710</v>
      </c>
      <c r="D308" s="20" t="s">
        <v>21</v>
      </c>
      <c r="E308" s="20" t="s">
        <v>21</v>
      </c>
      <c r="F308" s="20" t="s">
        <v>58</v>
      </c>
      <c r="G308" s="39"/>
      <c r="H308" s="40"/>
      <c r="I308" s="22" t="s">
        <v>42</v>
      </c>
      <c r="L308" s="22" t="s">
        <v>42</v>
      </c>
      <c r="M308" s="22" t="s">
        <v>42</v>
      </c>
      <c r="N308" s="22" t="s">
        <v>42</v>
      </c>
      <c r="O308" s="22" t="s">
        <v>42</v>
      </c>
      <c r="P308" s="22" t="s">
        <v>42</v>
      </c>
      <c r="Q308" s="22" t="s">
        <v>42</v>
      </c>
      <c r="R308" s="22" t="s">
        <v>42</v>
      </c>
      <c r="S308" s="22" t="s">
        <v>42</v>
      </c>
      <c r="T308" s="22" t="s">
        <v>42</v>
      </c>
      <c r="U308" s="22"/>
      <c r="V308" s="22" t="s">
        <v>42</v>
      </c>
      <c r="W308" s="22" t="s">
        <v>42</v>
      </c>
      <c r="X308" s="22" t="s">
        <v>42</v>
      </c>
      <c r="Y308" s="22" t="s">
        <v>42</v>
      </c>
      <c r="Z308" s="22" t="s">
        <v>42</v>
      </c>
      <c r="AA308" s="22"/>
      <c r="AB308" s="22" t="s">
        <v>42</v>
      </c>
      <c r="AC308" s="22" t="s">
        <v>42</v>
      </c>
      <c r="AD308" s="22" t="s">
        <v>42</v>
      </c>
      <c r="AE308" s="22" t="s">
        <v>42</v>
      </c>
      <c r="AF308" s="22" t="s">
        <v>42</v>
      </c>
      <c r="AG308" s="22" t="s">
        <v>42</v>
      </c>
      <c r="AH308" s="22" t="s">
        <v>42</v>
      </c>
      <c r="AI308" s="22" t="s">
        <v>42</v>
      </c>
      <c r="AJ308" s="22" t="s">
        <v>42</v>
      </c>
      <c r="AK308" s="22" t="s">
        <v>42</v>
      </c>
      <c r="AL308" s="22" t="s">
        <v>42</v>
      </c>
      <c r="AM308" s="22">
        <f t="shared" si="13"/>
        <v>26</v>
      </c>
    </row>
    <row r="309" spans="1:39" hidden="1" x14ac:dyDescent="0.25">
      <c r="A309" s="20" t="s">
        <v>55</v>
      </c>
      <c r="B309" s="38" t="s">
        <v>713</v>
      </c>
      <c r="C309" s="20" t="s">
        <v>714</v>
      </c>
      <c r="D309" s="20" t="s">
        <v>23</v>
      </c>
      <c r="E309" s="20" t="s">
        <v>23</v>
      </c>
      <c r="F309" s="20" t="s">
        <v>58</v>
      </c>
      <c r="G309" s="39"/>
      <c r="H309" s="40"/>
      <c r="I309" s="22" t="s">
        <v>42</v>
      </c>
      <c r="L309" s="22" t="s">
        <v>42</v>
      </c>
      <c r="M309" s="22" t="s">
        <v>42</v>
      </c>
      <c r="O309" s="22" t="s">
        <v>42</v>
      </c>
      <c r="P309" s="22" t="s">
        <v>42</v>
      </c>
      <c r="T309" s="22"/>
      <c r="U309" s="22"/>
      <c r="V309" s="22"/>
      <c r="W309" s="22"/>
      <c r="X309" s="22"/>
      <c r="Y309" s="22"/>
      <c r="Z309" s="22"/>
      <c r="AA309" s="22"/>
      <c r="AB309" s="22"/>
      <c r="AC309" s="22" t="s">
        <v>42</v>
      </c>
      <c r="AD309" s="22" t="s">
        <v>42</v>
      </c>
      <c r="AE309" s="22" t="s">
        <v>42</v>
      </c>
      <c r="AF309" s="22" t="s">
        <v>42</v>
      </c>
      <c r="AG309" s="22" t="s">
        <v>42</v>
      </c>
      <c r="AH309" s="22" t="s">
        <v>42</v>
      </c>
      <c r="AJ309" s="22" t="s">
        <v>42</v>
      </c>
      <c r="AK309" s="22" t="s">
        <v>42</v>
      </c>
      <c r="AL309" s="22" t="s">
        <v>42</v>
      </c>
      <c r="AM309" s="22">
        <f t="shared" si="13"/>
        <v>14</v>
      </c>
    </row>
    <row r="310" spans="1:39" hidden="1" x14ac:dyDescent="0.25">
      <c r="A310" s="20" t="s">
        <v>55</v>
      </c>
      <c r="B310" s="38" t="s">
        <v>715</v>
      </c>
      <c r="C310" s="20" t="s">
        <v>69</v>
      </c>
      <c r="D310" s="20" t="s">
        <v>11</v>
      </c>
      <c r="E310" s="20" t="s">
        <v>11</v>
      </c>
      <c r="F310" s="20" t="s">
        <v>58</v>
      </c>
      <c r="G310" s="39"/>
      <c r="H310" s="40"/>
      <c r="I310" s="22" t="s">
        <v>42</v>
      </c>
      <c r="L310" s="22" t="s">
        <v>42</v>
      </c>
      <c r="M310" s="22" t="s">
        <v>42</v>
      </c>
      <c r="O310" s="22" t="s">
        <v>42</v>
      </c>
      <c r="P310" s="22" t="s">
        <v>42</v>
      </c>
      <c r="Q310" s="22" t="s">
        <v>42</v>
      </c>
      <c r="R310" s="22" t="s">
        <v>42</v>
      </c>
      <c r="S310" s="22"/>
      <c r="T310" s="22"/>
      <c r="U310" s="22"/>
      <c r="V310" s="22" t="s">
        <v>42</v>
      </c>
      <c r="W310" s="22" t="s">
        <v>42</v>
      </c>
      <c r="X310" s="22" t="s">
        <v>42</v>
      </c>
      <c r="Y310" s="22" t="s">
        <v>42</v>
      </c>
      <c r="Z310" s="22" t="s">
        <v>42</v>
      </c>
      <c r="AA310" s="22" t="s">
        <v>42</v>
      </c>
      <c r="AB310" s="22"/>
      <c r="AC310" s="22" t="s">
        <v>42</v>
      </c>
      <c r="AD310" s="22" t="s">
        <v>42</v>
      </c>
      <c r="AE310" s="22" t="s">
        <v>42</v>
      </c>
      <c r="AF310" s="22" t="s">
        <v>42</v>
      </c>
      <c r="AG310" s="22" t="s">
        <v>42</v>
      </c>
      <c r="AH310" s="22" t="s">
        <v>42</v>
      </c>
      <c r="AJ310" s="22" t="s">
        <v>42</v>
      </c>
      <c r="AK310" s="22" t="s">
        <v>42</v>
      </c>
      <c r="AL310" s="22" t="s">
        <v>42</v>
      </c>
      <c r="AM310" s="22">
        <f t="shared" si="13"/>
        <v>22</v>
      </c>
    </row>
    <row r="311" spans="1:39" hidden="1" x14ac:dyDescent="0.25">
      <c r="A311" s="20" t="s">
        <v>55</v>
      </c>
      <c r="B311" s="38" t="s">
        <v>716</v>
      </c>
      <c r="C311" s="20" t="s">
        <v>70</v>
      </c>
      <c r="D311" s="20" t="s">
        <v>11</v>
      </c>
      <c r="E311" s="20" t="s">
        <v>11</v>
      </c>
      <c r="F311" s="20" t="s">
        <v>58</v>
      </c>
      <c r="G311" s="39"/>
      <c r="H311" s="40"/>
      <c r="I311" s="22" t="s">
        <v>42</v>
      </c>
      <c r="L311" s="22" t="s">
        <v>42</v>
      </c>
      <c r="M311" s="22" t="s">
        <v>42</v>
      </c>
      <c r="O311" s="22" t="s">
        <v>42</v>
      </c>
      <c r="R311" s="22"/>
      <c r="S311" s="22" t="s">
        <v>42</v>
      </c>
      <c r="T311" s="22" t="s">
        <v>42</v>
      </c>
      <c r="U311" s="22"/>
      <c r="V311" s="22" t="s">
        <v>42</v>
      </c>
      <c r="W311" s="22" t="s">
        <v>42</v>
      </c>
      <c r="X311" s="22" t="s">
        <v>42</v>
      </c>
      <c r="Y311" s="22" t="s">
        <v>42</v>
      </c>
      <c r="Z311" s="22" t="s">
        <v>42</v>
      </c>
      <c r="AA311" s="22" t="s">
        <v>42</v>
      </c>
      <c r="AB311" s="22"/>
      <c r="AC311" s="22" t="s">
        <v>42</v>
      </c>
      <c r="AD311" s="22" t="s">
        <v>42</v>
      </c>
      <c r="AE311" s="22" t="s">
        <v>42</v>
      </c>
      <c r="AF311" s="22" t="s">
        <v>42</v>
      </c>
      <c r="AG311" s="22" t="s">
        <v>42</v>
      </c>
      <c r="AH311" s="22" t="s">
        <v>42</v>
      </c>
      <c r="AJ311" s="22" t="s">
        <v>42</v>
      </c>
      <c r="AK311" s="22" t="s">
        <v>42</v>
      </c>
      <c r="AL311" s="22" t="s">
        <v>42</v>
      </c>
      <c r="AM311" s="22">
        <f t="shared" si="13"/>
        <v>21</v>
      </c>
    </row>
    <row r="312" spans="1:39" hidden="1" x14ac:dyDescent="0.25">
      <c r="A312" s="20" t="s">
        <v>55</v>
      </c>
      <c r="B312" s="38" t="s">
        <v>717</v>
      </c>
      <c r="C312" s="20" t="s">
        <v>71</v>
      </c>
      <c r="D312" s="20" t="s">
        <v>11</v>
      </c>
      <c r="E312" s="20" t="s">
        <v>11</v>
      </c>
      <c r="F312" s="20" t="s">
        <v>58</v>
      </c>
      <c r="G312" s="39"/>
      <c r="H312" s="40"/>
      <c r="I312" s="22" t="s">
        <v>42</v>
      </c>
      <c r="L312" s="22" t="s">
        <v>42</v>
      </c>
      <c r="M312" s="22" t="s">
        <v>42</v>
      </c>
      <c r="O312" s="22" t="s">
        <v>42</v>
      </c>
      <c r="P312" s="22" t="s">
        <v>42</v>
      </c>
      <c r="Q312" s="22" t="s">
        <v>42</v>
      </c>
      <c r="R312" s="22" t="s">
        <v>42</v>
      </c>
      <c r="S312" s="22"/>
      <c r="T312" s="22"/>
      <c r="U312" s="22"/>
      <c r="V312" s="22" t="s">
        <v>42</v>
      </c>
      <c r="W312" s="22" t="s">
        <v>42</v>
      </c>
      <c r="X312" s="22" t="s">
        <v>42</v>
      </c>
      <c r="Y312" s="22" t="s">
        <v>42</v>
      </c>
      <c r="Z312" s="22" t="s">
        <v>42</v>
      </c>
      <c r="AA312" s="22" t="s">
        <v>42</v>
      </c>
      <c r="AB312" s="22"/>
      <c r="AC312" s="22" t="s">
        <v>42</v>
      </c>
      <c r="AD312" s="22" t="s">
        <v>42</v>
      </c>
      <c r="AE312" s="22" t="s">
        <v>42</v>
      </c>
      <c r="AF312" s="22" t="s">
        <v>42</v>
      </c>
      <c r="AG312" s="22" t="s">
        <v>42</v>
      </c>
      <c r="AH312" s="22" t="s">
        <v>42</v>
      </c>
      <c r="AJ312" s="22" t="s">
        <v>42</v>
      </c>
      <c r="AK312" s="22" t="s">
        <v>42</v>
      </c>
      <c r="AL312" s="22" t="s">
        <v>42</v>
      </c>
      <c r="AM312" s="22">
        <f t="shared" si="13"/>
        <v>22</v>
      </c>
    </row>
    <row r="313" spans="1:39" hidden="1" x14ac:dyDescent="0.25">
      <c r="A313" s="20" t="s">
        <v>55</v>
      </c>
      <c r="B313" s="38" t="s">
        <v>718</v>
      </c>
      <c r="C313" s="20" t="s">
        <v>72</v>
      </c>
      <c r="D313" s="20" t="s">
        <v>11</v>
      </c>
      <c r="E313" s="20" t="s">
        <v>11</v>
      </c>
      <c r="F313" s="20" t="s">
        <v>58</v>
      </c>
      <c r="G313" s="39"/>
      <c r="H313" s="40"/>
      <c r="I313" s="22" t="s">
        <v>42</v>
      </c>
      <c r="L313" s="22" t="s">
        <v>42</v>
      </c>
      <c r="M313" s="22" t="s">
        <v>42</v>
      </c>
      <c r="O313" s="22" t="s">
        <v>42</v>
      </c>
      <c r="R313" s="22"/>
      <c r="S313" s="22" t="s">
        <v>42</v>
      </c>
      <c r="T313" s="22" t="s">
        <v>42</v>
      </c>
      <c r="U313" s="22"/>
      <c r="V313" s="22" t="s">
        <v>42</v>
      </c>
      <c r="W313" s="22" t="s">
        <v>42</v>
      </c>
      <c r="X313" s="22" t="s">
        <v>42</v>
      </c>
      <c r="Y313" s="22" t="s">
        <v>42</v>
      </c>
      <c r="Z313" s="22" t="s">
        <v>42</v>
      </c>
      <c r="AA313" s="22" t="s">
        <v>42</v>
      </c>
      <c r="AB313" s="22"/>
      <c r="AC313" s="22" t="s">
        <v>42</v>
      </c>
      <c r="AD313" s="22" t="s">
        <v>42</v>
      </c>
      <c r="AE313" s="22" t="s">
        <v>42</v>
      </c>
      <c r="AF313" s="22" t="s">
        <v>42</v>
      </c>
      <c r="AG313" s="22" t="s">
        <v>42</v>
      </c>
      <c r="AH313" s="22" t="s">
        <v>42</v>
      </c>
      <c r="AJ313" s="22" t="s">
        <v>42</v>
      </c>
      <c r="AK313" s="22" t="s">
        <v>42</v>
      </c>
      <c r="AL313" s="22" t="s">
        <v>42</v>
      </c>
      <c r="AM313" s="22">
        <f t="shared" si="13"/>
        <v>21</v>
      </c>
    </row>
    <row r="314" spans="1:39" hidden="1" x14ac:dyDescent="0.25">
      <c r="A314" s="20" t="s">
        <v>55</v>
      </c>
      <c r="B314" s="38" t="s">
        <v>719</v>
      </c>
      <c r="C314" s="20" t="s">
        <v>74</v>
      </c>
      <c r="D314" s="20" t="s">
        <v>11</v>
      </c>
      <c r="E314" s="20" t="s">
        <v>11</v>
      </c>
      <c r="F314" s="20" t="s">
        <v>58</v>
      </c>
      <c r="G314" s="39"/>
      <c r="H314" s="40"/>
      <c r="I314" s="22" t="s">
        <v>42</v>
      </c>
      <c r="M314" s="22" t="s">
        <v>42</v>
      </c>
      <c r="O314" s="22" t="s">
        <v>42</v>
      </c>
      <c r="P314" s="22" t="s">
        <v>42</v>
      </c>
      <c r="Q314" s="22" t="s">
        <v>42</v>
      </c>
      <c r="R314" s="22" t="s">
        <v>42</v>
      </c>
      <c r="S314" s="22"/>
      <c r="T314" s="22"/>
      <c r="U314" s="22"/>
      <c r="V314" s="22" t="s">
        <v>42</v>
      </c>
      <c r="W314" s="22" t="s">
        <v>42</v>
      </c>
      <c r="X314" s="22"/>
      <c r="Y314" s="22" t="s">
        <v>42</v>
      </c>
      <c r="Z314" s="22" t="s">
        <v>42</v>
      </c>
      <c r="AA314" s="22" t="s">
        <v>42</v>
      </c>
      <c r="AB314" s="22"/>
      <c r="AC314" s="22" t="s">
        <v>42</v>
      </c>
      <c r="AD314" s="22" t="s">
        <v>42</v>
      </c>
      <c r="AE314" s="22" t="s">
        <v>42</v>
      </c>
      <c r="AF314" s="22" t="s">
        <v>42</v>
      </c>
      <c r="AG314" s="22" t="s">
        <v>42</v>
      </c>
      <c r="AH314" s="22" t="s">
        <v>42</v>
      </c>
      <c r="AJ314" s="22" t="s">
        <v>42</v>
      </c>
      <c r="AK314" s="22" t="s">
        <v>42</v>
      </c>
      <c r="AL314" s="22" t="s">
        <v>42</v>
      </c>
      <c r="AM314" s="22">
        <f t="shared" si="13"/>
        <v>20</v>
      </c>
    </row>
    <row r="315" spans="1:39" hidden="1" x14ac:dyDescent="0.25">
      <c r="A315" s="20" t="s">
        <v>55</v>
      </c>
      <c r="B315" s="38" t="s">
        <v>720</v>
      </c>
      <c r="C315" s="20" t="s">
        <v>75</v>
      </c>
      <c r="D315" s="20" t="s">
        <v>11</v>
      </c>
      <c r="E315" s="20" t="s">
        <v>11</v>
      </c>
      <c r="F315" s="20" t="s">
        <v>58</v>
      </c>
      <c r="G315" s="39"/>
      <c r="H315" s="40"/>
      <c r="I315" s="22" t="s">
        <v>42</v>
      </c>
      <c r="L315" s="22" t="s">
        <v>42</v>
      </c>
      <c r="O315" s="22" t="s">
        <v>42</v>
      </c>
      <c r="P315" s="22" t="s">
        <v>42</v>
      </c>
      <c r="Q315" s="22" t="s">
        <v>42</v>
      </c>
      <c r="R315" s="22" t="s">
        <v>42</v>
      </c>
      <c r="S315" s="22"/>
      <c r="U315" s="22"/>
      <c r="V315" s="22" t="s">
        <v>42</v>
      </c>
      <c r="W315" s="22" t="s">
        <v>42</v>
      </c>
      <c r="X315" s="22" t="s">
        <v>42</v>
      </c>
      <c r="Y315" s="22" t="s">
        <v>42</v>
      </c>
      <c r="Z315" s="22" t="s">
        <v>42</v>
      </c>
      <c r="AA315" s="22" t="s">
        <v>42</v>
      </c>
      <c r="AB315" s="22"/>
      <c r="AC315" s="22" t="s">
        <v>42</v>
      </c>
      <c r="AD315" s="22" t="s">
        <v>42</v>
      </c>
      <c r="AE315" s="22" t="s">
        <v>42</v>
      </c>
      <c r="AF315" s="22" t="s">
        <v>42</v>
      </c>
      <c r="AG315" s="22" t="s">
        <v>42</v>
      </c>
      <c r="AH315" s="22"/>
      <c r="AJ315" s="22" t="s">
        <v>42</v>
      </c>
      <c r="AK315" s="22" t="s">
        <v>42</v>
      </c>
      <c r="AL315" s="22" t="s">
        <v>42</v>
      </c>
      <c r="AM315" s="22">
        <f t="shared" si="13"/>
        <v>20</v>
      </c>
    </row>
    <row r="316" spans="1:39" hidden="1" x14ac:dyDescent="0.25">
      <c r="A316" s="20" t="s">
        <v>55</v>
      </c>
      <c r="B316" s="38" t="s">
        <v>721</v>
      </c>
      <c r="C316" s="20" t="s">
        <v>76</v>
      </c>
      <c r="D316" s="20" t="s">
        <v>11</v>
      </c>
      <c r="E316" s="20" t="s">
        <v>11</v>
      </c>
      <c r="F316" s="20" t="s">
        <v>58</v>
      </c>
      <c r="G316" s="39"/>
      <c r="H316" s="40"/>
      <c r="I316" s="22" t="s">
        <v>42</v>
      </c>
      <c r="L316" s="22" t="s">
        <v>42</v>
      </c>
      <c r="M316" s="22" t="s">
        <v>42</v>
      </c>
      <c r="O316" s="22" t="s">
        <v>42</v>
      </c>
      <c r="P316" s="22" t="s">
        <v>42</v>
      </c>
      <c r="Q316" s="22" t="s">
        <v>42</v>
      </c>
      <c r="R316" s="22" t="s">
        <v>42</v>
      </c>
      <c r="S316" s="22"/>
      <c r="T316" s="22"/>
      <c r="U316" s="22"/>
      <c r="V316" s="22" t="s">
        <v>42</v>
      </c>
      <c r="W316" s="22" t="s">
        <v>42</v>
      </c>
      <c r="X316" s="22" t="s">
        <v>42</v>
      </c>
      <c r="Y316" s="22" t="s">
        <v>42</v>
      </c>
      <c r="Z316" s="22" t="s">
        <v>42</v>
      </c>
      <c r="AA316" s="22" t="s">
        <v>42</v>
      </c>
      <c r="AB316" s="22"/>
      <c r="AC316" s="22" t="s">
        <v>42</v>
      </c>
      <c r="AD316" s="22" t="s">
        <v>42</v>
      </c>
      <c r="AE316" s="22" t="s">
        <v>42</v>
      </c>
      <c r="AF316" s="22" t="s">
        <v>42</v>
      </c>
      <c r="AG316" s="22" t="s">
        <v>42</v>
      </c>
      <c r="AH316" s="22" t="s">
        <v>42</v>
      </c>
      <c r="AJ316" s="22" t="s">
        <v>42</v>
      </c>
      <c r="AK316" s="22" t="s">
        <v>42</v>
      </c>
      <c r="AL316" s="22" t="s">
        <v>42</v>
      </c>
      <c r="AM316" s="22">
        <f t="shared" si="13"/>
        <v>22</v>
      </c>
    </row>
    <row r="317" spans="1:39" hidden="1" x14ac:dyDescent="0.25">
      <c r="A317" s="20" t="s">
        <v>55</v>
      </c>
      <c r="B317" s="38" t="s">
        <v>722</v>
      </c>
      <c r="C317" s="20" t="s">
        <v>80</v>
      </c>
      <c r="D317" s="20" t="s">
        <v>11</v>
      </c>
      <c r="E317" s="20" t="s">
        <v>11</v>
      </c>
      <c r="F317" s="20" t="s">
        <v>58</v>
      </c>
      <c r="G317" s="39"/>
      <c r="H317" s="40"/>
      <c r="I317" s="22" t="s">
        <v>42</v>
      </c>
      <c r="J317" s="33"/>
      <c r="L317" s="22" t="s">
        <v>42</v>
      </c>
      <c r="M317" s="22" t="s">
        <v>42</v>
      </c>
      <c r="O317" s="22" t="s">
        <v>42</v>
      </c>
      <c r="R317" s="22"/>
      <c r="S317" s="22" t="s">
        <v>42</v>
      </c>
      <c r="U317" s="22"/>
      <c r="V317" s="22" t="s">
        <v>42</v>
      </c>
      <c r="W317" s="22" t="s">
        <v>42</v>
      </c>
      <c r="X317" s="22" t="s">
        <v>42</v>
      </c>
      <c r="Y317" s="22" t="s">
        <v>42</v>
      </c>
      <c r="Z317" s="22" t="s">
        <v>42</v>
      </c>
      <c r="AA317" s="22"/>
      <c r="AB317" s="22"/>
      <c r="AC317" s="22" t="s">
        <v>42</v>
      </c>
      <c r="AD317" s="22" t="s">
        <v>42</v>
      </c>
      <c r="AE317" s="22" t="s">
        <v>42</v>
      </c>
      <c r="AF317" s="22" t="s">
        <v>42</v>
      </c>
      <c r="AG317" s="22" t="s">
        <v>42</v>
      </c>
      <c r="AH317" s="22" t="s">
        <v>42</v>
      </c>
      <c r="AJ317" s="22" t="s">
        <v>42</v>
      </c>
      <c r="AK317" s="22" t="s">
        <v>42</v>
      </c>
      <c r="AL317" s="22" t="s">
        <v>42</v>
      </c>
      <c r="AM317" s="22">
        <f t="shared" si="13"/>
        <v>19</v>
      </c>
    </row>
    <row r="318" spans="1:39" hidden="1" x14ac:dyDescent="0.25">
      <c r="A318" s="20" t="s">
        <v>55</v>
      </c>
      <c r="B318" s="38" t="s">
        <v>723</v>
      </c>
      <c r="C318" s="20" t="s">
        <v>81</v>
      </c>
      <c r="D318" s="20" t="s">
        <v>11</v>
      </c>
      <c r="E318" s="20" t="s">
        <v>11</v>
      </c>
      <c r="F318" s="20" t="s">
        <v>58</v>
      </c>
      <c r="G318" s="39"/>
      <c r="H318" s="40"/>
      <c r="I318" s="22" t="s">
        <v>42</v>
      </c>
      <c r="L318" s="22" t="s">
        <v>42</v>
      </c>
      <c r="M318" s="22" t="s">
        <v>42</v>
      </c>
      <c r="O318" s="22" t="s">
        <v>42</v>
      </c>
      <c r="R318" s="22"/>
      <c r="S318" s="22" t="s">
        <v>42</v>
      </c>
      <c r="T318" s="22" t="s">
        <v>42</v>
      </c>
      <c r="U318" s="22"/>
      <c r="V318" s="22" t="s">
        <v>42</v>
      </c>
      <c r="W318" s="22" t="s">
        <v>42</v>
      </c>
      <c r="X318" s="22" t="s">
        <v>42</v>
      </c>
      <c r="Y318" s="22" t="s">
        <v>42</v>
      </c>
      <c r="Z318" s="22" t="s">
        <v>42</v>
      </c>
      <c r="AA318" s="22" t="s">
        <v>42</v>
      </c>
      <c r="AB318" s="22"/>
      <c r="AC318" s="22" t="s">
        <v>42</v>
      </c>
      <c r="AD318" s="22" t="s">
        <v>42</v>
      </c>
      <c r="AE318" s="22" t="s">
        <v>42</v>
      </c>
      <c r="AF318" s="22" t="s">
        <v>42</v>
      </c>
      <c r="AG318" s="22" t="s">
        <v>42</v>
      </c>
      <c r="AH318" s="22" t="s">
        <v>42</v>
      </c>
      <c r="AJ318" s="22" t="s">
        <v>42</v>
      </c>
      <c r="AK318" s="22" t="s">
        <v>42</v>
      </c>
      <c r="AL318" s="22" t="s">
        <v>42</v>
      </c>
      <c r="AM318" s="22">
        <f t="shared" si="13"/>
        <v>21</v>
      </c>
    </row>
    <row r="319" spans="1:39" hidden="1" x14ac:dyDescent="0.25">
      <c r="A319" s="20" t="s">
        <v>55</v>
      </c>
      <c r="B319" s="38" t="s">
        <v>724</v>
      </c>
      <c r="C319" s="20" t="s">
        <v>83</v>
      </c>
      <c r="D319" s="20" t="s">
        <v>22</v>
      </c>
      <c r="E319" s="20" t="s">
        <v>22</v>
      </c>
      <c r="F319" s="20" t="s">
        <v>58</v>
      </c>
      <c r="G319" s="39"/>
      <c r="H319" s="40"/>
      <c r="I319" s="22" t="s">
        <v>42</v>
      </c>
      <c r="L319" s="22" t="s">
        <v>42</v>
      </c>
      <c r="M319" s="22" t="s">
        <v>42</v>
      </c>
      <c r="O319" s="22" t="s">
        <v>42</v>
      </c>
      <c r="P319" s="22" t="s">
        <v>42</v>
      </c>
      <c r="Q319" s="22" t="s">
        <v>42</v>
      </c>
      <c r="R319" s="22" t="s">
        <v>42</v>
      </c>
      <c r="S319" s="22" t="s">
        <v>42</v>
      </c>
      <c r="T319" s="22" t="s">
        <v>42</v>
      </c>
      <c r="U319" s="22"/>
      <c r="V319" s="22" t="s">
        <v>42</v>
      </c>
      <c r="W319" s="22" t="s">
        <v>42</v>
      </c>
      <c r="X319" s="22" t="s">
        <v>42</v>
      </c>
      <c r="Y319" s="22" t="s">
        <v>42</v>
      </c>
      <c r="Z319" s="22" t="s">
        <v>42</v>
      </c>
      <c r="AA319" s="22" t="s">
        <v>42</v>
      </c>
      <c r="AB319" s="22"/>
      <c r="AC319" s="22" t="s">
        <v>42</v>
      </c>
      <c r="AD319" s="22" t="s">
        <v>42</v>
      </c>
      <c r="AE319" s="22" t="s">
        <v>42</v>
      </c>
      <c r="AF319" s="22" t="s">
        <v>42</v>
      </c>
      <c r="AG319" s="22" t="s">
        <v>42</v>
      </c>
      <c r="AH319" s="22" t="s">
        <v>42</v>
      </c>
      <c r="AJ319" s="22" t="s">
        <v>42</v>
      </c>
      <c r="AK319" s="22" t="s">
        <v>42</v>
      </c>
      <c r="AL319" s="22" t="s">
        <v>42</v>
      </c>
      <c r="AM319" s="22">
        <f t="shared" si="13"/>
        <v>24</v>
      </c>
    </row>
    <row r="320" spans="1:39" hidden="1" x14ac:dyDescent="0.25">
      <c r="A320" s="20" t="s">
        <v>55</v>
      </c>
      <c r="B320" s="38" t="s">
        <v>725</v>
      </c>
      <c r="C320" s="20" t="s">
        <v>84</v>
      </c>
      <c r="D320" s="20" t="s">
        <v>11</v>
      </c>
      <c r="E320" s="20" t="s">
        <v>11</v>
      </c>
      <c r="F320" s="20" t="s">
        <v>58</v>
      </c>
      <c r="G320" s="39"/>
      <c r="H320" s="40"/>
      <c r="I320" s="22" t="s">
        <v>42</v>
      </c>
      <c r="L320" s="22" t="s">
        <v>42</v>
      </c>
      <c r="M320" s="22" t="s">
        <v>42</v>
      </c>
      <c r="O320" s="22" t="s">
        <v>42</v>
      </c>
      <c r="R320" s="22"/>
      <c r="S320" s="22" t="s">
        <v>42</v>
      </c>
      <c r="T320" s="22" t="s">
        <v>42</v>
      </c>
      <c r="U320" s="22"/>
      <c r="V320" s="22" t="s">
        <v>42</v>
      </c>
      <c r="W320" s="22" t="s">
        <v>42</v>
      </c>
      <c r="X320" s="22" t="s">
        <v>42</v>
      </c>
      <c r="Y320" s="22" t="s">
        <v>42</v>
      </c>
      <c r="Z320" s="22" t="s">
        <v>42</v>
      </c>
      <c r="AA320" s="22" t="s">
        <v>42</v>
      </c>
      <c r="AB320" s="22"/>
      <c r="AC320" s="22" t="s">
        <v>42</v>
      </c>
      <c r="AD320" s="22" t="s">
        <v>42</v>
      </c>
      <c r="AE320" s="22" t="s">
        <v>42</v>
      </c>
      <c r="AF320" s="22" t="s">
        <v>42</v>
      </c>
      <c r="AG320" s="22" t="s">
        <v>42</v>
      </c>
      <c r="AH320" s="22" t="s">
        <v>42</v>
      </c>
      <c r="AJ320" s="22" t="s">
        <v>42</v>
      </c>
      <c r="AK320" s="22" t="s">
        <v>42</v>
      </c>
      <c r="AL320" s="22" t="s">
        <v>42</v>
      </c>
      <c r="AM320" s="22">
        <f t="shared" si="13"/>
        <v>21</v>
      </c>
    </row>
    <row r="321" spans="1:39" hidden="1" x14ac:dyDescent="0.25">
      <c r="A321" s="20" t="s">
        <v>55</v>
      </c>
      <c r="B321" s="38" t="s">
        <v>726</v>
      </c>
      <c r="C321" s="20" t="s">
        <v>85</v>
      </c>
      <c r="D321" s="20" t="s">
        <v>11</v>
      </c>
      <c r="E321" s="20" t="s">
        <v>11</v>
      </c>
      <c r="F321" s="20" t="s">
        <v>58</v>
      </c>
      <c r="G321" s="39"/>
      <c r="H321" s="40"/>
      <c r="I321" s="22" t="s">
        <v>42</v>
      </c>
      <c r="L321" s="22" t="s">
        <v>42</v>
      </c>
      <c r="M321" s="22" t="s">
        <v>42</v>
      </c>
      <c r="O321" s="22" t="s">
        <v>42</v>
      </c>
      <c r="P321" s="22" t="s">
        <v>42</v>
      </c>
      <c r="Q321" s="22" t="s">
        <v>42</v>
      </c>
      <c r="R321" s="22" t="s">
        <v>42</v>
      </c>
      <c r="S321" s="22"/>
      <c r="T321" s="22"/>
      <c r="U321" s="22"/>
      <c r="V321" s="22" t="s">
        <v>42</v>
      </c>
      <c r="W321" s="22" t="s">
        <v>42</v>
      </c>
      <c r="X321" s="22" t="s">
        <v>42</v>
      </c>
      <c r="Y321" s="22" t="s">
        <v>42</v>
      </c>
      <c r="Z321" s="22" t="s">
        <v>42</v>
      </c>
      <c r="AA321" s="22" t="s">
        <v>42</v>
      </c>
      <c r="AB321" s="22"/>
      <c r="AC321" s="22" t="s">
        <v>42</v>
      </c>
      <c r="AD321" s="22" t="s">
        <v>42</v>
      </c>
      <c r="AE321" s="22" t="s">
        <v>42</v>
      </c>
      <c r="AF321" s="22" t="s">
        <v>42</v>
      </c>
      <c r="AG321" s="22" t="s">
        <v>42</v>
      </c>
      <c r="AH321" s="22" t="s">
        <v>42</v>
      </c>
      <c r="AJ321" s="22" t="s">
        <v>42</v>
      </c>
      <c r="AK321" s="22" t="s">
        <v>42</v>
      </c>
      <c r="AL321" s="22" t="s">
        <v>42</v>
      </c>
      <c r="AM321" s="22">
        <f t="shared" si="13"/>
        <v>22</v>
      </c>
    </row>
    <row r="322" spans="1:39" hidden="1" x14ac:dyDescent="0.25">
      <c r="A322" s="20" t="s">
        <v>55</v>
      </c>
      <c r="B322" s="38" t="s">
        <v>727</v>
      </c>
      <c r="C322" s="20" t="s">
        <v>81</v>
      </c>
      <c r="D322" s="20" t="s">
        <v>11</v>
      </c>
      <c r="E322" s="20" t="s">
        <v>11</v>
      </c>
      <c r="F322" s="20" t="s">
        <v>58</v>
      </c>
      <c r="G322" s="39"/>
      <c r="H322" s="40"/>
      <c r="I322" s="22" t="s">
        <v>42</v>
      </c>
      <c r="L322" s="22" t="s">
        <v>42</v>
      </c>
      <c r="M322" s="22" t="s">
        <v>42</v>
      </c>
      <c r="O322" s="22" t="s">
        <v>42</v>
      </c>
      <c r="P322" s="22" t="s">
        <v>42</v>
      </c>
      <c r="Q322" s="22" t="s">
        <v>42</v>
      </c>
      <c r="R322" s="22" t="s">
        <v>42</v>
      </c>
      <c r="S322" s="22"/>
      <c r="T322" s="22"/>
      <c r="U322" s="22"/>
      <c r="V322" s="22" t="s">
        <v>42</v>
      </c>
      <c r="W322" s="22" t="s">
        <v>42</v>
      </c>
      <c r="X322" s="22" t="s">
        <v>42</v>
      </c>
      <c r="Y322" s="22" t="s">
        <v>42</v>
      </c>
      <c r="Z322" s="22" t="s">
        <v>42</v>
      </c>
      <c r="AA322" s="22" t="s">
        <v>42</v>
      </c>
      <c r="AB322" s="22"/>
      <c r="AC322" s="22" t="s">
        <v>42</v>
      </c>
      <c r="AD322" s="22" t="s">
        <v>42</v>
      </c>
      <c r="AE322" s="22" t="s">
        <v>42</v>
      </c>
      <c r="AF322" s="22" t="s">
        <v>42</v>
      </c>
      <c r="AG322" s="22" t="s">
        <v>42</v>
      </c>
      <c r="AH322" s="22" t="s">
        <v>42</v>
      </c>
      <c r="AJ322" s="22" t="s">
        <v>42</v>
      </c>
      <c r="AK322" s="22" t="s">
        <v>42</v>
      </c>
      <c r="AL322" s="22" t="s">
        <v>42</v>
      </c>
      <c r="AM322" s="22">
        <f t="shared" si="13"/>
        <v>22</v>
      </c>
    </row>
    <row r="323" spans="1:39" hidden="1" x14ac:dyDescent="0.25">
      <c r="A323" s="20" t="s">
        <v>55</v>
      </c>
      <c r="B323" s="38" t="s">
        <v>728</v>
      </c>
      <c r="C323" s="20" t="s">
        <v>86</v>
      </c>
      <c r="D323" s="20" t="s">
        <v>11</v>
      </c>
      <c r="E323" s="20" t="s">
        <v>11</v>
      </c>
      <c r="F323" s="20" t="s">
        <v>58</v>
      </c>
      <c r="G323" s="39"/>
      <c r="H323" s="40"/>
      <c r="I323" s="22" t="s">
        <v>42</v>
      </c>
      <c r="L323" s="22" t="s">
        <v>42</v>
      </c>
      <c r="M323" s="22" t="s">
        <v>42</v>
      </c>
      <c r="O323" s="22" t="s">
        <v>42</v>
      </c>
      <c r="R323" s="22"/>
      <c r="S323" s="22" t="s">
        <v>42</v>
      </c>
      <c r="T323" s="22" t="s">
        <v>42</v>
      </c>
      <c r="U323" s="22"/>
      <c r="V323" s="22" t="s">
        <v>42</v>
      </c>
      <c r="W323" s="22" t="s">
        <v>42</v>
      </c>
      <c r="X323" s="22" t="s">
        <v>42</v>
      </c>
      <c r="Y323" s="22" t="s">
        <v>42</v>
      </c>
      <c r="Z323" s="22" t="s">
        <v>42</v>
      </c>
      <c r="AA323" s="22" t="s">
        <v>42</v>
      </c>
      <c r="AB323" s="22"/>
      <c r="AC323" s="22" t="s">
        <v>42</v>
      </c>
      <c r="AD323" s="22" t="s">
        <v>42</v>
      </c>
      <c r="AE323" s="22" t="s">
        <v>42</v>
      </c>
      <c r="AF323" s="22"/>
      <c r="AG323" s="22" t="s">
        <v>42</v>
      </c>
      <c r="AH323" s="22" t="s">
        <v>42</v>
      </c>
      <c r="AJ323" s="22" t="s">
        <v>42</v>
      </c>
      <c r="AK323" s="22" t="s">
        <v>42</v>
      </c>
      <c r="AL323" s="22" t="s">
        <v>42</v>
      </c>
      <c r="AM323" s="22">
        <f t="shared" si="13"/>
        <v>20</v>
      </c>
    </row>
    <row r="324" spans="1:39" hidden="1" x14ac:dyDescent="0.25">
      <c r="A324" s="20" t="s">
        <v>55</v>
      </c>
      <c r="B324" s="38" t="s">
        <v>729</v>
      </c>
      <c r="C324" s="20" t="s">
        <v>73</v>
      </c>
      <c r="D324" s="20" t="s">
        <v>11</v>
      </c>
      <c r="E324" s="20" t="s">
        <v>11</v>
      </c>
      <c r="F324" s="20" t="s">
        <v>58</v>
      </c>
      <c r="G324" s="39"/>
      <c r="H324" s="40"/>
      <c r="I324" s="22" t="s">
        <v>42</v>
      </c>
      <c r="L324" s="22" t="s">
        <v>42</v>
      </c>
      <c r="M324" s="22" t="s">
        <v>42</v>
      </c>
      <c r="O324" s="22" t="s">
        <v>42</v>
      </c>
      <c r="P324" s="22" t="s">
        <v>42</v>
      </c>
      <c r="Q324" s="22" t="s">
        <v>42</v>
      </c>
      <c r="R324" s="22" t="s">
        <v>42</v>
      </c>
      <c r="S324" s="22"/>
      <c r="T324" s="22"/>
      <c r="U324" s="22"/>
      <c r="V324" s="22" t="s">
        <v>42</v>
      </c>
      <c r="W324" s="22" t="s">
        <v>42</v>
      </c>
      <c r="X324" s="22" t="s">
        <v>42</v>
      </c>
      <c r="Y324" s="22" t="s">
        <v>42</v>
      </c>
      <c r="Z324" s="22" t="s">
        <v>42</v>
      </c>
      <c r="AA324" s="22" t="s">
        <v>42</v>
      </c>
      <c r="AB324" s="22"/>
      <c r="AC324" s="22" t="s">
        <v>42</v>
      </c>
      <c r="AD324" s="22" t="s">
        <v>42</v>
      </c>
      <c r="AE324" s="22" t="s">
        <v>42</v>
      </c>
      <c r="AF324" s="22" t="s">
        <v>42</v>
      </c>
      <c r="AG324" s="22" t="s">
        <v>42</v>
      </c>
      <c r="AH324" s="22" t="s">
        <v>42</v>
      </c>
      <c r="AJ324" s="22" t="s">
        <v>42</v>
      </c>
      <c r="AK324" s="22" t="s">
        <v>42</v>
      </c>
      <c r="AL324" s="22" t="s">
        <v>42</v>
      </c>
      <c r="AM324" s="22">
        <f t="shared" si="13"/>
        <v>22</v>
      </c>
    </row>
    <row r="325" spans="1:39" hidden="1" x14ac:dyDescent="0.25">
      <c r="A325" s="20" t="s">
        <v>55</v>
      </c>
      <c r="B325" s="38" t="s">
        <v>730</v>
      </c>
      <c r="C325" s="20" t="s">
        <v>731</v>
      </c>
      <c r="D325" s="20" t="s">
        <v>11</v>
      </c>
      <c r="E325" s="20" t="s">
        <v>11</v>
      </c>
      <c r="F325" s="20" t="s">
        <v>58</v>
      </c>
      <c r="G325" s="39"/>
      <c r="H325" s="40"/>
      <c r="I325" s="22" t="s">
        <v>42</v>
      </c>
      <c r="L325" s="22" t="s">
        <v>42</v>
      </c>
      <c r="M325" s="22" t="s">
        <v>42</v>
      </c>
      <c r="O325" s="22" t="s">
        <v>42</v>
      </c>
      <c r="R325" s="22"/>
      <c r="S325" s="22" t="s">
        <v>42</v>
      </c>
      <c r="T325" s="22" t="s">
        <v>42</v>
      </c>
      <c r="U325" s="22"/>
      <c r="V325" s="22" t="s">
        <v>42</v>
      </c>
      <c r="W325" s="22" t="s">
        <v>42</v>
      </c>
      <c r="X325" s="22" t="s">
        <v>42</v>
      </c>
      <c r="Y325" s="22" t="s">
        <v>42</v>
      </c>
      <c r="Z325" s="22" t="s">
        <v>42</v>
      </c>
      <c r="AA325" s="22" t="s">
        <v>42</v>
      </c>
      <c r="AB325" s="22"/>
      <c r="AC325" s="22" t="s">
        <v>42</v>
      </c>
      <c r="AD325" s="22" t="s">
        <v>42</v>
      </c>
      <c r="AE325" s="22" t="s">
        <v>42</v>
      </c>
      <c r="AF325" s="22" t="s">
        <v>42</v>
      </c>
      <c r="AG325" s="22" t="s">
        <v>42</v>
      </c>
      <c r="AH325" s="22" t="s">
        <v>42</v>
      </c>
      <c r="AK325" s="22" t="s">
        <v>42</v>
      </c>
      <c r="AL325" s="22" t="s">
        <v>42</v>
      </c>
      <c r="AM325" s="22">
        <f t="shared" si="13"/>
        <v>20</v>
      </c>
    </row>
    <row r="326" spans="1:39" hidden="1" x14ac:dyDescent="0.25">
      <c r="A326" s="20" t="s">
        <v>55</v>
      </c>
      <c r="B326" s="38" t="s">
        <v>732</v>
      </c>
      <c r="C326" s="20" t="s">
        <v>733</v>
      </c>
      <c r="D326" s="20" t="s">
        <v>11</v>
      </c>
      <c r="E326" s="20" t="s">
        <v>11</v>
      </c>
      <c r="F326" s="20" t="s">
        <v>58</v>
      </c>
      <c r="G326" s="39"/>
      <c r="H326" s="40"/>
      <c r="I326" s="22" t="s">
        <v>42</v>
      </c>
      <c r="L326" s="22" t="s">
        <v>42</v>
      </c>
      <c r="M326" s="22" t="s">
        <v>42</v>
      </c>
      <c r="O326" s="22" t="s">
        <v>42</v>
      </c>
      <c r="P326" s="22" t="s">
        <v>42</v>
      </c>
      <c r="Q326" s="22" t="s">
        <v>42</v>
      </c>
      <c r="R326" s="22" t="s">
        <v>42</v>
      </c>
      <c r="S326" s="22"/>
      <c r="T326" s="22"/>
      <c r="U326" s="22"/>
      <c r="V326" s="22" t="s">
        <v>42</v>
      </c>
      <c r="W326" s="22" t="s">
        <v>42</v>
      </c>
      <c r="X326" s="22" t="s">
        <v>42</v>
      </c>
      <c r="Y326" s="22" t="s">
        <v>42</v>
      </c>
      <c r="Z326" s="22" t="s">
        <v>42</v>
      </c>
      <c r="AA326" s="22" t="s">
        <v>42</v>
      </c>
      <c r="AB326" s="22"/>
      <c r="AC326" s="22" t="s">
        <v>42</v>
      </c>
      <c r="AD326" s="22" t="s">
        <v>42</v>
      </c>
      <c r="AE326" s="22" t="s">
        <v>42</v>
      </c>
      <c r="AF326" s="22" t="s">
        <v>42</v>
      </c>
      <c r="AG326" s="22" t="s">
        <v>42</v>
      </c>
      <c r="AH326" s="22" t="s">
        <v>42</v>
      </c>
      <c r="AJ326" s="22" t="s">
        <v>42</v>
      </c>
      <c r="AK326" s="22" t="s">
        <v>42</v>
      </c>
      <c r="AL326" s="22" t="s">
        <v>42</v>
      </c>
      <c r="AM326" s="22">
        <f t="shared" si="13"/>
        <v>22</v>
      </c>
    </row>
    <row r="327" spans="1:39" hidden="1" x14ac:dyDescent="0.25">
      <c r="A327" s="20" t="s">
        <v>55</v>
      </c>
      <c r="B327" s="38" t="s">
        <v>734</v>
      </c>
      <c r="C327" s="20" t="s">
        <v>735</v>
      </c>
      <c r="D327" s="20" t="s">
        <v>11</v>
      </c>
      <c r="E327" s="20" t="s">
        <v>11</v>
      </c>
      <c r="F327" s="20" t="s">
        <v>58</v>
      </c>
      <c r="G327" s="39"/>
      <c r="H327" s="40"/>
      <c r="I327" s="22" t="s">
        <v>42</v>
      </c>
      <c r="L327" s="22" t="s">
        <v>42</v>
      </c>
      <c r="M327" s="22" t="s">
        <v>42</v>
      </c>
      <c r="O327" s="22" t="s">
        <v>42</v>
      </c>
      <c r="P327" s="22" t="s">
        <v>42</v>
      </c>
      <c r="Q327" s="22" t="s">
        <v>42</v>
      </c>
      <c r="R327" s="22" t="s">
        <v>42</v>
      </c>
      <c r="S327" s="22" t="s">
        <v>42</v>
      </c>
      <c r="T327" s="22" t="s">
        <v>42</v>
      </c>
      <c r="U327" s="22"/>
      <c r="V327" s="22" t="s">
        <v>42</v>
      </c>
      <c r="W327" s="22" t="s">
        <v>42</v>
      </c>
      <c r="X327" s="22" t="s">
        <v>42</v>
      </c>
      <c r="Y327" s="22" t="s">
        <v>42</v>
      </c>
      <c r="Z327" s="22" t="s">
        <v>42</v>
      </c>
      <c r="AA327" s="22" t="s">
        <v>42</v>
      </c>
      <c r="AB327" s="22"/>
      <c r="AC327" s="22" t="s">
        <v>42</v>
      </c>
      <c r="AD327" s="22" t="s">
        <v>42</v>
      </c>
      <c r="AE327" s="22"/>
      <c r="AF327" s="22" t="s">
        <v>42</v>
      </c>
      <c r="AG327" s="22" t="s">
        <v>42</v>
      </c>
      <c r="AH327" s="22" t="s">
        <v>42</v>
      </c>
      <c r="AJ327" s="22" t="s">
        <v>42</v>
      </c>
      <c r="AM327" s="22">
        <f t="shared" si="13"/>
        <v>21</v>
      </c>
    </row>
    <row r="328" spans="1:39" hidden="1" x14ac:dyDescent="0.25">
      <c r="A328" s="20" t="s">
        <v>55</v>
      </c>
      <c r="B328" s="38" t="s">
        <v>736</v>
      </c>
      <c r="C328" s="20" t="s">
        <v>737</v>
      </c>
      <c r="D328" s="20" t="s">
        <v>11</v>
      </c>
      <c r="E328" s="20" t="s">
        <v>11</v>
      </c>
      <c r="F328" s="20" t="s">
        <v>58</v>
      </c>
      <c r="G328" s="39"/>
      <c r="H328" s="40"/>
      <c r="I328" s="22" t="s">
        <v>42</v>
      </c>
      <c r="L328" s="22" t="s">
        <v>42</v>
      </c>
      <c r="M328" s="22" t="s">
        <v>42</v>
      </c>
      <c r="N328" s="22" t="s">
        <v>42</v>
      </c>
      <c r="O328" s="22" t="s">
        <v>42</v>
      </c>
      <c r="P328" s="22" t="s">
        <v>42</v>
      </c>
      <c r="Q328" s="22" t="s">
        <v>42</v>
      </c>
      <c r="R328" s="22" t="s">
        <v>42</v>
      </c>
      <c r="S328" s="22" t="s">
        <v>42</v>
      </c>
      <c r="T328" s="22" t="s">
        <v>42</v>
      </c>
      <c r="U328" s="22"/>
      <c r="V328" s="22" t="s">
        <v>42</v>
      </c>
      <c r="W328" s="22" t="s">
        <v>42</v>
      </c>
      <c r="X328" s="22" t="s">
        <v>42</v>
      </c>
      <c r="Y328" s="22" t="s">
        <v>42</v>
      </c>
      <c r="Z328" s="22" t="s">
        <v>42</v>
      </c>
      <c r="AA328" s="22" t="s">
        <v>42</v>
      </c>
      <c r="AB328" s="22" t="s">
        <v>42</v>
      </c>
      <c r="AC328" s="22" t="s">
        <v>42</v>
      </c>
      <c r="AD328" s="22" t="s">
        <v>42</v>
      </c>
      <c r="AE328" s="22" t="s">
        <v>42</v>
      </c>
      <c r="AF328" s="22" t="s">
        <v>42</v>
      </c>
      <c r="AG328" s="22" t="s">
        <v>42</v>
      </c>
      <c r="AH328" s="22" t="s">
        <v>42</v>
      </c>
      <c r="AJ328" s="22" t="s">
        <v>42</v>
      </c>
      <c r="AK328" s="22" t="s">
        <v>42</v>
      </c>
      <c r="AL328" s="22" t="s">
        <v>42</v>
      </c>
      <c r="AM328" s="22">
        <f t="shared" si="13"/>
        <v>26</v>
      </c>
    </row>
    <row r="329" spans="1:39" hidden="1" x14ac:dyDescent="0.25">
      <c r="A329" s="20" t="s">
        <v>55</v>
      </c>
      <c r="B329" s="38" t="s">
        <v>740</v>
      </c>
      <c r="C329" s="20" t="s">
        <v>741</v>
      </c>
      <c r="D329" s="20" t="s">
        <v>11</v>
      </c>
      <c r="E329" s="20" t="s">
        <v>11</v>
      </c>
      <c r="F329" s="20" t="s">
        <v>58</v>
      </c>
      <c r="G329" s="39"/>
      <c r="H329" s="40"/>
      <c r="I329" s="22" t="s">
        <v>42</v>
      </c>
      <c r="L329" s="22" t="s">
        <v>42</v>
      </c>
      <c r="M329" s="22" t="s">
        <v>42</v>
      </c>
      <c r="N329" s="22" t="s">
        <v>42</v>
      </c>
      <c r="O329" s="22" t="s">
        <v>42</v>
      </c>
      <c r="P329" s="22" t="s">
        <v>42</v>
      </c>
      <c r="Q329" s="22" t="s">
        <v>42</v>
      </c>
      <c r="R329" s="22" t="s">
        <v>42</v>
      </c>
      <c r="S329" s="22" t="s">
        <v>42</v>
      </c>
      <c r="T329" s="22" t="s">
        <v>42</v>
      </c>
      <c r="U329" s="22"/>
      <c r="V329" s="22" t="s">
        <v>42</v>
      </c>
      <c r="W329" s="22" t="s">
        <v>42</v>
      </c>
      <c r="X329" s="22" t="s">
        <v>42</v>
      </c>
      <c r="Y329" s="22" t="s">
        <v>42</v>
      </c>
      <c r="Z329" s="22" t="s">
        <v>42</v>
      </c>
      <c r="AA329" s="22" t="s">
        <v>42</v>
      </c>
      <c r="AB329" s="22" t="s">
        <v>42</v>
      </c>
      <c r="AC329" s="22" t="s">
        <v>42</v>
      </c>
      <c r="AD329" s="22" t="s">
        <v>42</v>
      </c>
      <c r="AE329" s="22" t="s">
        <v>42</v>
      </c>
      <c r="AF329" s="22" t="s">
        <v>42</v>
      </c>
      <c r="AG329" s="22" t="s">
        <v>42</v>
      </c>
      <c r="AH329" s="22" t="s">
        <v>42</v>
      </c>
      <c r="AJ329" s="22" t="s">
        <v>42</v>
      </c>
      <c r="AK329" s="22" t="s">
        <v>42</v>
      </c>
      <c r="AL329" s="22" t="s">
        <v>42</v>
      </c>
      <c r="AM329" s="22">
        <f t="shared" si="13"/>
        <v>26</v>
      </c>
    </row>
    <row r="330" spans="1:39" hidden="1" x14ac:dyDescent="0.25">
      <c r="A330" s="20" t="s">
        <v>55</v>
      </c>
      <c r="B330" s="38" t="s">
        <v>742</v>
      </c>
      <c r="C330" s="20" t="s">
        <v>743</v>
      </c>
      <c r="D330" s="20" t="s">
        <v>11</v>
      </c>
      <c r="E330" s="20" t="s">
        <v>11</v>
      </c>
      <c r="F330" s="20" t="s">
        <v>58</v>
      </c>
      <c r="G330" s="39"/>
      <c r="H330" s="40"/>
      <c r="I330" s="22" t="s">
        <v>42</v>
      </c>
      <c r="L330" s="22" t="s">
        <v>42</v>
      </c>
      <c r="M330" s="22" t="s">
        <v>42</v>
      </c>
      <c r="N330" s="22" t="s">
        <v>42</v>
      </c>
      <c r="O330" s="22" t="s">
        <v>42</v>
      </c>
      <c r="P330" s="22" t="s">
        <v>42</v>
      </c>
      <c r="Q330" s="22" t="s">
        <v>42</v>
      </c>
      <c r="R330" s="22" t="s">
        <v>42</v>
      </c>
      <c r="S330" s="22" t="s">
        <v>42</v>
      </c>
      <c r="T330" s="22" t="s">
        <v>42</v>
      </c>
      <c r="U330" s="22"/>
      <c r="V330" s="22" t="s">
        <v>42</v>
      </c>
      <c r="W330" s="22" t="s">
        <v>42</v>
      </c>
      <c r="X330" s="22" t="s">
        <v>42</v>
      </c>
      <c r="Y330" s="22" t="s">
        <v>42</v>
      </c>
      <c r="Z330" s="22" t="s">
        <v>42</v>
      </c>
      <c r="AA330" s="22" t="s">
        <v>42</v>
      </c>
      <c r="AB330" s="22" t="s">
        <v>42</v>
      </c>
      <c r="AC330" s="22" t="s">
        <v>42</v>
      </c>
      <c r="AD330" s="22" t="s">
        <v>42</v>
      </c>
      <c r="AE330" s="22" t="s">
        <v>42</v>
      </c>
      <c r="AF330" s="22"/>
      <c r="AG330" s="22" t="s">
        <v>42</v>
      </c>
      <c r="AH330" s="22" t="s">
        <v>42</v>
      </c>
      <c r="AJ330" s="22" t="s">
        <v>42</v>
      </c>
      <c r="AK330" s="22" t="s">
        <v>42</v>
      </c>
      <c r="AL330" s="22" t="s">
        <v>42</v>
      </c>
      <c r="AM330" s="22">
        <f t="shared" si="13"/>
        <v>25</v>
      </c>
    </row>
    <row r="331" spans="1:39" hidden="1" x14ac:dyDescent="0.25">
      <c r="A331" s="20" t="s">
        <v>55</v>
      </c>
      <c r="B331" s="38" t="s">
        <v>746</v>
      </c>
      <c r="C331" s="20" t="s">
        <v>747</v>
      </c>
      <c r="D331" s="20" t="s">
        <v>15</v>
      </c>
      <c r="E331" s="20" t="s">
        <v>15</v>
      </c>
      <c r="F331" s="20" t="s">
        <v>63</v>
      </c>
      <c r="G331" s="39"/>
      <c r="H331" s="40"/>
      <c r="I331" s="33" t="s">
        <v>38</v>
      </c>
      <c r="J331" s="33"/>
      <c r="K331" s="33"/>
      <c r="L331" s="33" t="s">
        <v>38</v>
      </c>
      <c r="M331" s="33" t="s">
        <v>38</v>
      </c>
      <c r="N331" s="33"/>
      <c r="O331" s="33" t="s">
        <v>38</v>
      </c>
      <c r="P331" s="33" t="s">
        <v>38</v>
      </c>
      <c r="Q331" s="33" t="s">
        <v>38</v>
      </c>
      <c r="R331" s="33" t="s">
        <v>38</v>
      </c>
      <c r="S331" s="33" t="s">
        <v>38</v>
      </c>
      <c r="T331" s="33" t="s">
        <v>38</v>
      </c>
      <c r="U331" s="22"/>
      <c r="V331" s="33" t="s">
        <v>38</v>
      </c>
      <c r="W331" s="33" t="s">
        <v>38</v>
      </c>
      <c r="X331" s="33" t="s">
        <v>38</v>
      </c>
      <c r="Y331" s="33" t="s">
        <v>38</v>
      </c>
      <c r="Z331" s="33" t="s">
        <v>38</v>
      </c>
      <c r="AA331" s="33" t="s">
        <v>38</v>
      </c>
      <c r="AB331" s="33"/>
      <c r="AC331" s="33" t="s">
        <v>38</v>
      </c>
      <c r="AD331" s="33" t="s">
        <v>38</v>
      </c>
      <c r="AE331" s="33" t="s">
        <v>38</v>
      </c>
      <c r="AF331" s="33" t="s">
        <v>38</v>
      </c>
      <c r="AG331" s="33" t="s">
        <v>38</v>
      </c>
      <c r="AH331" s="33" t="s">
        <v>38</v>
      </c>
      <c r="AI331" s="33"/>
      <c r="AJ331" s="33" t="s">
        <v>38</v>
      </c>
      <c r="AK331" s="33" t="s">
        <v>38</v>
      </c>
      <c r="AL331" s="33" t="s">
        <v>38</v>
      </c>
      <c r="AM331" s="22">
        <f t="shared" si="13"/>
        <v>24</v>
      </c>
    </row>
    <row r="332" spans="1:39" hidden="1" x14ac:dyDescent="0.25">
      <c r="A332" s="20" t="s">
        <v>55</v>
      </c>
      <c r="B332" s="38" t="s">
        <v>750</v>
      </c>
      <c r="C332" s="20" t="s">
        <v>751</v>
      </c>
      <c r="D332" s="20" t="s">
        <v>16</v>
      </c>
      <c r="E332" s="20" t="s">
        <v>16</v>
      </c>
      <c r="F332" s="20" t="s">
        <v>170</v>
      </c>
      <c r="G332" s="39"/>
      <c r="H332" s="40"/>
      <c r="I332" s="31" t="s">
        <v>36</v>
      </c>
      <c r="J332" s="31"/>
      <c r="K332" s="31"/>
      <c r="L332" s="31" t="s">
        <v>36</v>
      </c>
      <c r="M332" s="31" t="s">
        <v>36</v>
      </c>
      <c r="N332" s="31" t="s">
        <v>36</v>
      </c>
      <c r="O332" s="31" t="s">
        <v>36</v>
      </c>
      <c r="P332" s="31" t="s">
        <v>36</v>
      </c>
      <c r="Q332" s="31" t="s">
        <v>36</v>
      </c>
      <c r="R332" s="31" t="s">
        <v>36</v>
      </c>
      <c r="S332" s="31" t="s">
        <v>36</v>
      </c>
      <c r="T332" s="31" t="s">
        <v>36</v>
      </c>
      <c r="U332" s="22"/>
      <c r="V332" s="31" t="s">
        <v>36</v>
      </c>
      <c r="W332" s="31" t="s">
        <v>36</v>
      </c>
      <c r="X332" s="31" t="s">
        <v>36</v>
      </c>
      <c r="Y332" s="31" t="s">
        <v>36</v>
      </c>
      <c r="Z332" s="31" t="s">
        <v>36</v>
      </c>
      <c r="AA332" s="31" t="s">
        <v>36</v>
      </c>
      <c r="AB332" s="31" t="s">
        <v>36</v>
      </c>
      <c r="AC332" s="31" t="s">
        <v>36</v>
      </c>
      <c r="AD332" s="31" t="s">
        <v>36</v>
      </c>
      <c r="AE332" s="31" t="s">
        <v>36</v>
      </c>
      <c r="AF332" s="31" t="s">
        <v>36</v>
      </c>
      <c r="AG332" s="31" t="s">
        <v>36</v>
      </c>
      <c r="AH332" s="31" t="s">
        <v>36</v>
      </c>
      <c r="AI332" s="31"/>
      <c r="AJ332" s="31" t="s">
        <v>36</v>
      </c>
      <c r="AK332" s="31" t="s">
        <v>36</v>
      </c>
      <c r="AL332" s="31" t="s">
        <v>36</v>
      </c>
      <c r="AM332" s="22">
        <f t="shared" si="13"/>
        <v>26</v>
      </c>
    </row>
    <row r="333" spans="1:39" hidden="1" x14ac:dyDescent="0.25">
      <c r="A333" s="20" t="s">
        <v>55</v>
      </c>
      <c r="B333" s="38" t="s">
        <v>752</v>
      </c>
      <c r="C333" s="20" t="s">
        <v>753</v>
      </c>
      <c r="D333" s="20" t="s">
        <v>31</v>
      </c>
      <c r="E333" s="20" t="s">
        <v>7</v>
      </c>
      <c r="F333" s="20" t="s">
        <v>63</v>
      </c>
      <c r="G333" s="39"/>
      <c r="H333" s="40"/>
      <c r="I333" s="33" t="s">
        <v>38</v>
      </c>
      <c r="J333" s="33"/>
      <c r="K333" s="33"/>
      <c r="L333" s="33" t="s">
        <v>38</v>
      </c>
      <c r="M333" s="33" t="s">
        <v>38</v>
      </c>
      <c r="N333" s="33"/>
      <c r="O333" s="33" t="s">
        <v>38</v>
      </c>
      <c r="P333" s="33" t="s">
        <v>38</v>
      </c>
      <c r="Q333" s="33" t="s">
        <v>38</v>
      </c>
      <c r="R333" s="33" t="s">
        <v>38</v>
      </c>
      <c r="S333" s="33" t="s">
        <v>38</v>
      </c>
      <c r="T333" s="33" t="s">
        <v>38</v>
      </c>
      <c r="U333" s="33"/>
      <c r="V333" s="33" t="s">
        <v>38</v>
      </c>
      <c r="W333" s="33" t="s">
        <v>38</v>
      </c>
      <c r="X333" s="33" t="s">
        <v>38</v>
      </c>
      <c r="Y333" s="33" t="s">
        <v>38</v>
      </c>
      <c r="Z333" s="33" t="s">
        <v>38</v>
      </c>
      <c r="AA333" s="33" t="s">
        <v>38</v>
      </c>
      <c r="AB333" s="22"/>
      <c r="AC333" s="33" t="s">
        <v>38</v>
      </c>
      <c r="AD333" s="33" t="s">
        <v>38</v>
      </c>
      <c r="AE333" s="33" t="s">
        <v>38</v>
      </c>
      <c r="AF333" s="33" t="s">
        <v>38</v>
      </c>
      <c r="AG333" s="33" t="s">
        <v>38</v>
      </c>
      <c r="AH333" s="33" t="s">
        <v>38</v>
      </c>
      <c r="AI333" s="33"/>
      <c r="AJ333" s="33" t="s">
        <v>38</v>
      </c>
      <c r="AK333" s="33" t="s">
        <v>38</v>
      </c>
      <c r="AL333" s="33" t="s">
        <v>38</v>
      </c>
      <c r="AM333" s="22">
        <f t="shared" si="13"/>
        <v>24</v>
      </c>
    </row>
    <row r="334" spans="1:39" hidden="1" x14ac:dyDescent="0.25">
      <c r="A334" s="20" t="s">
        <v>55</v>
      </c>
      <c r="B334" s="38" t="s">
        <v>754</v>
      </c>
      <c r="C334" s="20" t="s">
        <v>78</v>
      </c>
      <c r="D334" s="20" t="s">
        <v>11</v>
      </c>
      <c r="E334" s="20" t="s">
        <v>11</v>
      </c>
      <c r="F334" s="20" t="s">
        <v>58</v>
      </c>
      <c r="G334" s="39"/>
      <c r="H334" s="40"/>
      <c r="I334" s="22" t="s">
        <v>42</v>
      </c>
      <c r="L334" s="22" t="s">
        <v>42</v>
      </c>
      <c r="M334" s="22" t="s">
        <v>42</v>
      </c>
      <c r="N334" s="22" t="s">
        <v>42</v>
      </c>
      <c r="O334" s="22" t="s">
        <v>42</v>
      </c>
      <c r="P334" s="22" t="s">
        <v>42</v>
      </c>
      <c r="Q334" s="22" t="s">
        <v>42</v>
      </c>
      <c r="R334" s="22" t="s">
        <v>42</v>
      </c>
      <c r="S334" s="22" t="s">
        <v>42</v>
      </c>
      <c r="T334" s="22" t="s">
        <v>42</v>
      </c>
      <c r="U334" s="22"/>
      <c r="V334" s="22" t="s">
        <v>42</v>
      </c>
      <c r="W334" s="22" t="s">
        <v>42</v>
      </c>
      <c r="X334" s="22" t="s">
        <v>42</v>
      </c>
      <c r="Y334" s="22" t="s">
        <v>42</v>
      </c>
      <c r="Z334" s="22" t="s">
        <v>42</v>
      </c>
      <c r="AA334" s="22" t="s">
        <v>42</v>
      </c>
      <c r="AB334" s="22" t="s">
        <v>42</v>
      </c>
      <c r="AC334" s="22" t="s">
        <v>42</v>
      </c>
      <c r="AD334" s="22" t="s">
        <v>42</v>
      </c>
      <c r="AE334" s="22" t="s">
        <v>42</v>
      </c>
      <c r="AF334" s="22"/>
      <c r="AG334" s="22" t="s">
        <v>42</v>
      </c>
      <c r="AH334" s="22" t="s">
        <v>42</v>
      </c>
      <c r="AJ334" s="22" t="s">
        <v>42</v>
      </c>
      <c r="AK334" s="22" t="s">
        <v>42</v>
      </c>
      <c r="AL334" s="22" t="s">
        <v>42</v>
      </c>
      <c r="AM334" s="22">
        <f t="shared" si="13"/>
        <v>25</v>
      </c>
    </row>
    <row r="335" spans="1:39" hidden="1" x14ac:dyDescent="0.25">
      <c r="A335" s="20" t="s">
        <v>55</v>
      </c>
      <c r="B335" s="38" t="s">
        <v>910</v>
      </c>
      <c r="C335" s="20" t="s">
        <v>908</v>
      </c>
      <c r="D335" s="20" t="s">
        <v>17</v>
      </c>
      <c r="E335" s="20" t="s">
        <v>17</v>
      </c>
      <c r="F335" s="20" t="s">
        <v>63</v>
      </c>
      <c r="G335" s="39"/>
      <c r="H335" s="40"/>
      <c r="I335" s="33"/>
      <c r="J335" s="33"/>
      <c r="L335" s="33" t="s">
        <v>38</v>
      </c>
      <c r="M335" s="33" t="s">
        <v>38</v>
      </c>
      <c r="O335" s="33" t="s">
        <v>38</v>
      </c>
      <c r="P335" s="33" t="s">
        <v>38</v>
      </c>
      <c r="Q335" s="33" t="s">
        <v>38</v>
      </c>
      <c r="R335" s="33" t="s">
        <v>38</v>
      </c>
      <c r="S335" s="33" t="s">
        <v>38</v>
      </c>
      <c r="T335" s="33" t="s">
        <v>38</v>
      </c>
      <c r="U335" s="33"/>
      <c r="V335" s="33" t="s">
        <v>38</v>
      </c>
      <c r="W335" s="33" t="s">
        <v>38</v>
      </c>
      <c r="X335" s="33" t="s">
        <v>38</v>
      </c>
      <c r="Y335" s="33" t="s">
        <v>38</v>
      </c>
      <c r="Z335" s="33" t="s">
        <v>38</v>
      </c>
      <c r="AA335" s="33" t="s">
        <v>38</v>
      </c>
      <c r="AB335" s="33"/>
      <c r="AC335" s="33" t="s">
        <v>38</v>
      </c>
      <c r="AD335" s="33" t="s">
        <v>38</v>
      </c>
      <c r="AE335" s="33" t="s">
        <v>38</v>
      </c>
      <c r="AF335" s="33"/>
      <c r="AG335" s="33" t="s">
        <v>38</v>
      </c>
      <c r="AH335" s="33" t="s">
        <v>38</v>
      </c>
      <c r="AI335" s="33"/>
      <c r="AJ335" s="33" t="s">
        <v>38</v>
      </c>
      <c r="AK335" s="33" t="s">
        <v>38</v>
      </c>
      <c r="AL335" s="33" t="s">
        <v>38</v>
      </c>
      <c r="AM335" s="22">
        <f t="shared" ref="AM335:AM398" si="14">COUNTA(I335:AL335)-COUNTIF(I335:AL335,"CT")</f>
        <v>22</v>
      </c>
    </row>
    <row r="336" spans="1:39" x14ac:dyDescent="0.25">
      <c r="A336" s="20" t="s">
        <v>55</v>
      </c>
      <c r="B336" s="38" t="s">
        <v>755</v>
      </c>
      <c r="C336" s="20" t="s">
        <v>756</v>
      </c>
      <c r="D336" s="20" t="s">
        <v>21</v>
      </c>
      <c r="E336" s="20" t="s">
        <v>21</v>
      </c>
      <c r="F336" s="20" t="s">
        <v>58</v>
      </c>
      <c r="G336" s="39"/>
      <c r="H336" s="40"/>
      <c r="I336" s="22" t="s">
        <v>42</v>
      </c>
      <c r="J336" s="33"/>
      <c r="L336" s="22" t="s">
        <v>42</v>
      </c>
      <c r="M336" s="22" t="s">
        <v>42</v>
      </c>
      <c r="N336" s="22" t="s">
        <v>42</v>
      </c>
      <c r="O336" s="22" t="s">
        <v>42</v>
      </c>
      <c r="P336" s="22" t="s">
        <v>42</v>
      </c>
      <c r="Q336" s="22" t="s">
        <v>42</v>
      </c>
      <c r="R336" s="22" t="s">
        <v>42</v>
      </c>
      <c r="S336" s="22" t="s">
        <v>42</v>
      </c>
      <c r="T336" s="22" t="s">
        <v>42</v>
      </c>
      <c r="U336" s="22"/>
      <c r="V336" s="22" t="s">
        <v>42</v>
      </c>
      <c r="W336" s="22" t="s">
        <v>42</v>
      </c>
      <c r="X336" s="22" t="s">
        <v>42</v>
      </c>
      <c r="Y336" s="22" t="s">
        <v>42</v>
      </c>
      <c r="Z336" s="22" t="s">
        <v>42</v>
      </c>
      <c r="AA336" s="22" t="s">
        <v>42</v>
      </c>
      <c r="AB336" s="22" t="s">
        <v>42</v>
      </c>
      <c r="AC336" s="22" t="s">
        <v>42</v>
      </c>
      <c r="AD336" s="22" t="s">
        <v>42</v>
      </c>
      <c r="AE336" s="22" t="s">
        <v>42</v>
      </c>
      <c r="AF336" s="22" t="s">
        <v>42</v>
      </c>
      <c r="AG336" s="22" t="s">
        <v>42</v>
      </c>
      <c r="AH336" s="22" t="s">
        <v>42</v>
      </c>
      <c r="AI336" s="22" t="s">
        <v>42</v>
      </c>
      <c r="AJ336" s="22" t="s">
        <v>42</v>
      </c>
      <c r="AK336" s="22" t="s">
        <v>42</v>
      </c>
      <c r="AL336" s="22" t="s">
        <v>42</v>
      </c>
      <c r="AM336" s="22">
        <f t="shared" si="14"/>
        <v>27</v>
      </c>
    </row>
    <row r="337" spans="1:39" hidden="1" x14ac:dyDescent="0.25">
      <c r="A337" s="20" t="s">
        <v>55</v>
      </c>
      <c r="B337" s="38" t="s">
        <v>757</v>
      </c>
      <c r="C337" s="20" t="s">
        <v>758</v>
      </c>
      <c r="D337" s="20" t="s">
        <v>29</v>
      </c>
      <c r="E337" s="20" t="s">
        <v>29</v>
      </c>
      <c r="F337" s="20" t="s">
        <v>58</v>
      </c>
      <c r="G337" s="39"/>
      <c r="H337" s="40"/>
      <c r="I337" s="22" t="s">
        <v>42</v>
      </c>
      <c r="L337" s="22" t="s">
        <v>42</v>
      </c>
      <c r="M337" s="22" t="s">
        <v>42</v>
      </c>
      <c r="O337" s="22" t="s">
        <v>42</v>
      </c>
      <c r="P337" s="22" t="s">
        <v>42</v>
      </c>
      <c r="Q337" s="22" t="s">
        <v>42</v>
      </c>
      <c r="R337" s="22" t="s">
        <v>42</v>
      </c>
      <c r="S337" s="22"/>
      <c r="T337" s="22" t="s">
        <v>42</v>
      </c>
      <c r="U337" s="22"/>
      <c r="V337" s="22"/>
      <c r="W337" s="22" t="s">
        <v>42</v>
      </c>
      <c r="X337" s="22" t="s">
        <v>42</v>
      </c>
      <c r="Y337" s="22" t="s">
        <v>42</v>
      </c>
      <c r="Z337" s="22" t="s">
        <v>42</v>
      </c>
      <c r="AA337" s="22" t="s">
        <v>42</v>
      </c>
      <c r="AB337" s="22"/>
      <c r="AC337" s="22" t="s">
        <v>42</v>
      </c>
      <c r="AD337" s="22" t="s">
        <v>42</v>
      </c>
      <c r="AE337" s="22" t="s">
        <v>42</v>
      </c>
      <c r="AF337" s="22" t="s">
        <v>42</v>
      </c>
      <c r="AG337" s="22" t="s">
        <v>42</v>
      </c>
      <c r="AH337" s="22" t="s">
        <v>42</v>
      </c>
      <c r="AJ337" s="22" t="s">
        <v>42</v>
      </c>
      <c r="AL337" s="22" t="s">
        <v>42</v>
      </c>
      <c r="AM337" s="22">
        <f t="shared" si="14"/>
        <v>21</v>
      </c>
    </row>
    <row r="338" spans="1:39" x14ac:dyDescent="0.25">
      <c r="A338" s="20" t="s">
        <v>55</v>
      </c>
      <c r="B338" s="38" t="s">
        <v>759</v>
      </c>
      <c r="C338" s="20" t="s">
        <v>760</v>
      </c>
      <c r="D338" s="20" t="s">
        <v>21</v>
      </c>
      <c r="E338" s="20" t="s">
        <v>21</v>
      </c>
      <c r="F338" s="20" t="s">
        <v>58</v>
      </c>
      <c r="G338" s="39"/>
      <c r="H338" s="40"/>
      <c r="I338" s="22" t="s">
        <v>42</v>
      </c>
      <c r="L338" s="22" t="s">
        <v>42</v>
      </c>
      <c r="M338" s="22" t="s">
        <v>42</v>
      </c>
      <c r="N338" s="22" t="s">
        <v>42</v>
      </c>
      <c r="O338" s="22" t="s">
        <v>42</v>
      </c>
      <c r="P338" s="22" t="s">
        <v>42</v>
      </c>
      <c r="Q338" s="22" t="s">
        <v>42</v>
      </c>
      <c r="R338" s="22" t="s">
        <v>42</v>
      </c>
      <c r="S338" s="22" t="s">
        <v>42</v>
      </c>
      <c r="T338" s="22" t="s">
        <v>42</v>
      </c>
      <c r="U338" s="22"/>
      <c r="V338" s="22" t="s">
        <v>42</v>
      </c>
      <c r="W338" s="22" t="s">
        <v>42</v>
      </c>
      <c r="X338" s="22" t="s">
        <v>42</v>
      </c>
      <c r="Y338" s="22" t="s">
        <v>42</v>
      </c>
      <c r="Z338" s="22" t="s">
        <v>42</v>
      </c>
      <c r="AA338" s="22" t="s">
        <v>42</v>
      </c>
      <c r="AB338" s="22" t="s">
        <v>42</v>
      </c>
      <c r="AC338" s="22" t="s">
        <v>42</v>
      </c>
      <c r="AD338" s="22" t="s">
        <v>42</v>
      </c>
      <c r="AE338" s="22" t="s">
        <v>42</v>
      </c>
      <c r="AF338" s="22" t="s">
        <v>42</v>
      </c>
      <c r="AG338" s="22" t="s">
        <v>42</v>
      </c>
      <c r="AH338" s="22" t="s">
        <v>42</v>
      </c>
      <c r="AI338" s="22" t="s">
        <v>42</v>
      </c>
      <c r="AJ338" s="22" t="s">
        <v>42</v>
      </c>
      <c r="AK338" s="22" t="s">
        <v>42</v>
      </c>
      <c r="AL338" s="22" t="s">
        <v>42</v>
      </c>
      <c r="AM338" s="22">
        <f t="shared" si="14"/>
        <v>27</v>
      </c>
    </row>
    <row r="339" spans="1:39" hidden="1" x14ac:dyDescent="0.25">
      <c r="A339" s="20" t="s">
        <v>55</v>
      </c>
      <c r="B339" s="38" t="s">
        <v>763</v>
      </c>
      <c r="C339" s="20" t="s">
        <v>764</v>
      </c>
      <c r="D339" s="20" t="s">
        <v>21</v>
      </c>
      <c r="E339" s="20" t="s">
        <v>21</v>
      </c>
      <c r="F339" s="20" t="s">
        <v>58</v>
      </c>
      <c r="G339" s="39"/>
      <c r="H339" s="40"/>
      <c r="I339" s="22" t="s">
        <v>42</v>
      </c>
      <c r="L339" s="22" t="s">
        <v>42</v>
      </c>
      <c r="N339" s="22" t="s">
        <v>42</v>
      </c>
      <c r="O339" s="22" t="s">
        <v>42</v>
      </c>
      <c r="P339" s="22" t="s">
        <v>42</v>
      </c>
      <c r="R339" s="22" t="s">
        <v>42</v>
      </c>
      <c r="S339" s="22" t="s">
        <v>42</v>
      </c>
      <c r="T339" s="22" t="s">
        <v>42</v>
      </c>
      <c r="U339" s="22"/>
      <c r="V339" s="22" t="s">
        <v>42</v>
      </c>
      <c r="W339" s="22" t="s">
        <v>42</v>
      </c>
      <c r="X339" s="22" t="s">
        <v>42</v>
      </c>
      <c r="Y339" s="22" t="s">
        <v>42</v>
      </c>
      <c r="Z339" s="22" t="s">
        <v>42</v>
      </c>
      <c r="AA339" s="22" t="s">
        <v>42</v>
      </c>
      <c r="AB339" s="22" t="s">
        <v>42</v>
      </c>
      <c r="AC339" s="22" t="s">
        <v>42</v>
      </c>
      <c r="AD339" s="22" t="s">
        <v>42</v>
      </c>
      <c r="AE339" s="22" t="s">
        <v>42</v>
      </c>
      <c r="AF339" s="22"/>
      <c r="AG339" s="22" t="s">
        <v>42</v>
      </c>
      <c r="AH339" s="22" t="s">
        <v>42</v>
      </c>
      <c r="AI339" s="22" t="s">
        <v>42</v>
      </c>
      <c r="AM339" s="22">
        <f t="shared" si="14"/>
        <v>21</v>
      </c>
    </row>
    <row r="340" spans="1:39" hidden="1" x14ac:dyDescent="0.25">
      <c r="A340" s="20" t="s">
        <v>55</v>
      </c>
      <c r="B340" s="38" t="s">
        <v>765</v>
      </c>
      <c r="C340" s="20" t="s">
        <v>766</v>
      </c>
      <c r="D340" s="20" t="s">
        <v>19</v>
      </c>
      <c r="E340" s="20" t="s">
        <v>19</v>
      </c>
      <c r="F340" s="20" t="s">
        <v>58</v>
      </c>
      <c r="G340" s="39"/>
      <c r="H340" s="40"/>
      <c r="I340" s="22" t="s">
        <v>42</v>
      </c>
      <c r="L340" s="22" t="s">
        <v>42</v>
      </c>
      <c r="M340" s="22" t="s">
        <v>42</v>
      </c>
      <c r="O340" s="22" t="s">
        <v>42</v>
      </c>
      <c r="P340" s="22" t="s">
        <v>42</v>
      </c>
      <c r="Q340" s="22" t="s">
        <v>42</v>
      </c>
      <c r="R340" s="22" t="s">
        <v>42</v>
      </c>
      <c r="S340" s="22" t="s">
        <v>42</v>
      </c>
      <c r="T340" s="22" t="s">
        <v>42</v>
      </c>
      <c r="U340" s="22"/>
      <c r="V340" s="22" t="s">
        <v>42</v>
      </c>
      <c r="W340" s="22" t="s">
        <v>42</v>
      </c>
      <c r="X340" s="22" t="s">
        <v>42</v>
      </c>
      <c r="Y340" s="22" t="s">
        <v>42</v>
      </c>
      <c r="Z340" s="22" t="s">
        <v>42</v>
      </c>
      <c r="AA340" s="22" t="s">
        <v>42</v>
      </c>
      <c r="AB340" s="22"/>
      <c r="AC340" s="22" t="s">
        <v>42</v>
      </c>
      <c r="AD340" s="22" t="s">
        <v>42</v>
      </c>
      <c r="AE340" s="22" t="s">
        <v>42</v>
      </c>
      <c r="AF340" s="22" t="s">
        <v>42</v>
      </c>
      <c r="AG340" s="22" t="s">
        <v>42</v>
      </c>
      <c r="AH340" s="22" t="s">
        <v>42</v>
      </c>
      <c r="AJ340" s="22" t="s">
        <v>42</v>
      </c>
      <c r="AK340" s="22" t="s">
        <v>42</v>
      </c>
      <c r="AL340" s="22" t="s">
        <v>42</v>
      </c>
      <c r="AM340" s="22">
        <f t="shared" si="14"/>
        <v>24</v>
      </c>
    </row>
    <row r="341" spans="1:39" x14ac:dyDescent="0.25">
      <c r="A341" s="20" t="s">
        <v>55</v>
      </c>
      <c r="B341" s="38"/>
      <c r="C341" s="20" t="s">
        <v>769</v>
      </c>
      <c r="D341" s="20" t="s">
        <v>16</v>
      </c>
      <c r="E341" s="20" t="s">
        <v>16</v>
      </c>
      <c r="F341" s="20" t="s">
        <v>170</v>
      </c>
      <c r="G341" s="39"/>
      <c r="H341" s="40"/>
      <c r="I341" s="31" t="s">
        <v>36</v>
      </c>
      <c r="J341" s="31"/>
      <c r="K341" s="31"/>
      <c r="L341" s="31" t="s">
        <v>36</v>
      </c>
      <c r="M341" s="31" t="s">
        <v>36</v>
      </c>
      <c r="O341" s="31" t="s">
        <v>36</v>
      </c>
      <c r="P341" s="31" t="s">
        <v>36</v>
      </c>
      <c r="Q341" s="31" t="s">
        <v>36</v>
      </c>
      <c r="R341" s="31" t="s">
        <v>36</v>
      </c>
      <c r="S341" s="31" t="s">
        <v>36</v>
      </c>
      <c r="T341" s="31" t="s">
        <v>36</v>
      </c>
      <c r="U341" s="31"/>
      <c r="V341" s="31" t="s">
        <v>36</v>
      </c>
      <c r="W341" s="31" t="s">
        <v>36</v>
      </c>
      <c r="X341" s="31" t="s">
        <v>36</v>
      </c>
      <c r="Y341" s="31" t="s">
        <v>36</v>
      </c>
      <c r="Z341" s="22" t="s">
        <v>147</v>
      </c>
      <c r="AA341" s="31" t="s">
        <v>36</v>
      </c>
      <c r="AC341" s="31" t="s">
        <v>36</v>
      </c>
      <c r="AD341" s="31" t="s">
        <v>36</v>
      </c>
      <c r="AE341" s="31" t="s">
        <v>36</v>
      </c>
      <c r="AF341" s="31" t="s">
        <v>36</v>
      </c>
      <c r="AG341" s="31" t="s">
        <v>36</v>
      </c>
      <c r="AH341" s="31" t="s">
        <v>36</v>
      </c>
      <c r="AI341" s="31" t="s">
        <v>36</v>
      </c>
      <c r="AJ341" s="31" t="s">
        <v>36</v>
      </c>
      <c r="AK341" s="31" t="s">
        <v>36</v>
      </c>
      <c r="AL341" s="31" t="s">
        <v>36</v>
      </c>
      <c r="AM341" s="22">
        <f t="shared" si="14"/>
        <v>24</v>
      </c>
    </row>
    <row r="342" spans="1:39" hidden="1" x14ac:dyDescent="0.25">
      <c r="A342" s="20" t="s">
        <v>55</v>
      </c>
      <c r="B342" s="38"/>
      <c r="C342" s="20" t="s">
        <v>770</v>
      </c>
      <c r="D342" s="20" t="s">
        <v>16</v>
      </c>
      <c r="E342" s="20" t="s">
        <v>16</v>
      </c>
      <c r="F342" s="20" t="s">
        <v>170</v>
      </c>
      <c r="G342" s="39"/>
      <c r="H342" s="40"/>
      <c r="J342" s="33"/>
      <c r="K342" s="31"/>
      <c r="P342" s="31"/>
      <c r="R342" s="29" t="s">
        <v>147</v>
      </c>
      <c r="S342" s="31"/>
      <c r="T342" s="29" t="s">
        <v>147</v>
      </c>
      <c r="U342" s="22"/>
      <c r="V342" s="22" t="s">
        <v>147</v>
      </c>
      <c r="W342" s="31" t="s">
        <v>147</v>
      </c>
      <c r="X342" s="31" t="s">
        <v>147</v>
      </c>
      <c r="Z342" s="22"/>
      <c r="AA342" s="29" t="s">
        <v>147</v>
      </c>
      <c r="AC342" s="31" t="s">
        <v>36</v>
      </c>
      <c r="AD342" s="31" t="s">
        <v>36</v>
      </c>
      <c r="AE342" s="31" t="s">
        <v>36</v>
      </c>
      <c r="AF342" s="31" t="s">
        <v>147</v>
      </c>
      <c r="AG342" s="29" t="s">
        <v>147</v>
      </c>
      <c r="AH342" s="29" t="s">
        <v>147</v>
      </c>
      <c r="AI342" s="31" t="s">
        <v>36</v>
      </c>
      <c r="AK342" s="31" t="s">
        <v>36</v>
      </c>
      <c r="AM342" s="22">
        <f t="shared" si="14"/>
        <v>5</v>
      </c>
    </row>
    <row r="343" spans="1:39" x14ac:dyDescent="0.25">
      <c r="A343" s="20" t="s">
        <v>55</v>
      </c>
      <c r="B343" s="38"/>
      <c r="C343" s="20" t="s">
        <v>771</v>
      </c>
      <c r="D343" s="20" t="s">
        <v>16</v>
      </c>
      <c r="E343" s="20" t="s">
        <v>16</v>
      </c>
      <c r="F343" s="20" t="s">
        <v>170</v>
      </c>
      <c r="G343" s="39"/>
      <c r="H343" s="40"/>
      <c r="I343" s="31" t="s">
        <v>36</v>
      </c>
      <c r="J343" s="31"/>
      <c r="K343" s="31"/>
      <c r="L343" s="31" t="s">
        <v>36</v>
      </c>
      <c r="M343" s="31" t="s">
        <v>36</v>
      </c>
      <c r="O343" s="31" t="s">
        <v>36</v>
      </c>
      <c r="P343" s="31" t="s">
        <v>36</v>
      </c>
      <c r="Q343" s="31" t="s">
        <v>36</v>
      </c>
      <c r="R343" s="31" t="s">
        <v>36</v>
      </c>
      <c r="S343" s="31" t="s">
        <v>36</v>
      </c>
      <c r="T343" s="31" t="s">
        <v>36</v>
      </c>
      <c r="U343" s="22"/>
      <c r="V343" s="31" t="s">
        <v>36</v>
      </c>
      <c r="W343" s="31" t="s">
        <v>36</v>
      </c>
      <c r="X343" s="31" t="s">
        <v>36</v>
      </c>
      <c r="Y343" s="31" t="s">
        <v>36</v>
      </c>
      <c r="Z343" s="31" t="s">
        <v>36</v>
      </c>
      <c r="AA343" s="31" t="s">
        <v>36</v>
      </c>
      <c r="AB343" s="31"/>
      <c r="AC343" s="31" t="s">
        <v>36</v>
      </c>
      <c r="AD343" s="31" t="s">
        <v>36</v>
      </c>
      <c r="AE343" s="31" t="s">
        <v>36</v>
      </c>
      <c r="AF343" s="31" t="s">
        <v>36</v>
      </c>
      <c r="AG343" s="31" t="s">
        <v>36</v>
      </c>
      <c r="AH343" s="31" t="s">
        <v>36</v>
      </c>
      <c r="AI343" s="31" t="s">
        <v>36</v>
      </c>
      <c r="AJ343" s="31" t="s">
        <v>36</v>
      </c>
      <c r="AK343" s="31" t="s">
        <v>36</v>
      </c>
      <c r="AL343" s="31" t="s">
        <v>36</v>
      </c>
      <c r="AM343" s="22">
        <f t="shared" si="14"/>
        <v>25</v>
      </c>
    </row>
    <row r="344" spans="1:39" hidden="1" x14ac:dyDescent="0.25">
      <c r="A344" s="20" t="s">
        <v>55</v>
      </c>
      <c r="B344" s="38"/>
      <c r="C344" s="20" t="s">
        <v>772</v>
      </c>
      <c r="D344" s="20" t="s">
        <v>16</v>
      </c>
      <c r="E344" s="20" t="s">
        <v>16</v>
      </c>
      <c r="F344" s="20" t="s">
        <v>170</v>
      </c>
      <c r="G344" s="39"/>
      <c r="H344" s="40"/>
      <c r="I344" s="31" t="s">
        <v>36</v>
      </c>
      <c r="J344" s="31"/>
      <c r="K344" s="31"/>
      <c r="L344" s="31" t="s">
        <v>36</v>
      </c>
      <c r="M344" s="31" t="s">
        <v>36</v>
      </c>
      <c r="O344" s="31" t="s">
        <v>36</v>
      </c>
      <c r="P344" s="31" t="s">
        <v>36</v>
      </c>
      <c r="Q344" s="31" t="s">
        <v>36</v>
      </c>
      <c r="R344" s="31" t="s">
        <v>36</v>
      </c>
      <c r="S344" s="31" t="s">
        <v>36</v>
      </c>
      <c r="T344" s="31" t="s">
        <v>36</v>
      </c>
      <c r="U344" s="31"/>
      <c r="V344" s="31" t="s">
        <v>36</v>
      </c>
      <c r="W344" s="31" t="s">
        <v>36</v>
      </c>
      <c r="X344" s="31" t="s">
        <v>36</v>
      </c>
      <c r="Y344" s="31" t="s">
        <v>36</v>
      </c>
      <c r="Z344" s="31" t="s">
        <v>36</v>
      </c>
      <c r="AA344" s="31"/>
      <c r="AB344" s="31"/>
      <c r="AC344" s="31"/>
      <c r="AD344" s="31"/>
      <c r="AE344" s="31"/>
      <c r="AF344" s="31"/>
      <c r="AG344" s="31"/>
      <c r="AH344" s="31"/>
      <c r="AI344" s="31"/>
      <c r="AJ344" s="31"/>
      <c r="AK344" s="31"/>
      <c r="AL344" s="31"/>
      <c r="AM344" s="22">
        <f t="shared" si="14"/>
        <v>14</v>
      </c>
    </row>
    <row r="345" spans="1:39" hidden="1" x14ac:dyDescent="0.25">
      <c r="A345" s="20" t="s">
        <v>55</v>
      </c>
      <c r="B345" s="38"/>
      <c r="C345" s="20" t="s">
        <v>773</v>
      </c>
      <c r="D345" s="20" t="s">
        <v>16</v>
      </c>
      <c r="E345" s="20" t="s">
        <v>16</v>
      </c>
      <c r="F345" s="20" t="s">
        <v>170</v>
      </c>
      <c r="G345" s="39"/>
      <c r="H345" s="40"/>
      <c r="J345" s="33"/>
      <c r="L345" s="31"/>
      <c r="N345" s="31"/>
      <c r="U345" s="22"/>
      <c r="V345" s="22"/>
      <c r="W345" s="22"/>
      <c r="X345" s="31"/>
      <c r="Z345" s="22"/>
      <c r="AM345" s="22">
        <f t="shared" si="14"/>
        <v>0</v>
      </c>
    </row>
    <row r="346" spans="1:39" hidden="1" x14ac:dyDescent="0.25">
      <c r="A346" s="20" t="s">
        <v>55</v>
      </c>
      <c r="B346" s="38"/>
      <c r="C346" s="20" t="s">
        <v>774</v>
      </c>
      <c r="D346" s="20" t="s">
        <v>16</v>
      </c>
      <c r="E346" s="20" t="s">
        <v>16</v>
      </c>
      <c r="F346" s="20" t="s">
        <v>170</v>
      </c>
      <c r="G346" s="39"/>
      <c r="H346" s="40"/>
      <c r="I346" s="31" t="s">
        <v>36</v>
      </c>
      <c r="J346" s="33"/>
      <c r="Q346" s="31"/>
      <c r="R346" s="31"/>
      <c r="U346" s="22"/>
      <c r="V346" s="22"/>
      <c r="W346" s="22"/>
      <c r="X346" s="31"/>
      <c r="Z346" s="22"/>
      <c r="AA346" s="22"/>
      <c r="AB346" s="31"/>
      <c r="AC346" s="31"/>
      <c r="AD346" s="31"/>
      <c r="AE346" s="31"/>
      <c r="AF346" s="31"/>
      <c r="AG346" s="31"/>
      <c r="AI346" s="31"/>
      <c r="AJ346" s="31"/>
      <c r="AK346" s="31"/>
      <c r="AL346" s="31"/>
      <c r="AM346" s="22">
        <f t="shared" si="14"/>
        <v>1</v>
      </c>
    </row>
    <row r="347" spans="1:39" hidden="1" x14ac:dyDescent="0.25">
      <c r="A347" s="20" t="s">
        <v>55</v>
      </c>
      <c r="B347" s="38"/>
      <c r="C347" s="20" t="s">
        <v>775</v>
      </c>
      <c r="D347" s="20" t="s">
        <v>16</v>
      </c>
      <c r="E347" s="20" t="s">
        <v>16</v>
      </c>
      <c r="F347" s="20" t="s">
        <v>63</v>
      </c>
      <c r="G347" s="39"/>
      <c r="H347" s="40"/>
      <c r="I347" s="31"/>
      <c r="J347" s="31"/>
      <c r="K347" s="31"/>
      <c r="L347" s="31"/>
      <c r="N347" s="31"/>
      <c r="P347" s="31"/>
      <c r="Q347" s="31"/>
      <c r="R347" s="31" t="s">
        <v>36</v>
      </c>
      <c r="S347" s="31" t="s">
        <v>36</v>
      </c>
      <c r="T347" s="31" t="s">
        <v>36</v>
      </c>
      <c r="U347" s="22"/>
      <c r="V347" s="31" t="s">
        <v>36</v>
      </c>
      <c r="W347" s="31" t="s">
        <v>36</v>
      </c>
      <c r="X347" s="31" t="s">
        <v>36</v>
      </c>
      <c r="Y347" s="31"/>
      <c r="Z347" s="31"/>
      <c r="AA347" s="31"/>
      <c r="AB347" s="31"/>
      <c r="AC347" s="31" t="s">
        <v>36</v>
      </c>
      <c r="AD347" s="31" t="s">
        <v>36</v>
      </c>
      <c r="AE347" s="31" t="s">
        <v>36</v>
      </c>
      <c r="AF347" s="31" t="s">
        <v>36</v>
      </c>
      <c r="AG347" s="31" t="s">
        <v>36</v>
      </c>
      <c r="AH347" s="31" t="s">
        <v>36</v>
      </c>
      <c r="AJ347" s="31" t="s">
        <v>36</v>
      </c>
      <c r="AK347" s="31"/>
      <c r="AL347" s="31"/>
      <c r="AM347" s="22">
        <f t="shared" si="14"/>
        <v>13</v>
      </c>
    </row>
    <row r="348" spans="1:39" hidden="1" x14ac:dyDescent="0.25">
      <c r="A348" s="20" t="s">
        <v>55</v>
      </c>
      <c r="B348" s="38"/>
      <c r="C348" s="20" t="s">
        <v>776</v>
      </c>
      <c r="D348" s="20" t="s">
        <v>15</v>
      </c>
      <c r="E348" s="20" t="s">
        <v>15</v>
      </c>
      <c r="F348" s="20" t="s">
        <v>63</v>
      </c>
      <c r="G348" s="39"/>
      <c r="H348" s="40"/>
      <c r="J348" s="33"/>
      <c r="K348" s="33"/>
      <c r="L348" s="33" t="s">
        <v>40</v>
      </c>
      <c r="Q348" s="33" t="s">
        <v>40</v>
      </c>
      <c r="R348" s="33" t="s">
        <v>40</v>
      </c>
      <c r="U348" s="22"/>
      <c r="V348" s="22"/>
      <c r="W348" s="33" t="s">
        <v>40</v>
      </c>
      <c r="X348" s="33" t="s">
        <v>40</v>
      </c>
      <c r="Y348" s="33" t="s">
        <v>40</v>
      </c>
      <c r="Z348" s="33"/>
      <c r="AC348" s="33"/>
      <c r="AD348" s="33" t="s">
        <v>40</v>
      </c>
      <c r="AE348" s="33" t="s">
        <v>40</v>
      </c>
      <c r="AF348" s="33" t="s">
        <v>40</v>
      </c>
      <c r="AG348" s="33" t="s">
        <v>40</v>
      </c>
      <c r="AH348" s="33"/>
      <c r="AJ348" s="33" t="s">
        <v>40</v>
      </c>
      <c r="AK348" s="33"/>
      <c r="AL348" s="33" t="s">
        <v>40</v>
      </c>
      <c r="AM348" s="22">
        <f t="shared" si="14"/>
        <v>12</v>
      </c>
    </row>
    <row r="349" spans="1:39" hidden="1" x14ac:dyDescent="0.25">
      <c r="A349" s="20" t="s">
        <v>55</v>
      </c>
      <c r="B349" s="38"/>
      <c r="C349" s="20" t="s">
        <v>777</v>
      </c>
      <c r="D349" s="20" t="s">
        <v>16</v>
      </c>
      <c r="E349" s="20" t="s">
        <v>16</v>
      </c>
      <c r="F349" s="20" t="s">
        <v>63</v>
      </c>
      <c r="G349" s="39"/>
      <c r="H349" s="40"/>
      <c r="I349" s="31"/>
      <c r="J349" s="31"/>
      <c r="K349" s="31"/>
      <c r="L349" s="31"/>
      <c r="N349" s="31"/>
      <c r="R349" s="31" t="s">
        <v>36</v>
      </c>
      <c r="T349" s="31"/>
      <c r="U349" s="22"/>
      <c r="V349" s="22"/>
      <c r="W349" s="22"/>
      <c r="X349" s="33"/>
      <c r="Z349" s="22"/>
      <c r="AJ349" s="31"/>
      <c r="AK349" s="31"/>
      <c r="AL349" s="31"/>
      <c r="AM349" s="22">
        <f t="shared" si="14"/>
        <v>1</v>
      </c>
    </row>
    <row r="350" spans="1:39" hidden="1" x14ac:dyDescent="0.25">
      <c r="A350" s="20" t="s">
        <v>55</v>
      </c>
      <c r="B350" s="38"/>
      <c r="C350" s="20" t="s">
        <v>778</v>
      </c>
      <c r="D350" s="20" t="s">
        <v>32</v>
      </c>
      <c r="E350" s="20" t="s">
        <v>32</v>
      </c>
      <c r="F350" s="20" t="s">
        <v>58</v>
      </c>
      <c r="G350" s="39"/>
      <c r="H350" s="40"/>
      <c r="I350" s="22" t="s">
        <v>42</v>
      </c>
      <c r="L350" s="22" t="s">
        <v>42</v>
      </c>
      <c r="M350" s="22" t="s">
        <v>42</v>
      </c>
      <c r="O350" s="22" t="s">
        <v>42</v>
      </c>
      <c r="P350" s="22" t="s">
        <v>42</v>
      </c>
      <c r="Q350" s="22" t="s">
        <v>42</v>
      </c>
      <c r="R350" s="22" t="s">
        <v>42</v>
      </c>
      <c r="S350" s="22" t="s">
        <v>42</v>
      </c>
      <c r="T350" s="22" t="s">
        <v>42</v>
      </c>
      <c r="U350" s="22"/>
      <c r="V350" s="22" t="s">
        <v>42</v>
      </c>
      <c r="W350" s="22" t="s">
        <v>42</v>
      </c>
      <c r="X350" s="22" t="s">
        <v>42</v>
      </c>
      <c r="Y350" s="22" t="s">
        <v>42</v>
      </c>
      <c r="Z350" s="22" t="s">
        <v>42</v>
      </c>
      <c r="AA350" s="22" t="s">
        <v>42</v>
      </c>
      <c r="AB350" s="22"/>
      <c r="AC350" s="22" t="s">
        <v>42</v>
      </c>
      <c r="AD350" s="22" t="s">
        <v>42</v>
      </c>
      <c r="AE350" s="22" t="s">
        <v>42</v>
      </c>
      <c r="AF350" s="22" t="s">
        <v>42</v>
      </c>
      <c r="AG350" s="22" t="s">
        <v>42</v>
      </c>
      <c r="AH350" s="22" t="s">
        <v>42</v>
      </c>
      <c r="AJ350" s="22" t="s">
        <v>42</v>
      </c>
      <c r="AK350" s="22" t="s">
        <v>42</v>
      </c>
      <c r="AL350" s="22" t="s">
        <v>42</v>
      </c>
      <c r="AM350" s="22">
        <f t="shared" si="14"/>
        <v>24</v>
      </c>
    </row>
    <row r="351" spans="1:39" hidden="1" x14ac:dyDescent="0.25">
      <c r="A351" s="20" t="s">
        <v>55</v>
      </c>
      <c r="B351" s="38"/>
      <c r="C351" s="20" t="s">
        <v>778</v>
      </c>
      <c r="D351" s="20" t="s">
        <v>32</v>
      </c>
      <c r="E351" s="20" t="s">
        <v>32</v>
      </c>
      <c r="F351" s="20" t="s">
        <v>58</v>
      </c>
      <c r="G351" s="39"/>
      <c r="H351" s="40"/>
      <c r="I351" s="22" t="s">
        <v>42</v>
      </c>
      <c r="L351" s="22" t="s">
        <v>42</v>
      </c>
      <c r="M351" s="22" t="s">
        <v>42</v>
      </c>
      <c r="O351" s="22" t="s">
        <v>42</v>
      </c>
      <c r="P351" s="22" t="s">
        <v>42</v>
      </c>
      <c r="Q351" s="22" t="s">
        <v>42</v>
      </c>
      <c r="R351" s="22" t="s">
        <v>42</v>
      </c>
      <c r="S351" s="22" t="s">
        <v>42</v>
      </c>
      <c r="T351" s="22" t="s">
        <v>42</v>
      </c>
      <c r="U351" s="22"/>
      <c r="V351" s="22" t="s">
        <v>42</v>
      </c>
      <c r="W351" s="22" t="s">
        <v>42</v>
      </c>
      <c r="X351" s="22" t="s">
        <v>42</v>
      </c>
      <c r="Y351" s="22" t="s">
        <v>42</v>
      </c>
      <c r="Z351" s="22" t="s">
        <v>42</v>
      </c>
      <c r="AA351" s="22" t="s">
        <v>42</v>
      </c>
      <c r="AB351" s="22"/>
      <c r="AC351" s="22" t="s">
        <v>42</v>
      </c>
      <c r="AD351" s="22" t="s">
        <v>42</v>
      </c>
      <c r="AE351" s="22" t="s">
        <v>42</v>
      </c>
      <c r="AF351" s="22" t="s">
        <v>42</v>
      </c>
      <c r="AG351" s="22" t="s">
        <v>42</v>
      </c>
      <c r="AH351" s="22" t="s">
        <v>42</v>
      </c>
      <c r="AJ351" s="22" t="s">
        <v>42</v>
      </c>
      <c r="AK351" s="22" t="s">
        <v>42</v>
      </c>
      <c r="AL351" s="22" t="s">
        <v>42</v>
      </c>
      <c r="AM351" s="22">
        <f t="shared" si="14"/>
        <v>24</v>
      </c>
    </row>
    <row r="352" spans="1:39" hidden="1" x14ac:dyDescent="0.25">
      <c r="A352" s="20" t="s">
        <v>55</v>
      </c>
      <c r="B352" s="38"/>
      <c r="C352" s="20" t="s">
        <v>778</v>
      </c>
      <c r="D352" s="20" t="s">
        <v>32</v>
      </c>
      <c r="E352" s="20" t="s">
        <v>32</v>
      </c>
      <c r="F352" s="20" t="s">
        <v>58</v>
      </c>
      <c r="G352" s="39"/>
      <c r="H352" s="40"/>
      <c r="I352" s="22" t="s">
        <v>42</v>
      </c>
      <c r="L352" s="22" t="s">
        <v>42</v>
      </c>
      <c r="M352" s="22" t="s">
        <v>42</v>
      </c>
      <c r="N352" s="22" t="s">
        <v>42</v>
      </c>
      <c r="O352" s="22" t="s">
        <v>42</v>
      </c>
      <c r="P352" s="22" t="s">
        <v>42</v>
      </c>
      <c r="Q352" s="22" t="s">
        <v>42</v>
      </c>
      <c r="R352" s="22" t="s">
        <v>42</v>
      </c>
      <c r="S352" s="22" t="s">
        <v>42</v>
      </c>
      <c r="T352" s="22" t="s">
        <v>42</v>
      </c>
      <c r="U352" s="22"/>
      <c r="V352" s="22" t="s">
        <v>42</v>
      </c>
      <c r="W352" s="22" t="s">
        <v>42</v>
      </c>
      <c r="X352" s="22" t="s">
        <v>42</v>
      </c>
      <c r="Y352" s="22" t="s">
        <v>42</v>
      </c>
      <c r="Z352" s="22" t="s">
        <v>42</v>
      </c>
      <c r="AA352" s="22" t="s">
        <v>42</v>
      </c>
      <c r="AB352" s="22"/>
      <c r="AC352" s="22" t="s">
        <v>42</v>
      </c>
      <c r="AD352" s="22" t="s">
        <v>42</v>
      </c>
      <c r="AE352" s="22" t="s">
        <v>42</v>
      </c>
      <c r="AF352" s="22" t="s">
        <v>42</v>
      </c>
      <c r="AG352" s="22" t="s">
        <v>42</v>
      </c>
      <c r="AH352" s="22" t="s">
        <v>42</v>
      </c>
      <c r="AJ352" s="22" t="s">
        <v>42</v>
      </c>
      <c r="AK352" s="22" t="s">
        <v>42</v>
      </c>
      <c r="AL352" s="22" t="s">
        <v>42</v>
      </c>
      <c r="AM352" s="22">
        <f t="shared" si="14"/>
        <v>25</v>
      </c>
    </row>
    <row r="353" spans="1:39" hidden="1" x14ac:dyDescent="0.25">
      <c r="A353" s="20" t="s">
        <v>55</v>
      </c>
      <c r="B353" s="38"/>
      <c r="C353" s="20" t="s">
        <v>779</v>
      </c>
      <c r="D353" s="20" t="s">
        <v>32</v>
      </c>
      <c r="E353" s="20" t="s">
        <v>32</v>
      </c>
      <c r="F353" s="20" t="s">
        <v>58</v>
      </c>
      <c r="G353" s="39"/>
      <c r="H353" s="40"/>
      <c r="J353" s="33"/>
      <c r="L353" s="22" t="s">
        <v>42</v>
      </c>
      <c r="M353" s="22" t="s">
        <v>42</v>
      </c>
      <c r="N353" s="22" t="s">
        <v>42</v>
      </c>
      <c r="R353" s="22" t="s">
        <v>42</v>
      </c>
      <c r="U353" s="22"/>
      <c r="V353" s="22"/>
      <c r="W353" s="22" t="s">
        <v>42</v>
      </c>
      <c r="X353" s="22"/>
      <c r="Y353" s="22"/>
      <c r="Z353" s="22"/>
      <c r="AA353" s="22" t="s">
        <v>42</v>
      </c>
      <c r="AB353" s="22"/>
      <c r="AC353" s="22"/>
      <c r="AD353" s="22" t="s">
        <v>42</v>
      </c>
      <c r="AE353" s="22" t="s">
        <v>42</v>
      </c>
      <c r="AF353" s="22"/>
      <c r="AG353" s="22"/>
      <c r="AH353" s="22"/>
      <c r="AJ353" s="22" t="s">
        <v>42</v>
      </c>
      <c r="AM353" s="22">
        <f t="shared" si="14"/>
        <v>9</v>
      </c>
    </row>
    <row r="354" spans="1:39" x14ac:dyDescent="0.25">
      <c r="A354" s="20" t="s">
        <v>55</v>
      </c>
      <c r="B354" s="38" t="s">
        <v>780</v>
      </c>
      <c r="C354" s="20" t="s">
        <v>781</v>
      </c>
      <c r="D354" s="20" t="s">
        <v>21</v>
      </c>
      <c r="E354" s="20" t="s">
        <v>21</v>
      </c>
      <c r="F354" s="20" t="s">
        <v>58</v>
      </c>
      <c r="G354" s="39"/>
      <c r="H354" s="40"/>
      <c r="I354" s="22" t="s">
        <v>42</v>
      </c>
      <c r="J354" s="33"/>
      <c r="L354" s="22" t="s">
        <v>42</v>
      </c>
      <c r="M354" s="22" t="s">
        <v>42</v>
      </c>
      <c r="N354" s="22" t="s">
        <v>42</v>
      </c>
      <c r="O354" s="22" t="s">
        <v>42</v>
      </c>
      <c r="P354" s="22" t="s">
        <v>42</v>
      </c>
      <c r="Q354" s="22" t="s">
        <v>42</v>
      </c>
      <c r="R354" s="22" t="s">
        <v>42</v>
      </c>
      <c r="S354" s="22"/>
      <c r="T354" s="22" t="s">
        <v>42</v>
      </c>
      <c r="U354" s="22"/>
      <c r="V354" s="22" t="s">
        <v>42</v>
      </c>
      <c r="W354" s="22" t="s">
        <v>42</v>
      </c>
      <c r="X354" s="22" t="s">
        <v>42</v>
      </c>
      <c r="Y354" s="22" t="s">
        <v>42</v>
      </c>
      <c r="Z354" s="22" t="s">
        <v>42</v>
      </c>
      <c r="AA354" s="22" t="s">
        <v>42</v>
      </c>
      <c r="AB354" s="22" t="s">
        <v>42</v>
      </c>
      <c r="AC354" s="22" t="s">
        <v>42</v>
      </c>
      <c r="AD354" s="22" t="s">
        <v>42</v>
      </c>
      <c r="AE354" s="22" t="s">
        <v>42</v>
      </c>
      <c r="AF354" s="22" t="s">
        <v>42</v>
      </c>
      <c r="AG354" s="22" t="s">
        <v>42</v>
      </c>
      <c r="AH354" s="22" t="s">
        <v>42</v>
      </c>
      <c r="AI354" s="22" t="s">
        <v>42</v>
      </c>
      <c r="AJ354" s="22" t="s">
        <v>42</v>
      </c>
      <c r="AK354" s="22" t="s">
        <v>42</v>
      </c>
      <c r="AL354" s="22" t="s">
        <v>42</v>
      </c>
      <c r="AM354" s="22">
        <f t="shared" si="14"/>
        <v>26</v>
      </c>
    </row>
    <row r="355" spans="1:39" hidden="1" x14ac:dyDescent="0.25">
      <c r="A355" s="20" t="s">
        <v>55</v>
      </c>
      <c r="B355" s="38" t="s">
        <v>782</v>
      </c>
      <c r="C355" s="20" t="s">
        <v>783</v>
      </c>
      <c r="D355" s="20" t="s">
        <v>18</v>
      </c>
      <c r="E355" s="20" t="s">
        <v>18</v>
      </c>
      <c r="F355" s="20" t="s">
        <v>58</v>
      </c>
      <c r="G355" s="39"/>
      <c r="H355" s="40"/>
      <c r="I355" s="22" t="s">
        <v>42</v>
      </c>
      <c r="L355" s="22" t="s">
        <v>42</v>
      </c>
      <c r="M355" s="22" t="s">
        <v>42</v>
      </c>
      <c r="R355" s="22"/>
      <c r="S355" s="22"/>
      <c r="T355" s="22" t="s">
        <v>42</v>
      </c>
      <c r="U355" s="22"/>
      <c r="V355" s="22"/>
      <c r="W355" s="22"/>
      <c r="X355" s="22"/>
      <c r="Y355" s="22"/>
      <c r="Z355" s="22"/>
      <c r="AA355" s="22"/>
      <c r="AB355" s="22"/>
      <c r="AC355" s="22"/>
      <c r="AD355" s="22" t="s">
        <v>42</v>
      </c>
      <c r="AE355" s="22" t="s">
        <v>42</v>
      </c>
      <c r="AF355" s="22" t="s">
        <v>42</v>
      </c>
      <c r="AG355" s="22" t="s">
        <v>42</v>
      </c>
      <c r="AH355" s="22" t="s">
        <v>42</v>
      </c>
      <c r="AJ355" s="22" t="s">
        <v>42</v>
      </c>
      <c r="AK355" s="22" t="s">
        <v>42</v>
      </c>
      <c r="AL355" s="22" t="s">
        <v>42</v>
      </c>
      <c r="AM355" s="22">
        <f t="shared" si="14"/>
        <v>12</v>
      </c>
    </row>
    <row r="356" spans="1:39" hidden="1" x14ac:dyDescent="0.25">
      <c r="A356" s="20" t="s">
        <v>55</v>
      </c>
      <c r="B356" s="38" t="s">
        <v>784</v>
      </c>
      <c r="C356" s="20" t="s">
        <v>785</v>
      </c>
      <c r="D356" s="20" t="s">
        <v>19</v>
      </c>
      <c r="E356" s="20" t="s">
        <v>19</v>
      </c>
      <c r="F356" s="20" t="s">
        <v>58</v>
      </c>
      <c r="G356" s="39"/>
      <c r="H356" s="40"/>
      <c r="I356" s="22" t="s">
        <v>42</v>
      </c>
      <c r="L356" s="22" t="s">
        <v>42</v>
      </c>
      <c r="M356" s="22" t="s">
        <v>42</v>
      </c>
      <c r="O356" s="22" t="s">
        <v>42</v>
      </c>
      <c r="P356" s="22" t="s">
        <v>42</v>
      </c>
      <c r="Q356" s="22" t="s">
        <v>42</v>
      </c>
      <c r="R356" s="22" t="s">
        <v>42</v>
      </c>
      <c r="S356" s="22" t="s">
        <v>42</v>
      </c>
      <c r="T356" s="22" t="s">
        <v>42</v>
      </c>
      <c r="U356" s="22"/>
      <c r="V356" s="22" t="s">
        <v>42</v>
      </c>
      <c r="W356" s="22" t="s">
        <v>42</v>
      </c>
      <c r="X356" s="22" t="s">
        <v>42</v>
      </c>
      <c r="Y356" s="22" t="s">
        <v>42</v>
      </c>
      <c r="Z356" s="22" t="s">
        <v>42</v>
      </c>
      <c r="AA356" s="22" t="s">
        <v>42</v>
      </c>
      <c r="AB356" s="22"/>
      <c r="AC356" s="22" t="s">
        <v>42</v>
      </c>
      <c r="AD356" s="22" t="s">
        <v>42</v>
      </c>
      <c r="AE356" s="22" t="s">
        <v>42</v>
      </c>
      <c r="AF356" s="22" t="s">
        <v>42</v>
      </c>
      <c r="AG356" s="22" t="s">
        <v>42</v>
      </c>
      <c r="AH356" s="22" t="s">
        <v>42</v>
      </c>
      <c r="AJ356" s="22" t="s">
        <v>42</v>
      </c>
      <c r="AK356" s="22" t="s">
        <v>42</v>
      </c>
      <c r="AL356" s="22" t="s">
        <v>42</v>
      </c>
      <c r="AM356" s="22">
        <f t="shared" si="14"/>
        <v>24</v>
      </c>
    </row>
    <row r="357" spans="1:39" hidden="1" x14ac:dyDescent="0.25">
      <c r="A357" s="20" t="s">
        <v>786</v>
      </c>
      <c r="B357" s="38" t="s">
        <v>787</v>
      </c>
      <c r="C357" s="20" t="s">
        <v>788</v>
      </c>
      <c r="D357" s="20" t="s">
        <v>10</v>
      </c>
      <c r="E357" s="20" t="s">
        <v>10</v>
      </c>
      <c r="F357" s="20" t="s">
        <v>58</v>
      </c>
      <c r="G357" s="39"/>
      <c r="H357" s="40"/>
      <c r="I357" s="31" t="s">
        <v>147</v>
      </c>
      <c r="L357" s="29" t="s">
        <v>147</v>
      </c>
      <c r="M357" s="31" t="s">
        <v>147</v>
      </c>
      <c r="O357" s="29" t="s">
        <v>147</v>
      </c>
      <c r="P357" s="29" t="s">
        <v>147</v>
      </c>
      <c r="Q357" s="31" t="s">
        <v>147</v>
      </c>
      <c r="R357" s="31" t="s">
        <v>147</v>
      </c>
      <c r="S357" s="31" t="s">
        <v>147</v>
      </c>
      <c r="T357" s="31" t="s">
        <v>147</v>
      </c>
      <c r="U357" s="22"/>
      <c r="V357" s="22" t="s">
        <v>147</v>
      </c>
      <c r="W357" s="31" t="s">
        <v>147</v>
      </c>
      <c r="X357" s="31" t="s">
        <v>147</v>
      </c>
      <c r="Y357" s="31" t="s">
        <v>147</v>
      </c>
      <c r="Z357" s="31" t="s">
        <v>147</v>
      </c>
      <c r="AA357" s="31" t="s">
        <v>147</v>
      </c>
      <c r="AB357" s="22"/>
      <c r="AC357" s="22" t="s">
        <v>147</v>
      </c>
      <c r="AD357" s="31" t="s">
        <v>147</v>
      </c>
      <c r="AE357" s="31" t="s">
        <v>147</v>
      </c>
      <c r="AF357" s="22" t="s">
        <v>42</v>
      </c>
      <c r="AG357" s="31" t="s">
        <v>147</v>
      </c>
      <c r="AH357" s="31" t="s">
        <v>147</v>
      </c>
      <c r="AJ357" s="31" t="s">
        <v>147</v>
      </c>
      <c r="AK357" s="22" t="s">
        <v>42</v>
      </c>
      <c r="AL357" s="31" t="s">
        <v>147</v>
      </c>
      <c r="AM357" s="22">
        <f t="shared" si="14"/>
        <v>2</v>
      </c>
    </row>
    <row r="358" spans="1:39" x14ac:dyDescent="0.25">
      <c r="A358" s="20" t="s">
        <v>55</v>
      </c>
      <c r="B358" s="38" t="s">
        <v>789</v>
      </c>
      <c r="C358" s="20" t="s">
        <v>790</v>
      </c>
      <c r="D358" s="20" t="s">
        <v>21</v>
      </c>
      <c r="E358" s="20" t="s">
        <v>21</v>
      </c>
      <c r="F358" s="20" t="s">
        <v>58</v>
      </c>
      <c r="G358" s="39"/>
      <c r="H358" s="40"/>
      <c r="I358" s="22" t="s">
        <v>42</v>
      </c>
      <c r="L358" s="22" t="s">
        <v>42</v>
      </c>
      <c r="N358" s="22" t="s">
        <v>42</v>
      </c>
      <c r="O358" s="22" t="s">
        <v>42</v>
      </c>
      <c r="P358" s="22" t="s">
        <v>42</v>
      </c>
      <c r="Q358" s="22" t="s">
        <v>42</v>
      </c>
      <c r="R358" s="22" t="s">
        <v>42</v>
      </c>
      <c r="S358" s="22" t="s">
        <v>42</v>
      </c>
      <c r="T358" s="22" t="s">
        <v>42</v>
      </c>
      <c r="U358" s="22"/>
      <c r="V358" s="22" t="s">
        <v>42</v>
      </c>
      <c r="W358" s="22" t="s">
        <v>42</v>
      </c>
      <c r="X358" s="22" t="s">
        <v>42</v>
      </c>
      <c r="Y358" s="22" t="s">
        <v>42</v>
      </c>
      <c r="Z358" s="22" t="s">
        <v>42</v>
      </c>
      <c r="AA358" s="22" t="s">
        <v>42</v>
      </c>
      <c r="AB358" s="22" t="s">
        <v>42</v>
      </c>
      <c r="AC358" s="22" t="s">
        <v>42</v>
      </c>
      <c r="AD358" s="22" t="s">
        <v>42</v>
      </c>
      <c r="AE358" s="22"/>
      <c r="AF358" s="22" t="s">
        <v>42</v>
      </c>
      <c r="AG358" s="22" t="s">
        <v>42</v>
      </c>
      <c r="AH358" s="22" t="s">
        <v>42</v>
      </c>
      <c r="AI358" s="22" t="s">
        <v>42</v>
      </c>
      <c r="AJ358" s="22" t="s">
        <v>42</v>
      </c>
      <c r="AK358" s="22" t="s">
        <v>42</v>
      </c>
      <c r="AL358" s="22" t="s">
        <v>42</v>
      </c>
      <c r="AM358" s="22">
        <f t="shared" si="14"/>
        <v>25</v>
      </c>
    </row>
    <row r="359" spans="1:39" hidden="1" x14ac:dyDescent="0.25">
      <c r="A359" s="20" t="s">
        <v>55</v>
      </c>
      <c r="B359" s="38" t="s">
        <v>791</v>
      </c>
      <c r="C359" s="20" t="s">
        <v>792</v>
      </c>
      <c r="D359" s="20" t="s">
        <v>8</v>
      </c>
      <c r="E359" s="20" t="s">
        <v>8</v>
      </c>
      <c r="F359" s="20" t="s">
        <v>58</v>
      </c>
      <c r="G359" s="39"/>
      <c r="H359" s="40"/>
      <c r="I359" s="22" t="s">
        <v>42</v>
      </c>
      <c r="J359" s="33"/>
      <c r="U359" s="22"/>
      <c r="V359" s="22"/>
      <c r="W359" s="22"/>
      <c r="X359" s="22"/>
      <c r="Z359" s="22"/>
      <c r="AA359" s="22"/>
      <c r="AB359" s="22"/>
      <c r="AC359" s="22"/>
      <c r="AD359" s="22"/>
      <c r="AE359" s="22"/>
      <c r="AF359" s="22"/>
      <c r="AH359" s="22"/>
      <c r="AM359" s="22">
        <f t="shared" si="14"/>
        <v>1</v>
      </c>
    </row>
    <row r="360" spans="1:39" x14ac:dyDescent="0.25">
      <c r="A360" s="20" t="s">
        <v>55</v>
      </c>
      <c r="B360" s="38" t="s">
        <v>793</v>
      </c>
      <c r="C360" s="20" t="s">
        <v>794</v>
      </c>
      <c r="D360" s="20" t="s">
        <v>21</v>
      </c>
      <c r="E360" s="20" t="s">
        <v>21</v>
      </c>
      <c r="F360" s="20" t="s">
        <v>58</v>
      </c>
      <c r="G360" s="39"/>
      <c r="H360" s="40"/>
      <c r="I360" s="22" t="s">
        <v>42</v>
      </c>
      <c r="J360" s="33"/>
      <c r="L360" s="22" t="s">
        <v>42</v>
      </c>
      <c r="M360" s="22" t="s">
        <v>42</v>
      </c>
      <c r="N360" s="22" t="s">
        <v>42</v>
      </c>
      <c r="O360" s="22" t="s">
        <v>42</v>
      </c>
      <c r="P360" s="22" t="s">
        <v>42</v>
      </c>
      <c r="Q360" s="22" t="s">
        <v>42</v>
      </c>
      <c r="R360" s="22" t="s">
        <v>42</v>
      </c>
      <c r="S360" s="22" t="s">
        <v>42</v>
      </c>
      <c r="T360" s="22" t="s">
        <v>42</v>
      </c>
      <c r="U360" s="22"/>
      <c r="V360" s="22" t="s">
        <v>42</v>
      </c>
      <c r="W360" s="22" t="s">
        <v>42</v>
      </c>
      <c r="X360" s="22" t="s">
        <v>42</v>
      </c>
      <c r="Y360" s="22" t="s">
        <v>42</v>
      </c>
      <c r="Z360" s="22" t="s">
        <v>42</v>
      </c>
      <c r="AA360" s="22" t="s">
        <v>42</v>
      </c>
      <c r="AB360" s="22" t="s">
        <v>42</v>
      </c>
      <c r="AC360" s="22" t="s">
        <v>42</v>
      </c>
      <c r="AD360" s="22" t="s">
        <v>42</v>
      </c>
      <c r="AE360" s="22" t="s">
        <v>42</v>
      </c>
      <c r="AF360" s="22" t="s">
        <v>42</v>
      </c>
      <c r="AG360" s="22" t="s">
        <v>42</v>
      </c>
      <c r="AH360" s="22" t="s">
        <v>42</v>
      </c>
      <c r="AI360" s="22" t="s">
        <v>42</v>
      </c>
      <c r="AJ360" s="22" t="s">
        <v>42</v>
      </c>
      <c r="AK360" s="22" t="s">
        <v>42</v>
      </c>
      <c r="AL360" s="22" t="s">
        <v>42</v>
      </c>
      <c r="AM360" s="22">
        <f t="shared" si="14"/>
        <v>27</v>
      </c>
    </row>
    <row r="361" spans="1:39" hidden="1" x14ac:dyDescent="0.25">
      <c r="A361" s="20" t="s">
        <v>55</v>
      </c>
      <c r="B361" s="38" t="s">
        <v>795</v>
      </c>
      <c r="C361" s="20" t="s">
        <v>796</v>
      </c>
      <c r="D361" s="20" t="s">
        <v>15</v>
      </c>
      <c r="E361" s="20" t="s">
        <v>15</v>
      </c>
      <c r="F361" s="20" t="s">
        <v>63</v>
      </c>
      <c r="G361" s="39"/>
      <c r="H361" s="40"/>
      <c r="I361" s="33" t="s">
        <v>38</v>
      </c>
      <c r="J361" s="33"/>
      <c r="K361" s="33"/>
      <c r="L361" s="33" t="s">
        <v>38</v>
      </c>
      <c r="M361" s="33" t="s">
        <v>38</v>
      </c>
      <c r="N361" s="33"/>
      <c r="O361" s="33" t="s">
        <v>38</v>
      </c>
      <c r="P361" s="33" t="s">
        <v>38</v>
      </c>
      <c r="Q361" s="33" t="s">
        <v>38</v>
      </c>
      <c r="R361" s="33" t="s">
        <v>38</v>
      </c>
      <c r="S361" s="33" t="s">
        <v>38</v>
      </c>
      <c r="T361" s="33" t="s">
        <v>38</v>
      </c>
      <c r="U361" s="22"/>
      <c r="V361" s="33" t="s">
        <v>38</v>
      </c>
      <c r="W361" s="33" t="s">
        <v>38</v>
      </c>
      <c r="X361" s="33" t="s">
        <v>38</v>
      </c>
      <c r="Y361" s="33" t="s">
        <v>38</v>
      </c>
      <c r="Z361" s="33" t="s">
        <v>38</v>
      </c>
      <c r="AA361" s="33" t="s">
        <v>38</v>
      </c>
      <c r="AB361" s="33"/>
      <c r="AC361" s="33" t="s">
        <v>38</v>
      </c>
      <c r="AD361" s="33" t="s">
        <v>38</v>
      </c>
      <c r="AE361" s="33" t="s">
        <v>38</v>
      </c>
      <c r="AF361" s="33"/>
      <c r="AG361" s="33" t="s">
        <v>38</v>
      </c>
      <c r="AH361" s="33" t="s">
        <v>38</v>
      </c>
      <c r="AI361" s="33"/>
      <c r="AJ361" s="33" t="s">
        <v>38</v>
      </c>
      <c r="AK361" s="33" t="s">
        <v>38</v>
      </c>
      <c r="AL361" s="33" t="s">
        <v>38</v>
      </c>
      <c r="AM361" s="22">
        <f t="shared" si="14"/>
        <v>23</v>
      </c>
    </row>
    <row r="362" spans="1:39" hidden="1" x14ac:dyDescent="0.25">
      <c r="A362" s="20" t="s">
        <v>55</v>
      </c>
      <c r="B362" s="41" t="s">
        <v>797</v>
      </c>
      <c r="C362" s="41" t="s">
        <v>798</v>
      </c>
      <c r="D362" s="20" t="s">
        <v>21</v>
      </c>
      <c r="E362" s="20" t="s">
        <v>21</v>
      </c>
      <c r="F362" s="20" t="s">
        <v>58</v>
      </c>
      <c r="G362" s="39"/>
      <c r="H362" s="40"/>
      <c r="I362" s="22" t="s">
        <v>42</v>
      </c>
      <c r="L362" s="22" t="s">
        <v>42</v>
      </c>
      <c r="M362" s="22" t="s">
        <v>42</v>
      </c>
      <c r="N362" s="22" t="s">
        <v>42</v>
      </c>
      <c r="O362" s="22" t="s">
        <v>42</v>
      </c>
      <c r="P362" s="22" t="s">
        <v>42</v>
      </c>
      <c r="Q362" s="22" t="s">
        <v>42</v>
      </c>
      <c r="R362" s="22" t="s">
        <v>42</v>
      </c>
      <c r="S362" s="22" t="s">
        <v>42</v>
      </c>
      <c r="T362" s="22" t="s">
        <v>42</v>
      </c>
      <c r="U362" s="22"/>
      <c r="V362" s="22" t="s">
        <v>42</v>
      </c>
      <c r="W362" s="22" t="s">
        <v>42</v>
      </c>
      <c r="X362" s="22" t="s">
        <v>42</v>
      </c>
      <c r="Y362" s="22" t="s">
        <v>42</v>
      </c>
      <c r="Z362" s="22" t="s">
        <v>42</v>
      </c>
      <c r="AA362" s="22" t="s">
        <v>42</v>
      </c>
      <c r="AB362" s="22" t="s">
        <v>42</v>
      </c>
      <c r="AC362" s="22" t="s">
        <v>42</v>
      </c>
      <c r="AD362" s="22" t="s">
        <v>42</v>
      </c>
      <c r="AE362" s="22" t="s">
        <v>42</v>
      </c>
      <c r="AF362" s="22" t="s">
        <v>42</v>
      </c>
      <c r="AG362" s="22" t="s">
        <v>42</v>
      </c>
      <c r="AH362" s="22" t="s">
        <v>42</v>
      </c>
      <c r="AJ362" s="22" t="s">
        <v>42</v>
      </c>
      <c r="AK362" s="22" t="s">
        <v>42</v>
      </c>
      <c r="AL362" s="22" t="s">
        <v>42</v>
      </c>
      <c r="AM362" s="22">
        <f t="shared" si="14"/>
        <v>26</v>
      </c>
    </row>
    <row r="363" spans="1:39" hidden="1" x14ac:dyDescent="0.25">
      <c r="A363" s="20" t="s">
        <v>55</v>
      </c>
      <c r="B363" s="41" t="s">
        <v>799</v>
      </c>
      <c r="C363" s="41" t="s">
        <v>800</v>
      </c>
      <c r="D363" s="20" t="s">
        <v>21</v>
      </c>
      <c r="E363" s="20" t="s">
        <v>21</v>
      </c>
      <c r="F363" s="20" t="s">
        <v>58</v>
      </c>
      <c r="G363" s="39"/>
      <c r="H363" s="40"/>
      <c r="I363" s="22" t="s">
        <v>42</v>
      </c>
      <c r="L363" s="22" t="s">
        <v>42</v>
      </c>
      <c r="M363" s="22" t="s">
        <v>42</v>
      </c>
      <c r="O363" s="22" t="s">
        <v>42</v>
      </c>
      <c r="P363" s="22" t="s">
        <v>42</v>
      </c>
      <c r="Q363" s="22" t="s">
        <v>42</v>
      </c>
      <c r="R363" s="22" t="s">
        <v>42</v>
      </c>
      <c r="S363" s="22"/>
      <c r="T363" s="22"/>
      <c r="U363" s="22"/>
      <c r="W363" s="22"/>
      <c r="X363" s="22"/>
      <c r="Y363" s="22"/>
      <c r="Z363" s="22"/>
      <c r="AB363" s="22"/>
      <c r="AC363" s="22"/>
      <c r="AD363" s="22"/>
      <c r="AE363" s="22"/>
      <c r="AF363" s="22"/>
      <c r="AG363" s="22"/>
      <c r="AH363" s="22"/>
      <c r="AM363" s="22">
        <f t="shared" si="14"/>
        <v>7</v>
      </c>
    </row>
    <row r="364" spans="1:39" x14ac:dyDescent="0.25">
      <c r="A364" s="20" t="s">
        <v>55</v>
      </c>
      <c r="B364" s="41" t="s">
        <v>802</v>
      </c>
      <c r="C364" s="41" t="s">
        <v>803</v>
      </c>
      <c r="D364" s="20" t="s">
        <v>21</v>
      </c>
      <c r="E364" s="20" t="s">
        <v>21</v>
      </c>
      <c r="F364" s="20" t="s">
        <v>58</v>
      </c>
      <c r="G364" s="39"/>
      <c r="H364" s="40"/>
      <c r="I364" s="22" t="s">
        <v>42</v>
      </c>
      <c r="L364" s="22" t="s">
        <v>42</v>
      </c>
      <c r="M364" s="22" t="s">
        <v>42</v>
      </c>
      <c r="N364" s="22" t="s">
        <v>42</v>
      </c>
      <c r="O364" s="22" t="s">
        <v>42</v>
      </c>
      <c r="P364" s="22" t="s">
        <v>42</v>
      </c>
      <c r="Q364" s="22" t="s">
        <v>42</v>
      </c>
      <c r="R364" s="22" t="s">
        <v>42</v>
      </c>
      <c r="S364" s="22" t="s">
        <v>42</v>
      </c>
      <c r="T364" s="22" t="s">
        <v>42</v>
      </c>
      <c r="U364" s="22"/>
      <c r="V364" s="22" t="s">
        <v>42</v>
      </c>
      <c r="W364" s="22" t="s">
        <v>42</v>
      </c>
      <c r="X364" s="22" t="s">
        <v>42</v>
      </c>
      <c r="Y364" s="22" t="s">
        <v>42</v>
      </c>
      <c r="Z364" s="22" t="s">
        <v>42</v>
      </c>
      <c r="AA364" s="22" t="s">
        <v>42</v>
      </c>
      <c r="AB364" s="22" t="s">
        <v>42</v>
      </c>
      <c r="AC364" s="22" t="s">
        <v>42</v>
      </c>
      <c r="AD364" s="22" t="s">
        <v>42</v>
      </c>
      <c r="AE364" s="22" t="s">
        <v>42</v>
      </c>
      <c r="AF364" s="22" t="s">
        <v>42</v>
      </c>
      <c r="AG364" s="22" t="s">
        <v>42</v>
      </c>
      <c r="AH364" s="22" t="s">
        <v>42</v>
      </c>
      <c r="AI364" s="22" t="s">
        <v>42</v>
      </c>
      <c r="AJ364" s="22" t="s">
        <v>42</v>
      </c>
      <c r="AK364" s="22" t="s">
        <v>42</v>
      </c>
      <c r="AL364" s="22" t="s">
        <v>42</v>
      </c>
      <c r="AM364" s="22">
        <f t="shared" si="14"/>
        <v>27</v>
      </c>
    </row>
    <row r="365" spans="1:39" hidden="1" x14ac:dyDescent="0.25">
      <c r="A365" s="20" t="s">
        <v>55</v>
      </c>
      <c r="B365" s="41" t="s">
        <v>804</v>
      </c>
      <c r="C365" s="41" t="s">
        <v>105</v>
      </c>
      <c r="D365" s="20" t="s">
        <v>13</v>
      </c>
      <c r="E365" s="20" t="s">
        <v>13</v>
      </c>
      <c r="F365" s="20" t="s">
        <v>58</v>
      </c>
      <c r="G365" s="39"/>
      <c r="H365" s="40"/>
      <c r="I365" s="22" t="s">
        <v>42</v>
      </c>
      <c r="L365" s="22" t="s">
        <v>42</v>
      </c>
      <c r="M365" s="22" t="s">
        <v>42</v>
      </c>
      <c r="O365" s="22" t="s">
        <v>42</v>
      </c>
      <c r="P365" s="22" t="s">
        <v>42</v>
      </c>
      <c r="Q365" s="22" t="s">
        <v>42</v>
      </c>
      <c r="R365" s="22" t="s">
        <v>42</v>
      </c>
      <c r="S365" s="22" t="s">
        <v>42</v>
      </c>
      <c r="T365" s="22" t="s">
        <v>42</v>
      </c>
      <c r="U365" s="22"/>
      <c r="V365" s="22" t="s">
        <v>42</v>
      </c>
      <c r="W365" s="22" t="s">
        <v>42</v>
      </c>
      <c r="X365" s="22" t="s">
        <v>42</v>
      </c>
      <c r="Y365" s="22" t="s">
        <v>42</v>
      </c>
      <c r="Z365" s="22" t="s">
        <v>42</v>
      </c>
      <c r="AA365" s="22" t="s">
        <v>42</v>
      </c>
      <c r="AB365" s="22"/>
      <c r="AD365" s="22" t="s">
        <v>42</v>
      </c>
      <c r="AE365" s="22"/>
      <c r="AF365" s="22"/>
      <c r="AG365" s="22" t="s">
        <v>42</v>
      </c>
      <c r="AH365" s="22" t="s">
        <v>42</v>
      </c>
      <c r="AJ365" s="22" t="s">
        <v>42</v>
      </c>
      <c r="AK365" s="22" t="s">
        <v>42</v>
      </c>
      <c r="AL365" s="22" t="s">
        <v>42</v>
      </c>
      <c r="AM365" s="22">
        <f t="shared" si="14"/>
        <v>21</v>
      </c>
    </row>
    <row r="366" spans="1:39" hidden="1" x14ac:dyDescent="0.25">
      <c r="A366" s="20" t="s">
        <v>55</v>
      </c>
      <c r="B366" s="41" t="s">
        <v>805</v>
      </c>
      <c r="C366" s="41" t="s">
        <v>125</v>
      </c>
      <c r="D366" s="20" t="s">
        <v>22</v>
      </c>
      <c r="E366" s="20" t="s">
        <v>22</v>
      </c>
      <c r="F366" s="20" t="s">
        <v>58</v>
      </c>
      <c r="G366" s="39"/>
      <c r="H366" s="40"/>
      <c r="I366" s="22" t="s">
        <v>42</v>
      </c>
      <c r="M366" s="22" t="s">
        <v>42</v>
      </c>
      <c r="O366" s="22" t="s">
        <v>42</v>
      </c>
      <c r="P366" s="22" t="s">
        <v>42</v>
      </c>
      <c r="Q366" s="22" t="s">
        <v>42</v>
      </c>
      <c r="R366" s="22" t="s">
        <v>42</v>
      </c>
      <c r="S366" s="22" t="s">
        <v>42</v>
      </c>
      <c r="T366" s="22" t="s">
        <v>42</v>
      </c>
      <c r="U366" s="22"/>
      <c r="W366" s="22" t="s">
        <v>42</v>
      </c>
      <c r="X366" s="22" t="s">
        <v>42</v>
      </c>
      <c r="Y366" s="22"/>
      <c r="Z366" s="22" t="s">
        <v>42</v>
      </c>
      <c r="AA366" s="22" t="s">
        <v>42</v>
      </c>
      <c r="AB366" s="22"/>
      <c r="AC366" s="22" t="s">
        <v>42</v>
      </c>
      <c r="AD366" s="22" t="s">
        <v>42</v>
      </c>
      <c r="AE366" s="22" t="s">
        <v>42</v>
      </c>
      <c r="AF366" s="22" t="s">
        <v>42</v>
      </c>
      <c r="AG366" s="22" t="s">
        <v>42</v>
      </c>
      <c r="AH366" s="22" t="s">
        <v>42</v>
      </c>
      <c r="AJ366" s="22" t="s">
        <v>42</v>
      </c>
      <c r="AK366" s="22" t="s">
        <v>42</v>
      </c>
      <c r="AL366" s="22" t="s">
        <v>42</v>
      </c>
      <c r="AM366" s="22">
        <f t="shared" si="14"/>
        <v>21</v>
      </c>
    </row>
    <row r="367" spans="1:39" hidden="1" x14ac:dyDescent="0.25">
      <c r="A367" s="20" t="s">
        <v>55</v>
      </c>
      <c r="B367" s="41" t="s">
        <v>806</v>
      </c>
      <c r="C367" s="41" t="s">
        <v>102</v>
      </c>
      <c r="D367" s="20" t="s">
        <v>22</v>
      </c>
      <c r="E367" s="20" t="s">
        <v>22</v>
      </c>
      <c r="F367" s="20" t="s">
        <v>58</v>
      </c>
      <c r="G367" s="39"/>
      <c r="H367" s="40"/>
      <c r="I367" s="22" t="s">
        <v>42</v>
      </c>
      <c r="L367" s="22" t="s">
        <v>42</v>
      </c>
      <c r="M367" s="22" t="s">
        <v>42</v>
      </c>
      <c r="O367" s="22" t="s">
        <v>42</v>
      </c>
      <c r="P367" s="22" t="s">
        <v>42</v>
      </c>
      <c r="Q367" s="22" t="s">
        <v>42</v>
      </c>
      <c r="R367" s="22" t="s">
        <v>42</v>
      </c>
      <c r="S367" s="22" t="s">
        <v>42</v>
      </c>
      <c r="T367" s="22" t="s">
        <v>42</v>
      </c>
      <c r="U367" s="22"/>
      <c r="V367" s="22" t="s">
        <v>42</v>
      </c>
      <c r="W367" s="22" t="s">
        <v>42</v>
      </c>
      <c r="X367" s="22" t="s">
        <v>42</v>
      </c>
      <c r="Y367" s="22" t="s">
        <v>42</v>
      </c>
      <c r="Z367" s="22" t="s">
        <v>42</v>
      </c>
      <c r="AA367" s="22" t="s">
        <v>42</v>
      </c>
      <c r="AB367" s="22"/>
      <c r="AC367" s="22" t="s">
        <v>42</v>
      </c>
      <c r="AD367" s="22" t="s">
        <v>42</v>
      </c>
      <c r="AE367" s="22" t="s">
        <v>42</v>
      </c>
      <c r="AF367" s="22" t="s">
        <v>42</v>
      </c>
      <c r="AG367" s="22" t="s">
        <v>42</v>
      </c>
      <c r="AH367" s="22" t="s">
        <v>42</v>
      </c>
      <c r="AJ367" s="22" t="s">
        <v>42</v>
      </c>
      <c r="AK367" s="22" t="s">
        <v>42</v>
      </c>
      <c r="AL367" s="22" t="s">
        <v>42</v>
      </c>
      <c r="AM367" s="22">
        <f t="shared" si="14"/>
        <v>24</v>
      </c>
    </row>
    <row r="368" spans="1:39" hidden="1" x14ac:dyDescent="0.25">
      <c r="A368" s="20" t="s">
        <v>55</v>
      </c>
      <c r="B368" s="41" t="s">
        <v>807</v>
      </c>
      <c r="C368" s="41" t="s">
        <v>91</v>
      </c>
      <c r="D368" s="20" t="s">
        <v>22</v>
      </c>
      <c r="E368" s="20" t="s">
        <v>22</v>
      </c>
      <c r="F368" s="20" t="s">
        <v>58</v>
      </c>
      <c r="G368" s="39"/>
      <c r="H368" s="40"/>
      <c r="I368" s="22" t="s">
        <v>42</v>
      </c>
      <c r="L368" s="22" t="s">
        <v>42</v>
      </c>
      <c r="M368" s="22" t="s">
        <v>42</v>
      </c>
      <c r="O368" s="22" t="s">
        <v>42</v>
      </c>
      <c r="P368" s="22" t="s">
        <v>42</v>
      </c>
      <c r="Q368" s="22" t="s">
        <v>42</v>
      </c>
      <c r="R368" s="22" t="s">
        <v>42</v>
      </c>
      <c r="S368" s="22" t="s">
        <v>42</v>
      </c>
      <c r="T368" s="22" t="s">
        <v>42</v>
      </c>
      <c r="U368" s="22"/>
      <c r="V368" s="22" t="s">
        <v>42</v>
      </c>
      <c r="W368" s="22" t="s">
        <v>42</v>
      </c>
      <c r="X368" s="22" t="s">
        <v>42</v>
      </c>
      <c r="Y368" s="22" t="s">
        <v>42</v>
      </c>
      <c r="Z368" s="22" t="s">
        <v>42</v>
      </c>
      <c r="AA368" s="22" t="s">
        <v>42</v>
      </c>
      <c r="AB368" s="22"/>
      <c r="AC368" s="22" t="s">
        <v>42</v>
      </c>
      <c r="AD368" s="22" t="s">
        <v>42</v>
      </c>
      <c r="AE368" s="22" t="s">
        <v>42</v>
      </c>
      <c r="AF368" s="22" t="s">
        <v>42</v>
      </c>
      <c r="AG368" s="22" t="s">
        <v>42</v>
      </c>
      <c r="AH368" s="22"/>
      <c r="AJ368" s="22" t="s">
        <v>42</v>
      </c>
      <c r="AK368" s="22" t="s">
        <v>42</v>
      </c>
      <c r="AL368" s="22" t="s">
        <v>42</v>
      </c>
      <c r="AM368" s="22">
        <f t="shared" si="14"/>
        <v>23</v>
      </c>
    </row>
    <row r="369" spans="1:39" hidden="1" x14ac:dyDescent="0.25">
      <c r="A369" s="20" t="s">
        <v>55</v>
      </c>
      <c r="B369" s="41" t="s">
        <v>808</v>
      </c>
      <c r="C369" s="41" t="s">
        <v>90</v>
      </c>
      <c r="D369" s="20" t="s">
        <v>21</v>
      </c>
      <c r="E369" s="20" t="s">
        <v>21</v>
      </c>
      <c r="F369" s="20" t="s">
        <v>58</v>
      </c>
      <c r="G369" s="39"/>
      <c r="H369" s="40"/>
      <c r="I369" s="22" t="s">
        <v>42</v>
      </c>
      <c r="L369" s="22" t="s">
        <v>42</v>
      </c>
      <c r="M369" s="22" t="s">
        <v>42</v>
      </c>
      <c r="O369" s="22" t="s">
        <v>42</v>
      </c>
      <c r="P369" s="22" t="s">
        <v>42</v>
      </c>
      <c r="Q369" s="22" t="s">
        <v>42</v>
      </c>
      <c r="R369" s="22" t="s">
        <v>42</v>
      </c>
      <c r="S369" s="22" t="s">
        <v>42</v>
      </c>
      <c r="T369" s="22" t="s">
        <v>42</v>
      </c>
      <c r="U369" s="22"/>
      <c r="V369" s="22" t="s">
        <v>42</v>
      </c>
      <c r="W369" s="22" t="s">
        <v>42</v>
      </c>
      <c r="X369" s="22" t="s">
        <v>42</v>
      </c>
      <c r="Y369" s="22" t="s">
        <v>42</v>
      </c>
      <c r="Z369" s="22" t="s">
        <v>42</v>
      </c>
      <c r="AA369" s="22" t="s">
        <v>42</v>
      </c>
      <c r="AB369" s="22" t="s">
        <v>42</v>
      </c>
      <c r="AC369" s="22" t="s">
        <v>42</v>
      </c>
      <c r="AD369" s="22" t="s">
        <v>42</v>
      </c>
      <c r="AE369" s="22" t="s">
        <v>42</v>
      </c>
      <c r="AF369" s="22" t="s">
        <v>42</v>
      </c>
      <c r="AG369" s="22" t="s">
        <v>42</v>
      </c>
      <c r="AH369" s="22" t="s">
        <v>42</v>
      </c>
      <c r="AJ369" s="22" t="s">
        <v>42</v>
      </c>
      <c r="AK369" s="22" t="s">
        <v>42</v>
      </c>
      <c r="AL369" s="22" t="s">
        <v>42</v>
      </c>
      <c r="AM369" s="22">
        <f t="shared" si="14"/>
        <v>25</v>
      </c>
    </row>
    <row r="370" spans="1:39" hidden="1" x14ac:dyDescent="0.25">
      <c r="A370" s="20" t="s">
        <v>55</v>
      </c>
      <c r="B370" s="41" t="s">
        <v>809</v>
      </c>
      <c r="C370" s="42" t="s">
        <v>810</v>
      </c>
      <c r="D370" s="20" t="s">
        <v>7</v>
      </c>
      <c r="E370" s="20" t="s">
        <v>7</v>
      </c>
      <c r="F370" s="20" t="s">
        <v>63</v>
      </c>
      <c r="G370" s="39"/>
      <c r="H370" s="40"/>
      <c r="I370" s="33" t="s">
        <v>38</v>
      </c>
      <c r="L370" s="33" t="s">
        <v>38</v>
      </c>
      <c r="M370" s="33" t="s">
        <v>38</v>
      </c>
      <c r="N370" s="33"/>
      <c r="O370" s="33" t="s">
        <v>38</v>
      </c>
      <c r="P370" s="33" t="s">
        <v>38</v>
      </c>
      <c r="Q370" s="33" t="s">
        <v>38</v>
      </c>
      <c r="R370" s="33" t="s">
        <v>38</v>
      </c>
      <c r="S370" s="33" t="s">
        <v>38</v>
      </c>
      <c r="T370" s="33" t="s">
        <v>38</v>
      </c>
      <c r="U370" s="33"/>
      <c r="V370" s="33" t="s">
        <v>38</v>
      </c>
      <c r="W370" s="33" t="s">
        <v>38</v>
      </c>
      <c r="X370" s="33" t="s">
        <v>38</v>
      </c>
      <c r="Y370" s="33" t="s">
        <v>38</v>
      </c>
      <c r="Z370" s="33" t="s">
        <v>38</v>
      </c>
      <c r="AA370" s="33" t="s">
        <v>38</v>
      </c>
      <c r="AB370" s="33"/>
      <c r="AC370" s="33" t="s">
        <v>38</v>
      </c>
      <c r="AD370" s="33" t="s">
        <v>38</v>
      </c>
      <c r="AE370" s="33" t="s">
        <v>38</v>
      </c>
      <c r="AF370" s="33" t="s">
        <v>38</v>
      </c>
      <c r="AG370" s="33" t="s">
        <v>38</v>
      </c>
      <c r="AH370" s="33" t="s">
        <v>38</v>
      </c>
      <c r="AI370" s="33"/>
      <c r="AJ370" s="33" t="s">
        <v>38</v>
      </c>
      <c r="AK370" s="33" t="s">
        <v>38</v>
      </c>
      <c r="AL370" s="33" t="s">
        <v>38</v>
      </c>
      <c r="AM370" s="22">
        <f t="shared" si="14"/>
        <v>24</v>
      </c>
    </row>
    <row r="371" spans="1:39" hidden="1" x14ac:dyDescent="0.25">
      <c r="A371" s="20" t="s">
        <v>55</v>
      </c>
      <c r="B371" s="38" t="s">
        <v>811</v>
      </c>
      <c r="C371" s="42" t="s">
        <v>124</v>
      </c>
      <c r="D371" s="20" t="s">
        <v>21</v>
      </c>
      <c r="E371" s="20" t="s">
        <v>21</v>
      </c>
      <c r="F371" s="20" t="s">
        <v>58</v>
      </c>
      <c r="G371" s="39"/>
      <c r="H371" s="40"/>
      <c r="I371" s="22" t="s">
        <v>42</v>
      </c>
      <c r="M371" s="22" t="s">
        <v>42</v>
      </c>
      <c r="O371" s="22" t="s">
        <v>42</v>
      </c>
      <c r="P371" s="22" t="s">
        <v>42</v>
      </c>
      <c r="Q371" s="22" t="s">
        <v>42</v>
      </c>
      <c r="R371" s="22" t="s">
        <v>42</v>
      </c>
      <c r="S371" s="22" t="s">
        <v>42</v>
      </c>
      <c r="T371" s="22" t="s">
        <v>42</v>
      </c>
      <c r="U371" s="22"/>
      <c r="V371" s="22" t="s">
        <v>42</v>
      </c>
      <c r="W371" s="22" t="s">
        <v>42</v>
      </c>
      <c r="X371" s="22" t="s">
        <v>42</v>
      </c>
      <c r="Y371" s="22" t="s">
        <v>42</v>
      </c>
      <c r="Z371" s="22" t="s">
        <v>42</v>
      </c>
      <c r="AA371" s="22" t="s">
        <v>42</v>
      </c>
      <c r="AB371" s="22" t="s">
        <v>42</v>
      </c>
      <c r="AC371" s="22" t="s">
        <v>42</v>
      </c>
      <c r="AD371" s="22" t="s">
        <v>42</v>
      </c>
      <c r="AE371" s="22" t="s">
        <v>42</v>
      </c>
      <c r="AF371" s="22" t="s">
        <v>42</v>
      </c>
      <c r="AG371" s="22" t="s">
        <v>42</v>
      </c>
      <c r="AH371" s="22" t="s">
        <v>42</v>
      </c>
      <c r="AJ371" s="22" t="s">
        <v>42</v>
      </c>
      <c r="AK371" s="22" t="s">
        <v>42</v>
      </c>
      <c r="AL371" s="22" t="s">
        <v>42</v>
      </c>
      <c r="AM371" s="22">
        <f t="shared" si="14"/>
        <v>24</v>
      </c>
    </row>
    <row r="372" spans="1:39" hidden="1" x14ac:dyDescent="0.25">
      <c r="A372" s="20" t="s">
        <v>55</v>
      </c>
      <c r="B372" s="38" t="s">
        <v>812</v>
      </c>
      <c r="C372" s="42" t="s">
        <v>813</v>
      </c>
      <c r="D372" s="43" t="s">
        <v>11</v>
      </c>
      <c r="E372" s="43" t="s">
        <v>11</v>
      </c>
      <c r="F372" s="20" t="s">
        <v>58</v>
      </c>
      <c r="G372" s="39"/>
      <c r="H372" s="40"/>
      <c r="I372" s="22" t="s">
        <v>42</v>
      </c>
      <c r="L372" s="22" t="s">
        <v>42</v>
      </c>
      <c r="M372" s="22" t="s">
        <v>42</v>
      </c>
      <c r="O372" s="22" t="s">
        <v>42</v>
      </c>
      <c r="R372" s="22"/>
      <c r="S372" s="22" t="s">
        <v>42</v>
      </c>
      <c r="T372" s="22" t="s">
        <v>42</v>
      </c>
      <c r="U372" s="22"/>
      <c r="V372" s="22" t="s">
        <v>42</v>
      </c>
      <c r="W372" s="22"/>
      <c r="X372" s="22" t="s">
        <v>42</v>
      </c>
      <c r="Y372" s="22" t="s">
        <v>42</v>
      </c>
      <c r="Z372" s="22" t="s">
        <v>42</v>
      </c>
      <c r="AA372" s="22" t="s">
        <v>42</v>
      </c>
      <c r="AB372" s="22"/>
      <c r="AC372" s="22" t="s">
        <v>42</v>
      </c>
      <c r="AD372" s="22" t="s">
        <v>42</v>
      </c>
      <c r="AE372" s="22" t="s">
        <v>42</v>
      </c>
      <c r="AF372" s="22" t="s">
        <v>42</v>
      </c>
      <c r="AG372" s="22" t="s">
        <v>42</v>
      </c>
      <c r="AH372" s="22" t="s">
        <v>42</v>
      </c>
      <c r="AJ372" s="22" t="s">
        <v>42</v>
      </c>
      <c r="AK372" s="22" t="s">
        <v>42</v>
      </c>
      <c r="AL372" s="22" t="s">
        <v>42</v>
      </c>
      <c r="AM372" s="22">
        <f t="shared" si="14"/>
        <v>20</v>
      </c>
    </row>
    <row r="373" spans="1:39" hidden="1" x14ac:dyDescent="0.25">
      <c r="A373" s="20" t="s">
        <v>55</v>
      </c>
      <c r="B373" s="38" t="s">
        <v>814</v>
      </c>
      <c r="C373" s="42" t="s">
        <v>815</v>
      </c>
      <c r="D373" s="20" t="s">
        <v>14</v>
      </c>
      <c r="E373" s="20" t="s">
        <v>14</v>
      </c>
      <c r="F373" s="20" t="s">
        <v>58</v>
      </c>
      <c r="G373" s="39"/>
      <c r="H373" s="40"/>
      <c r="I373" s="22" t="s">
        <v>42</v>
      </c>
      <c r="M373" s="22" t="s">
        <v>42</v>
      </c>
      <c r="P373" s="22" t="s">
        <v>42</v>
      </c>
      <c r="Q373" s="22" t="s">
        <v>42</v>
      </c>
      <c r="R373" s="22" t="s">
        <v>42</v>
      </c>
      <c r="S373" s="22" t="s">
        <v>42</v>
      </c>
      <c r="T373" s="22" t="s">
        <v>42</v>
      </c>
      <c r="W373" s="22" t="s">
        <v>42</v>
      </c>
      <c r="X373" s="22" t="s">
        <v>42</v>
      </c>
      <c r="Y373" s="22" t="s">
        <v>42</v>
      </c>
      <c r="Z373" s="22" t="s">
        <v>42</v>
      </c>
      <c r="AA373" s="22" t="s">
        <v>42</v>
      </c>
      <c r="AB373" s="22"/>
      <c r="AC373" s="22" t="s">
        <v>42</v>
      </c>
      <c r="AD373" s="22" t="s">
        <v>42</v>
      </c>
      <c r="AE373" s="22" t="s">
        <v>42</v>
      </c>
      <c r="AF373" s="22" t="s">
        <v>42</v>
      </c>
      <c r="AG373" s="22" t="s">
        <v>42</v>
      </c>
      <c r="AK373" s="22" t="s">
        <v>42</v>
      </c>
      <c r="AM373" s="22">
        <f t="shared" si="14"/>
        <v>18</v>
      </c>
    </row>
    <row r="374" spans="1:39" hidden="1" x14ac:dyDescent="0.25">
      <c r="A374" s="20" t="s">
        <v>55</v>
      </c>
      <c r="B374" s="38" t="s">
        <v>816</v>
      </c>
      <c r="C374" s="42" t="s">
        <v>817</v>
      </c>
      <c r="D374" s="20" t="s">
        <v>28</v>
      </c>
      <c r="E374" s="20" t="s">
        <v>28</v>
      </c>
      <c r="F374" s="20" t="s">
        <v>58</v>
      </c>
      <c r="G374" s="39"/>
      <c r="H374" s="40"/>
      <c r="I374" s="22" t="s">
        <v>42</v>
      </c>
      <c r="L374" s="22" t="s">
        <v>42</v>
      </c>
      <c r="M374" s="22" t="s">
        <v>42</v>
      </c>
      <c r="O374" s="22" t="s">
        <v>42</v>
      </c>
      <c r="P374" s="22" t="s">
        <v>42</v>
      </c>
      <c r="Q374" s="22" t="s">
        <v>42</v>
      </c>
      <c r="R374" s="22" t="s">
        <v>42</v>
      </c>
      <c r="S374" s="22" t="s">
        <v>42</v>
      </c>
      <c r="T374" s="22" t="s">
        <v>42</v>
      </c>
      <c r="U374" s="22"/>
      <c r="V374" s="22" t="s">
        <v>42</v>
      </c>
      <c r="W374" s="22" t="s">
        <v>42</v>
      </c>
      <c r="X374" s="22" t="s">
        <v>42</v>
      </c>
      <c r="Y374" s="22" t="s">
        <v>42</v>
      </c>
      <c r="Z374" s="22" t="s">
        <v>42</v>
      </c>
      <c r="AA374" s="22"/>
      <c r="AB374" s="22"/>
      <c r="AC374" s="22" t="s">
        <v>42</v>
      </c>
      <c r="AD374" s="22" t="s">
        <v>42</v>
      </c>
      <c r="AE374" s="22" t="s">
        <v>42</v>
      </c>
      <c r="AF374" s="22" t="s">
        <v>42</v>
      </c>
      <c r="AG374" s="22" t="s">
        <v>42</v>
      </c>
      <c r="AH374" s="22" t="s">
        <v>42</v>
      </c>
      <c r="AJ374" s="22" t="s">
        <v>42</v>
      </c>
      <c r="AK374" s="22" t="s">
        <v>42</v>
      </c>
      <c r="AL374" s="22" t="s">
        <v>42</v>
      </c>
      <c r="AM374" s="22">
        <f t="shared" si="14"/>
        <v>23</v>
      </c>
    </row>
    <row r="375" spans="1:39" hidden="1" x14ac:dyDescent="0.25">
      <c r="A375" s="20" t="s">
        <v>55</v>
      </c>
      <c r="B375" s="38" t="s">
        <v>818</v>
      </c>
      <c r="C375" s="42" t="s">
        <v>819</v>
      </c>
      <c r="D375" s="20" t="s">
        <v>28</v>
      </c>
      <c r="E375" s="20" t="s">
        <v>28</v>
      </c>
      <c r="F375" s="20" t="s">
        <v>58</v>
      </c>
      <c r="G375" s="39"/>
      <c r="H375" s="40"/>
      <c r="I375" s="22" t="s">
        <v>42</v>
      </c>
      <c r="L375" s="22" t="s">
        <v>42</v>
      </c>
      <c r="M375" s="22" t="s">
        <v>42</v>
      </c>
      <c r="O375" s="22" t="s">
        <v>42</v>
      </c>
      <c r="P375" s="22" t="s">
        <v>42</v>
      </c>
      <c r="Q375" s="22" t="s">
        <v>42</v>
      </c>
      <c r="R375" s="22"/>
      <c r="S375" s="22" t="s">
        <v>42</v>
      </c>
      <c r="T375" s="22" t="s">
        <v>42</v>
      </c>
      <c r="U375" s="22"/>
      <c r="V375" s="22" t="s">
        <v>42</v>
      </c>
      <c r="W375" s="22"/>
      <c r="X375" s="22" t="s">
        <v>42</v>
      </c>
      <c r="Y375" s="22"/>
      <c r="Z375" s="22"/>
      <c r="AA375" s="22"/>
      <c r="AB375" s="22"/>
      <c r="AD375" s="22"/>
      <c r="AE375" s="22"/>
      <c r="AF375" s="22"/>
      <c r="AG375" s="22"/>
      <c r="AH375" s="22"/>
      <c r="AM375" s="22">
        <f t="shared" si="14"/>
        <v>10</v>
      </c>
    </row>
    <row r="376" spans="1:39" hidden="1" x14ac:dyDescent="0.25">
      <c r="A376" s="20" t="s">
        <v>55</v>
      </c>
      <c r="B376" s="38" t="s">
        <v>820</v>
      </c>
      <c r="C376" s="42" t="s">
        <v>821</v>
      </c>
      <c r="D376" s="43" t="s">
        <v>11</v>
      </c>
      <c r="E376" s="43" t="s">
        <v>11</v>
      </c>
      <c r="F376" s="20" t="s">
        <v>58</v>
      </c>
      <c r="G376" s="39"/>
      <c r="H376" s="40"/>
      <c r="I376" s="22" t="s">
        <v>42</v>
      </c>
      <c r="L376" s="22" t="s">
        <v>42</v>
      </c>
      <c r="M376" s="22" t="s">
        <v>42</v>
      </c>
      <c r="O376" s="22" t="s">
        <v>42</v>
      </c>
      <c r="P376" s="22" t="s">
        <v>42</v>
      </c>
      <c r="Q376" s="22" t="s">
        <v>42</v>
      </c>
      <c r="R376" s="22" t="s">
        <v>42</v>
      </c>
      <c r="S376" s="22"/>
      <c r="T376" s="22"/>
      <c r="U376" s="22"/>
      <c r="V376" s="22" t="s">
        <v>42</v>
      </c>
      <c r="W376" s="22" t="s">
        <v>42</v>
      </c>
      <c r="X376" s="22" t="s">
        <v>42</v>
      </c>
      <c r="Y376" s="22" t="s">
        <v>42</v>
      </c>
      <c r="Z376" s="22" t="s">
        <v>42</v>
      </c>
      <c r="AA376" s="22" t="s">
        <v>42</v>
      </c>
      <c r="AB376" s="22"/>
      <c r="AC376" s="22" t="s">
        <v>42</v>
      </c>
      <c r="AD376" s="22" t="s">
        <v>42</v>
      </c>
      <c r="AE376" s="22" t="s">
        <v>42</v>
      </c>
      <c r="AF376" s="22" t="s">
        <v>42</v>
      </c>
      <c r="AG376" s="22" t="s">
        <v>42</v>
      </c>
      <c r="AH376" s="22" t="s">
        <v>42</v>
      </c>
      <c r="AK376" s="22" t="s">
        <v>42</v>
      </c>
      <c r="AL376" s="22" t="s">
        <v>42</v>
      </c>
      <c r="AM376" s="22">
        <f t="shared" si="14"/>
        <v>21</v>
      </c>
    </row>
    <row r="377" spans="1:39" hidden="1" x14ac:dyDescent="0.25">
      <c r="A377" s="20" t="s">
        <v>786</v>
      </c>
      <c r="B377" s="38" t="s">
        <v>822</v>
      </c>
      <c r="C377" s="42" t="s">
        <v>823</v>
      </c>
      <c r="D377" s="20" t="s">
        <v>10</v>
      </c>
      <c r="E377" s="20" t="s">
        <v>10</v>
      </c>
      <c r="F377" s="20" t="s">
        <v>58</v>
      </c>
      <c r="G377" s="39"/>
      <c r="H377" s="40"/>
      <c r="I377" s="31" t="s">
        <v>147</v>
      </c>
      <c r="L377" s="29" t="s">
        <v>147</v>
      </c>
      <c r="M377" s="31" t="s">
        <v>147</v>
      </c>
      <c r="O377" s="29" t="s">
        <v>147</v>
      </c>
      <c r="P377" s="29" t="s">
        <v>147</v>
      </c>
      <c r="Q377" s="31" t="s">
        <v>147</v>
      </c>
      <c r="R377" s="31" t="s">
        <v>147</v>
      </c>
      <c r="S377" s="31" t="s">
        <v>147</v>
      </c>
      <c r="T377" s="31" t="s">
        <v>147</v>
      </c>
      <c r="U377" s="22"/>
      <c r="V377" s="22" t="s">
        <v>147</v>
      </c>
      <c r="W377" s="31" t="s">
        <v>147</v>
      </c>
      <c r="X377" s="31" t="s">
        <v>147</v>
      </c>
      <c r="Y377" s="31" t="s">
        <v>147</v>
      </c>
      <c r="Z377" s="31" t="s">
        <v>147</v>
      </c>
      <c r="AA377" s="31" t="s">
        <v>147</v>
      </c>
      <c r="AB377" s="22"/>
      <c r="AC377" s="22" t="s">
        <v>147</v>
      </c>
      <c r="AD377" s="31" t="s">
        <v>147</v>
      </c>
      <c r="AE377" s="31" t="s">
        <v>147</v>
      </c>
      <c r="AF377" s="22" t="s">
        <v>42</v>
      </c>
      <c r="AG377" s="31" t="s">
        <v>147</v>
      </c>
      <c r="AH377" s="31" t="s">
        <v>147</v>
      </c>
      <c r="AJ377" s="31" t="s">
        <v>147</v>
      </c>
      <c r="AK377" s="22" t="s">
        <v>42</v>
      </c>
      <c r="AL377" s="31" t="s">
        <v>147</v>
      </c>
      <c r="AM377" s="22">
        <f t="shared" si="14"/>
        <v>2</v>
      </c>
    </row>
    <row r="378" spans="1:39" hidden="1" x14ac:dyDescent="0.25">
      <c r="A378" s="20" t="s">
        <v>55</v>
      </c>
      <c r="B378" s="41"/>
      <c r="C378" s="41" t="s">
        <v>824</v>
      </c>
      <c r="D378" s="20" t="s">
        <v>21</v>
      </c>
      <c r="E378" s="20" t="s">
        <v>21</v>
      </c>
      <c r="F378" s="20" t="s">
        <v>58</v>
      </c>
      <c r="G378" s="39"/>
      <c r="H378" s="40"/>
      <c r="R378" s="22"/>
      <c r="T378" s="22"/>
      <c r="U378" s="22"/>
      <c r="AM378" s="22">
        <f t="shared" si="14"/>
        <v>0</v>
      </c>
    </row>
    <row r="379" spans="1:39" hidden="1" x14ac:dyDescent="0.25">
      <c r="A379" s="20" t="s">
        <v>55</v>
      </c>
      <c r="B379" s="41" t="s">
        <v>825</v>
      </c>
      <c r="C379" s="41" t="s">
        <v>826</v>
      </c>
      <c r="D379" s="20" t="s">
        <v>11</v>
      </c>
      <c r="E379" s="20" t="s">
        <v>11</v>
      </c>
      <c r="F379" s="20" t="s">
        <v>58</v>
      </c>
      <c r="G379" s="39"/>
      <c r="H379" s="40"/>
      <c r="I379" s="22" t="s">
        <v>42</v>
      </c>
      <c r="L379" s="22" t="s">
        <v>42</v>
      </c>
      <c r="M379" s="22" t="s">
        <v>42</v>
      </c>
      <c r="O379" s="22" t="s">
        <v>42</v>
      </c>
      <c r="R379" s="22"/>
      <c r="S379" s="22" t="s">
        <v>42</v>
      </c>
      <c r="T379" s="22" t="s">
        <v>42</v>
      </c>
      <c r="U379" s="22"/>
      <c r="V379" s="22" t="s">
        <v>42</v>
      </c>
      <c r="W379" s="22" t="s">
        <v>42</v>
      </c>
      <c r="X379" s="22" t="s">
        <v>42</v>
      </c>
      <c r="Y379" s="22" t="s">
        <v>42</v>
      </c>
      <c r="Z379" s="22" t="s">
        <v>42</v>
      </c>
      <c r="AA379" s="22" t="s">
        <v>42</v>
      </c>
      <c r="AB379" s="22"/>
      <c r="AC379" s="22" t="s">
        <v>42</v>
      </c>
      <c r="AD379" s="22" t="s">
        <v>42</v>
      </c>
      <c r="AE379" s="22" t="s">
        <v>42</v>
      </c>
      <c r="AF379" s="22" t="s">
        <v>42</v>
      </c>
      <c r="AG379" s="22" t="s">
        <v>42</v>
      </c>
      <c r="AH379" s="22" t="s">
        <v>42</v>
      </c>
      <c r="AJ379" s="22" t="s">
        <v>42</v>
      </c>
      <c r="AK379" s="22" t="s">
        <v>42</v>
      </c>
      <c r="AL379" s="22" t="s">
        <v>42</v>
      </c>
      <c r="AM379" s="22">
        <f t="shared" si="14"/>
        <v>21</v>
      </c>
    </row>
    <row r="380" spans="1:39" hidden="1" x14ac:dyDescent="0.25">
      <c r="A380" s="20" t="s">
        <v>786</v>
      </c>
      <c r="B380" s="38" t="s">
        <v>831</v>
      </c>
      <c r="C380" s="42" t="s">
        <v>832</v>
      </c>
      <c r="D380" s="20" t="s">
        <v>10</v>
      </c>
      <c r="E380" s="20" t="s">
        <v>10</v>
      </c>
      <c r="F380" s="20" t="s">
        <v>58</v>
      </c>
      <c r="G380" s="39"/>
      <c r="H380" s="40"/>
      <c r="I380" s="22" t="s">
        <v>42</v>
      </c>
      <c r="L380" s="22" t="s">
        <v>42</v>
      </c>
      <c r="M380" s="22" t="s">
        <v>42</v>
      </c>
      <c r="O380" s="22" t="s">
        <v>42</v>
      </c>
      <c r="P380" s="22" t="s">
        <v>42</v>
      </c>
      <c r="Q380" s="22" t="s">
        <v>42</v>
      </c>
      <c r="R380" s="22" t="s">
        <v>42</v>
      </c>
      <c r="S380" s="22" t="s">
        <v>42</v>
      </c>
      <c r="T380" s="22" t="s">
        <v>42</v>
      </c>
      <c r="U380" s="22"/>
      <c r="V380" s="22" t="s">
        <v>147</v>
      </c>
      <c r="W380" s="31" t="s">
        <v>147</v>
      </c>
      <c r="X380" s="31" t="s">
        <v>147</v>
      </c>
      <c r="Y380" s="31" t="s">
        <v>147</v>
      </c>
      <c r="Z380" s="31" t="s">
        <v>147</v>
      </c>
      <c r="AA380" s="31" t="s">
        <v>147</v>
      </c>
      <c r="AB380" s="22"/>
      <c r="AC380" s="22" t="s">
        <v>147</v>
      </c>
      <c r="AD380" s="31" t="s">
        <v>147</v>
      </c>
      <c r="AE380" s="31" t="s">
        <v>147</v>
      </c>
      <c r="AF380" s="22" t="s">
        <v>42</v>
      </c>
      <c r="AG380" s="31" t="s">
        <v>147</v>
      </c>
      <c r="AH380" s="31" t="s">
        <v>147</v>
      </c>
      <c r="AJ380" s="31" t="s">
        <v>147</v>
      </c>
      <c r="AK380" s="22" t="s">
        <v>42</v>
      </c>
      <c r="AL380" s="31" t="s">
        <v>147</v>
      </c>
      <c r="AM380" s="22">
        <f t="shared" si="14"/>
        <v>11</v>
      </c>
    </row>
    <row r="381" spans="1:39" hidden="1" x14ac:dyDescent="0.25">
      <c r="A381" s="20" t="s">
        <v>55</v>
      </c>
      <c r="B381" s="38" t="s">
        <v>833</v>
      </c>
      <c r="C381" s="42" t="s">
        <v>834</v>
      </c>
      <c r="D381" s="42" t="s">
        <v>21</v>
      </c>
      <c r="E381" s="42" t="s">
        <v>21</v>
      </c>
      <c r="F381" s="20" t="s">
        <v>58</v>
      </c>
      <c r="G381" s="39"/>
      <c r="H381" s="40"/>
      <c r="I381" s="22" t="s">
        <v>42</v>
      </c>
      <c r="L381" s="22" t="s">
        <v>42</v>
      </c>
      <c r="M381" s="22" t="s">
        <v>42</v>
      </c>
      <c r="O381" s="22" t="s">
        <v>42</v>
      </c>
      <c r="P381" s="22" t="s">
        <v>42</v>
      </c>
      <c r="Q381" s="22" t="s">
        <v>42</v>
      </c>
      <c r="R381" s="22" t="s">
        <v>42</v>
      </c>
      <c r="S381" s="22"/>
      <c r="T381" s="22"/>
      <c r="U381" s="22"/>
      <c r="W381" s="22"/>
      <c r="X381" s="22"/>
      <c r="Y381" s="22"/>
      <c r="Z381" s="22"/>
      <c r="AA381" s="22"/>
      <c r="AB381" s="22"/>
      <c r="AD381" s="22"/>
      <c r="AE381" s="22"/>
      <c r="AF381" s="22"/>
      <c r="AG381" s="22"/>
      <c r="AH381" s="22"/>
      <c r="AM381" s="22">
        <f t="shared" si="14"/>
        <v>7</v>
      </c>
    </row>
    <row r="382" spans="1:39" hidden="1" x14ac:dyDescent="0.25">
      <c r="A382" s="20" t="s">
        <v>55</v>
      </c>
      <c r="B382" s="38" t="s">
        <v>835</v>
      </c>
      <c r="C382" s="42" t="s">
        <v>836</v>
      </c>
      <c r="D382" s="42" t="s">
        <v>11</v>
      </c>
      <c r="E382" s="42" t="s">
        <v>11</v>
      </c>
      <c r="F382" s="20" t="s">
        <v>58</v>
      </c>
      <c r="G382" s="39"/>
      <c r="H382" s="40"/>
      <c r="I382" s="22" t="s">
        <v>42</v>
      </c>
      <c r="L382" s="22" t="s">
        <v>42</v>
      </c>
      <c r="M382" s="22" t="s">
        <v>42</v>
      </c>
      <c r="O382" s="22" t="s">
        <v>42</v>
      </c>
      <c r="P382" s="22" t="s">
        <v>42</v>
      </c>
      <c r="Q382" s="22" t="s">
        <v>42</v>
      </c>
      <c r="R382" s="22" t="s">
        <v>42</v>
      </c>
      <c r="S382" s="22" t="s">
        <v>42</v>
      </c>
      <c r="T382" s="22" t="s">
        <v>42</v>
      </c>
      <c r="W382" s="22" t="s">
        <v>42</v>
      </c>
      <c r="X382" s="22" t="s">
        <v>42</v>
      </c>
      <c r="Y382" s="22" t="s">
        <v>42</v>
      </c>
      <c r="Z382" s="22" t="s">
        <v>42</v>
      </c>
      <c r="AA382" s="22" t="s">
        <v>42</v>
      </c>
      <c r="AB382" s="22" t="s">
        <v>42</v>
      </c>
      <c r="AC382" s="22" t="s">
        <v>42</v>
      </c>
      <c r="AD382" s="22"/>
      <c r="AE382" s="22"/>
      <c r="AF382" s="22"/>
      <c r="AG382" s="22"/>
      <c r="AH382" s="22"/>
      <c r="AM382" s="22">
        <f t="shared" si="14"/>
        <v>16</v>
      </c>
    </row>
    <row r="383" spans="1:39" hidden="1" x14ac:dyDescent="0.25">
      <c r="A383" s="20" t="s">
        <v>55</v>
      </c>
      <c r="B383" s="38" t="s">
        <v>837</v>
      </c>
      <c r="C383" s="42" t="s">
        <v>838</v>
      </c>
      <c r="D383" s="42" t="s">
        <v>11</v>
      </c>
      <c r="E383" s="42" t="s">
        <v>11</v>
      </c>
      <c r="F383" s="20" t="s">
        <v>58</v>
      </c>
      <c r="G383" s="39"/>
      <c r="H383" s="40"/>
      <c r="I383" s="22" t="s">
        <v>42</v>
      </c>
      <c r="M383" s="22" t="s">
        <v>42</v>
      </c>
      <c r="O383" s="22" t="s">
        <v>42</v>
      </c>
      <c r="P383" s="22" t="s">
        <v>42</v>
      </c>
      <c r="Q383" s="22" t="s">
        <v>42</v>
      </c>
      <c r="R383" s="22" t="s">
        <v>42</v>
      </c>
      <c r="S383" s="22"/>
      <c r="T383" s="22"/>
      <c r="U383" s="22"/>
      <c r="V383" s="22" t="s">
        <v>42</v>
      </c>
      <c r="W383" s="22" t="s">
        <v>42</v>
      </c>
      <c r="X383" s="22" t="s">
        <v>42</v>
      </c>
      <c r="Y383" s="22" t="s">
        <v>42</v>
      </c>
      <c r="Z383" s="22" t="s">
        <v>42</v>
      </c>
      <c r="AA383" s="22" t="s">
        <v>42</v>
      </c>
      <c r="AB383" s="22"/>
      <c r="AC383" s="22" t="s">
        <v>42</v>
      </c>
      <c r="AD383" s="22" t="s">
        <v>42</v>
      </c>
      <c r="AE383" s="22" t="s">
        <v>42</v>
      </c>
      <c r="AF383" s="22" t="s">
        <v>42</v>
      </c>
      <c r="AG383" s="22" t="s">
        <v>42</v>
      </c>
      <c r="AH383" s="22" t="s">
        <v>42</v>
      </c>
      <c r="AL383" s="22" t="s">
        <v>42</v>
      </c>
      <c r="AM383" s="22">
        <f t="shared" si="14"/>
        <v>19</v>
      </c>
    </row>
    <row r="384" spans="1:39" hidden="1" x14ac:dyDescent="0.25">
      <c r="A384" s="20" t="s">
        <v>55</v>
      </c>
      <c r="B384" s="38" t="s">
        <v>839</v>
      </c>
      <c r="C384" s="42" t="s">
        <v>840</v>
      </c>
      <c r="D384" s="42" t="s">
        <v>11</v>
      </c>
      <c r="E384" s="42" t="s">
        <v>11</v>
      </c>
      <c r="F384" s="20" t="s">
        <v>58</v>
      </c>
      <c r="G384" s="39"/>
      <c r="H384" s="40"/>
      <c r="I384" s="22" t="s">
        <v>42</v>
      </c>
      <c r="L384" s="22" t="s">
        <v>42</v>
      </c>
      <c r="M384" s="22" t="s">
        <v>42</v>
      </c>
      <c r="O384" s="22" t="s">
        <v>42</v>
      </c>
      <c r="P384" s="22" t="s">
        <v>42</v>
      </c>
      <c r="Q384" s="22" t="s">
        <v>42</v>
      </c>
      <c r="R384" s="22" t="s">
        <v>42</v>
      </c>
      <c r="S384" s="22"/>
      <c r="T384" s="22"/>
      <c r="V384" s="22" t="s">
        <v>42</v>
      </c>
      <c r="W384" s="22" t="s">
        <v>42</v>
      </c>
      <c r="X384" s="22" t="s">
        <v>42</v>
      </c>
      <c r="Y384" s="22" t="s">
        <v>42</v>
      </c>
      <c r="Z384" s="22" t="s">
        <v>42</v>
      </c>
      <c r="AA384" s="22" t="s">
        <v>42</v>
      </c>
      <c r="AB384" s="22"/>
      <c r="AC384" s="22" t="s">
        <v>42</v>
      </c>
      <c r="AD384" s="22" t="s">
        <v>42</v>
      </c>
      <c r="AE384" s="22" t="s">
        <v>42</v>
      </c>
      <c r="AF384" s="22" t="s">
        <v>42</v>
      </c>
      <c r="AG384" s="22" t="s">
        <v>42</v>
      </c>
      <c r="AH384" s="22" t="s">
        <v>42</v>
      </c>
      <c r="AJ384" s="22" t="s">
        <v>42</v>
      </c>
      <c r="AK384" s="22" t="s">
        <v>42</v>
      </c>
      <c r="AL384" s="22" t="s">
        <v>42</v>
      </c>
      <c r="AM384" s="22">
        <f t="shared" si="14"/>
        <v>22</v>
      </c>
    </row>
    <row r="385" spans="1:39 16351:16373" hidden="1" x14ac:dyDescent="0.25">
      <c r="A385" s="20" t="s">
        <v>55</v>
      </c>
      <c r="B385" s="38" t="s">
        <v>841</v>
      </c>
      <c r="C385" s="42" t="s">
        <v>842</v>
      </c>
      <c r="D385" s="42" t="s">
        <v>11</v>
      </c>
      <c r="E385" s="42" t="s">
        <v>11</v>
      </c>
      <c r="F385" s="20" t="s">
        <v>58</v>
      </c>
      <c r="G385" s="39"/>
      <c r="H385" s="40"/>
      <c r="I385" s="22" t="s">
        <v>42</v>
      </c>
      <c r="L385" s="22" t="s">
        <v>42</v>
      </c>
      <c r="M385" s="22" t="s">
        <v>42</v>
      </c>
      <c r="O385" s="22" t="s">
        <v>42</v>
      </c>
      <c r="P385" s="22" t="s">
        <v>42</v>
      </c>
      <c r="Q385" s="22" t="s">
        <v>42</v>
      </c>
      <c r="R385" s="22" t="s">
        <v>42</v>
      </c>
      <c r="S385" s="22"/>
      <c r="T385" s="22"/>
      <c r="V385" s="22" t="s">
        <v>42</v>
      </c>
      <c r="W385" s="22" t="s">
        <v>42</v>
      </c>
      <c r="X385" s="22" t="s">
        <v>42</v>
      </c>
      <c r="Y385" s="22" t="s">
        <v>42</v>
      </c>
      <c r="Z385" s="22" t="s">
        <v>42</v>
      </c>
      <c r="AA385" s="22" t="s">
        <v>42</v>
      </c>
      <c r="AB385" s="22"/>
      <c r="AC385" s="22" t="s">
        <v>42</v>
      </c>
      <c r="AD385" s="22" t="s">
        <v>42</v>
      </c>
      <c r="AE385" s="22" t="s">
        <v>42</v>
      </c>
      <c r="AF385" s="22" t="s">
        <v>42</v>
      </c>
      <c r="AG385" s="22" t="s">
        <v>42</v>
      </c>
      <c r="AH385" s="22" t="s">
        <v>42</v>
      </c>
      <c r="AJ385" s="22" t="s">
        <v>42</v>
      </c>
      <c r="AK385" s="22" t="s">
        <v>42</v>
      </c>
      <c r="AL385" s="22" t="s">
        <v>42</v>
      </c>
      <c r="AM385" s="22">
        <f t="shared" si="14"/>
        <v>22</v>
      </c>
    </row>
    <row r="386" spans="1:39 16351:16373" hidden="1" x14ac:dyDescent="0.25">
      <c r="A386" s="20" t="s">
        <v>55</v>
      </c>
      <c r="B386" s="38" t="s">
        <v>843</v>
      </c>
      <c r="C386" s="42" t="s">
        <v>844</v>
      </c>
      <c r="D386" s="42" t="s">
        <v>11</v>
      </c>
      <c r="E386" s="42" t="s">
        <v>11</v>
      </c>
      <c r="F386" s="20" t="s">
        <v>58</v>
      </c>
      <c r="G386" s="39"/>
      <c r="H386" s="40"/>
      <c r="I386" s="22" t="s">
        <v>42</v>
      </c>
      <c r="L386" s="22" t="s">
        <v>42</v>
      </c>
      <c r="M386" s="22" t="s">
        <v>42</v>
      </c>
      <c r="O386" s="22" t="s">
        <v>42</v>
      </c>
      <c r="S386" s="22" t="s">
        <v>42</v>
      </c>
      <c r="T386" s="22" t="s">
        <v>42</v>
      </c>
      <c r="V386" s="22" t="s">
        <v>42</v>
      </c>
      <c r="W386" s="22" t="s">
        <v>42</v>
      </c>
      <c r="X386" s="22" t="s">
        <v>42</v>
      </c>
      <c r="Y386" s="22" t="s">
        <v>42</v>
      </c>
      <c r="Z386" s="22" t="s">
        <v>42</v>
      </c>
      <c r="AA386" s="22" t="s">
        <v>42</v>
      </c>
      <c r="AB386" s="22"/>
      <c r="AC386" s="22" t="s">
        <v>42</v>
      </c>
      <c r="AD386" s="22" t="s">
        <v>42</v>
      </c>
      <c r="AE386" s="22" t="s">
        <v>42</v>
      </c>
      <c r="AF386" s="22" t="s">
        <v>42</v>
      </c>
      <c r="AG386" s="22" t="s">
        <v>42</v>
      </c>
      <c r="AH386" s="22"/>
      <c r="AJ386" s="22" t="s">
        <v>42</v>
      </c>
      <c r="AK386" s="22" t="s">
        <v>42</v>
      </c>
      <c r="AL386" s="22" t="s">
        <v>42</v>
      </c>
      <c r="AM386" s="22">
        <f t="shared" si="14"/>
        <v>20</v>
      </c>
    </row>
    <row r="387" spans="1:39 16351:16373" hidden="1" x14ac:dyDescent="0.25">
      <c r="A387" s="20" t="s">
        <v>55</v>
      </c>
      <c r="B387" s="38" t="s">
        <v>845</v>
      </c>
      <c r="C387" s="42" t="s">
        <v>846</v>
      </c>
      <c r="D387" s="42" t="s">
        <v>19</v>
      </c>
      <c r="E387" s="42" t="s">
        <v>19</v>
      </c>
      <c r="F387" s="20" t="s">
        <v>58</v>
      </c>
      <c r="G387" s="39"/>
      <c r="H387" s="40"/>
      <c r="I387" s="22" t="s">
        <v>42</v>
      </c>
      <c r="L387" s="22" t="s">
        <v>42</v>
      </c>
      <c r="M387" s="22" t="s">
        <v>42</v>
      </c>
      <c r="O387" s="22" t="s">
        <v>42</v>
      </c>
      <c r="P387" s="22" t="s">
        <v>42</v>
      </c>
      <c r="Q387" s="22" t="s">
        <v>42</v>
      </c>
      <c r="R387" s="22" t="s">
        <v>42</v>
      </c>
      <c r="T387" s="22"/>
      <c r="V387" s="22" t="s">
        <v>42</v>
      </c>
      <c r="W387" s="22" t="s">
        <v>42</v>
      </c>
      <c r="X387" s="22" t="s">
        <v>42</v>
      </c>
      <c r="Y387" s="22" t="s">
        <v>42</v>
      </c>
      <c r="Z387" s="22" t="s">
        <v>42</v>
      </c>
      <c r="AA387" s="22" t="s">
        <v>42</v>
      </c>
      <c r="AB387" s="22"/>
      <c r="AC387" s="22" t="s">
        <v>42</v>
      </c>
      <c r="AD387" s="22" t="s">
        <v>42</v>
      </c>
      <c r="AE387" s="22" t="s">
        <v>42</v>
      </c>
      <c r="AF387" s="22" t="s">
        <v>42</v>
      </c>
      <c r="AG387" s="22" t="s">
        <v>42</v>
      </c>
      <c r="AH387" s="22" t="s">
        <v>42</v>
      </c>
      <c r="AJ387" s="22" t="s">
        <v>42</v>
      </c>
      <c r="AK387" s="22" t="s">
        <v>42</v>
      </c>
      <c r="AL387" s="22" t="s">
        <v>42</v>
      </c>
      <c r="AM387" s="22">
        <f t="shared" si="14"/>
        <v>22</v>
      </c>
    </row>
    <row r="388" spans="1:39 16351:16373" x14ac:dyDescent="0.25">
      <c r="A388" s="20" t="s">
        <v>55</v>
      </c>
      <c r="B388" s="38" t="s">
        <v>847</v>
      </c>
      <c r="C388" s="42" t="s">
        <v>101</v>
      </c>
      <c r="D388" s="42" t="s">
        <v>21</v>
      </c>
      <c r="E388" s="42" t="s">
        <v>21</v>
      </c>
      <c r="F388" s="20" t="s">
        <v>58</v>
      </c>
      <c r="G388" s="39"/>
      <c r="H388" s="40"/>
      <c r="I388" s="22" t="s">
        <v>42</v>
      </c>
      <c r="J388" s="22"/>
      <c r="K388" s="22"/>
      <c r="L388" s="22"/>
      <c r="M388" s="22"/>
      <c r="N388" s="22"/>
      <c r="O388" s="22" t="s">
        <v>42</v>
      </c>
      <c r="P388" s="22" t="s">
        <v>42</v>
      </c>
      <c r="Q388" s="22" t="s">
        <v>42</v>
      </c>
      <c r="R388" s="22" t="s">
        <v>42</v>
      </c>
      <c r="S388" s="22" t="s">
        <v>42</v>
      </c>
      <c r="T388" s="22" t="s">
        <v>42</v>
      </c>
      <c r="U388" s="22"/>
      <c r="V388" s="22" t="s">
        <v>42</v>
      </c>
      <c r="W388" s="22" t="s">
        <v>42</v>
      </c>
      <c r="X388" s="22" t="s">
        <v>42</v>
      </c>
      <c r="Y388" s="22" t="s">
        <v>42</v>
      </c>
      <c r="Z388" s="22" t="s">
        <v>42</v>
      </c>
      <c r="AA388" s="22" t="s">
        <v>42</v>
      </c>
      <c r="AB388" s="22" t="s">
        <v>42</v>
      </c>
      <c r="AC388" s="22" t="s">
        <v>42</v>
      </c>
      <c r="AD388" s="22" t="s">
        <v>42</v>
      </c>
      <c r="AE388" s="22" t="s">
        <v>42</v>
      </c>
      <c r="AF388" s="22" t="s">
        <v>42</v>
      </c>
      <c r="AG388" s="22" t="s">
        <v>42</v>
      </c>
      <c r="AH388" s="22" t="s">
        <v>42</v>
      </c>
      <c r="AI388" s="22" t="s">
        <v>42</v>
      </c>
      <c r="AJ388" s="22" t="s">
        <v>42</v>
      </c>
      <c r="AK388" s="22" t="s">
        <v>42</v>
      </c>
      <c r="AL388" s="22" t="s">
        <v>42</v>
      </c>
      <c r="AM388" s="22">
        <f t="shared" si="14"/>
        <v>24</v>
      </c>
      <c r="XDW388" s="20"/>
      <c r="XDX388" s="38"/>
      <c r="XDY388" s="42"/>
      <c r="XDZ388" s="42"/>
      <c r="XEA388" s="42"/>
      <c r="XEB388" s="20"/>
      <c r="XEC388" s="39"/>
      <c r="XED388" s="39"/>
      <c r="XEL388" s="20"/>
      <c r="XEM388" s="38"/>
      <c r="XEN388" s="42"/>
      <c r="XEO388" s="42"/>
      <c r="XEP388" s="42"/>
      <c r="XEQ388" s="20"/>
      <c r="XER388" s="39"/>
      <c r="XES388" s="39"/>
    </row>
    <row r="389" spans="1:39 16351:16373" x14ac:dyDescent="0.25">
      <c r="A389" s="20" t="s">
        <v>55</v>
      </c>
      <c r="B389" s="38" t="s">
        <v>848</v>
      </c>
      <c r="C389" s="20" t="s">
        <v>99</v>
      </c>
      <c r="D389" s="20" t="s">
        <v>21</v>
      </c>
      <c r="E389" s="20" t="s">
        <v>21</v>
      </c>
      <c r="F389" s="20" t="s">
        <v>58</v>
      </c>
      <c r="G389" s="39"/>
      <c r="H389" s="40"/>
      <c r="I389" s="22" t="s">
        <v>42</v>
      </c>
      <c r="L389" s="22" t="s">
        <v>42</v>
      </c>
      <c r="M389" s="22" t="s">
        <v>42</v>
      </c>
      <c r="O389" s="22" t="s">
        <v>42</v>
      </c>
      <c r="P389" s="22" t="s">
        <v>42</v>
      </c>
      <c r="Q389" s="22" t="s">
        <v>42</v>
      </c>
      <c r="R389" s="22" t="s">
        <v>42</v>
      </c>
      <c r="S389" s="22" t="s">
        <v>42</v>
      </c>
      <c r="T389" s="22" t="s">
        <v>42</v>
      </c>
      <c r="V389" s="22" t="s">
        <v>42</v>
      </c>
      <c r="W389" s="22" t="s">
        <v>42</v>
      </c>
      <c r="X389" s="22" t="s">
        <v>42</v>
      </c>
      <c r="Y389" s="22" t="s">
        <v>42</v>
      </c>
      <c r="Z389" s="22" t="s">
        <v>42</v>
      </c>
      <c r="AA389" s="22" t="s">
        <v>42</v>
      </c>
      <c r="AB389" s="22" t="s">
        <v>42</v>
      </c>
      <c r="AC389" s="22" t="s">
        <v>42</v>
      </c>
      <c r="AD389" s="22" t="s">
        <v>42</v>
      </c>
      <c r="AE389" s="22" t="s">
        <v>42</v>
      </c>
      <c r="AF389" s="22" t="s">
        <v>42</v>
      </c>
      <c r="AG389" s="22" t="s">
        <v>42</v>
      </c>
      <c r="AH389" s="22" t="s">
        <v>42</v>
      </c>
      <c r="AI389" s="22" t="s">
        <v>42</v>
      </c>
      <c r="AJ389" s="22" t="s">
        <v>42</v>
      </c>
      <c r="AK389" s="22" t="s">
        <v>42</v>
      </c>
      <c r="AL389" s="22" t="s">
        <v>42</v>
      </c>
      <c r="AM389" s="22">
        <f t="shared" si="14"/>
        <v>26</v>
      </c>
    </row>
    <row r="390" spans="1:39 16351:16373" hidden="1" x14ac:dyDescent="0.25">
      <c r="A390" s="20" t="s">
        <v>55</v>
      </c>
      <c r="B390" s="38" t="s">
        <v>849</v>
      </c>
      <c r="C390" s="20" t="s">
        <v>68</v>
      </c>
      <c r="D390" s="20" t="s">
        <v>21</v>
      </c>
      <c r="E390" s="20" t="s">
        <v>21</v>
      </c>
      <c r="F390" s="20" t="s">
        <v>58</v>
      </c>
      <c r="G390" s="39"/>
      <c r="H390" s="40"/>
      <c r="I390" s="22" t="s">
        <v>42</v>
      </c>
      <c r="L390" s="22" t="s">
        <v>42</v>
      </c>
      <c r="O390" s="22" t="s">
        <v>42</v>
      </c>
      <c r="P390" s="22" t="s">
        <v>42</v>
      </c>
      <c r="Q390" s="22" t="s">
        <v>42</v>
      </c>
      <c r="R390" s="22" t="s">
        <v>42</v>
      </c>
      <c r="S390" s="22" t="s">
        <v>42</v>
      </c>
      <c r="T390" s="22" t="s">
        <v>42</v>
      </c>
      <c r="V390" s="22" t="s">
        <v>42</v>
      </c>
      <c r="W390" s="22" t="s">
        <v>42</v>
      </c>
      <c r="X390" s="22" t="s">
        <v>42</v>
      </c>
      <c r="Y390" s="22" t="s">
        <v>42</v>
      </c>
      <c r="Z390" s="22" t="s">
        <v>42</v>
      </c>
      <c r="AA390" s="22" t="s">
        <v>42</v>
      </c>
      <c r="AB390" s="22"/>
      <c r="AC390" s="22" t="s">
        <v>42</v>
      </c>
      <c r="AD390" s="22" t="s">
        <v>42</v>
      </c>
      <c r="AE390" s="22" t="s">
        <v>42</v>
      </c>
      <c r="AF390" s="22" t="s">
        <v>42</v>
      </c>
      <c r="AG390" s="22" t="s">
        <v>42</v>
      </c>
      <c r="AH390" s="22" t="s">
        <v>42</v>
      </c>
      <c r="AJ390" s="22" t="s">
        <v>42</v>
      </c>
      <c r="AK390" s="22" t="s">
        <v>42</v>
      </c>
      <c r="AL390" s="22" t="s">
        <v>42</v>
      </c>
      <c r="AM390" s="22">
        <f t="shared" si="14"/>
        <v>23</v>
      </c>
    </row>
    <row r="391" spans="1:39 16351:16373" hidden="1" x14ac:dyDescent="0.25">
      <c r="A391" s="20" t="s">
        <v>55</v>
      </c>
      <c r="B391" s="38" t="s">
        <v>850</v>
      </c>
      <c r="C391" s="20" t="s">
        <v>851</v>
      </c>
      <c r="D391" s="20" t="s">
        <v>22</v>
      </c>
      <c r="E391" s="20" t="s">
        <v>22</v>
      </c>
      <c r="F391" s="20" t="s">
        <v>58</v>
      </c>
      <c r="G391" s="39"/>
      <c r="H391" s="40"/>
      <c r="I391" s="22" t="s">
        <v>42</v>
      </c>
      <c r="L391" s="22" t="s">
        <v>42</v>
      </c>
      <c r="M391" s="22" t="s">
        <v>42</v>
      </c>
      <c r="P391" s="22" t="s">
        <v>42</v>
      </c>
      <c r="Q391" s="22" t="s">
        <v>42</v>
      </c>
      <c r="R391" s="22" t="s">
        <v>42</v>
      </c>
      <c r="S391" s="22" t="s">
        <v>42</v>
      </c>
      <c r="W391" s="22" t="s">
        <v>42</v>
      </c>
      <c r="X391" s="22" t="s">
        <v>42</v>
      </c>
      <c r="Y391" s="22" t="s">
        <v>42</v>
      </c>
      <c r="Z391" s="22" t="s">
        <v>42</v>
      </c>
      <c r="AA391" s="22" t="s">
        <v>42</v>
      </c>
      <c r="AB391" s="22"/>
      <c r="AC391" s="22" t="s">
        <v>42</v>
      </c>
      <c r="AD391" s="22" t="s">
        <v>42</v>
      </c>
      <c r="AE391" s="22" t="s">
        <v>42</v>
      </c>
      <c r="AF391" s="22" t="s">
        <v>42</v>
      </c>
      <c r="AG391" s="22" t="s">
        <v>42</v>
      </c>
      <c r="AH391" s="22"/>
      <c r="AK391" s="22" t="s">
        <v>42</v>
      </c>
      <c r="AL391" s="22" t="s">
        <v>42</v>
      </c>
      <c r="AM391" s="22">
        <f t="shared" si="14"/>
        <v>19</v>
      </c>
    </row>
    <row r="392" spans="1:39 16351:16373" hidden="1" x14ac:dyDescent="0.25">
      <c r="A392" s="20" t="s">
        <v>55</v>
      </c>
      <c r="B392" s="38" t="s">
        <v>852</v>
      </c>
      <c r="C392" s="20" t="s">
        <v>853</v>
      </c>
      <c r="D392" s="20" t="s">
        <v>11</v>
      </c>
      <c r="E392" s="20" t="s">
        <v>11</v>
      </c>
      <c r="F392" s="20" t="s">
        <v>58</v>
      </c>
      <c r="G392" s="39"/>
      <c r="H392" s="40"/>
      <c r="I392" s="22" t="s">
        <v>42</v>
      </c>
      <c r="L392" s="22" t="s">
        <v>42</v>
      </c>
      <c r="M392" s="22" t="s">
        <v>42</v>
      </c>
      <c r="O392" s="22" t="s">
        <v>42</v>
      </c>
      <c r="P392" s="22" t="s">
        <v>42</v>
      </c>
      <c r="Q392" s="22" t="s">
        <v>42</v>
      </c>
      <c r="R392" s="22" t="s">
        <v>42</v>
      </c>
      <c r="S392" s="22"/>
      <c r="V392" s="22" t="s">
        <v>42</v>
      </c>
      <c r="W392" s="22" t="s">
        <v>42</v>
      </c>
      <c r="X392" s="22" t="s">
        <v>42</v>
      </c>
      <c r="Y392" s="22" t="s">
        <v>42</v>
      </c>
      <c r="Z392" s="22" t="s">
        <v>42</v>
      </c>
      <c r="AA392" s="22" t="s">
        <v>42</v>
      </c>
      <c r="AB392" s="22"/>
      <c r="AC392" s="22" t="s">
        <v>42</v>
      </c>
      <c r="AD392" s="22" t="s">
        <v>42</v>
      </c>
      <c r="AE392" s="22" t="s">
        <v>42</v>
      </c>
      <c r="AF392" s="22" t="s">
        <v>42</v>
      </c>
      <c r="AG392" s="22" t="s">
        <v>42</v>
      </c>
      <c r="AH392" s="22" t="s">
        <v>42</v>
      </c>
      <c r="AJ392" s="22" t="s">
        <v>42</v>
      </c>
      <c r="AL392" s="22" t="s">
        <v>42</v>
      </c>
      <c r="AM392" s="22">
        <f t="shared" si="14"/>
        <v>21</v>
      </c>
    </row>
    <row r="393" spans="1:39 16351:16373" x14ac:dyDescent="0.25">
      <c r="A393" s="20" t="s">
        <v>55</v>
      </c>
      <c r="B393" s="38" t="s">
        <v>854</v>
      </c>
      <c r="C393" s="20" t="s">
        <v>855</v>
      </c>
      <c r="D393" s="20" t="s">
        <v>21</v>
      </c>
      <c r="E393" s="20" t="s">
        <v>21</v>
      </c>
      <c r="F393" s="20" t="s">
        <v>58</v>
      </c>
      <c r="G393" s="39"/>
      <c r="H393" s="40"/>
      <c r="I393" s="22" t="s">
        <v>42</v>
      </c>
      <c r="L393" s="22" t="s">
        <v>42</v>
      </c>
      <c r="M393" s="22" t="s">
        <v>42</v>
      </c>
      <c r="N393" s="22" t="s">
        <v>42</v>
      </c>
      <c r="O393" s="22" t="s">
        <v>42</v>
      </c>
      <c r="P393" s="22" t="s">
        <v>42</v>
      </c>
      <c r="Q393" s="22" t="s">
        <v>42</v>
      </c>
      <c r="R393" s="22" t="s">
        <v>42</v>
      </c>
      <c r="S393" s="22" t="s">
        <v>42</v>
      </c>
      <c r="T393" s="22" t="s">
        <v>42</v>
      </c>
      <c r="V393" s="22" t="s">
        <v>42</v>
      </c>
      <c r="W393" s="22" t="s">
        <v>42</v>
      </c>
      <c r="X393" s="22" t="s">
        <v>42</v>
      </c>
      <c r="Y393" s="22" t="s">
        <v>42</v>
      </c>
      <c r="Z393" s="22" t="s">
        <v>42</v>
      </c>
      <c r="AA393" s="22" t="s">
        <v>42</v>
      </c>
      <c r="AB393" s="22"/>
      <c r="AD393" s="22" t="s">
        <v>42</v>
      </c>
      <c r="AE393" s="22" t="s">
        <v>42</v>
      </c>
      <c r="AF393" s="22" t="s">
        <v>42</v>
      </c>
      <c r="AG393" s="22" t="s">
        <v>42</v>
      </c>
      <c r="AH393" s="22" t="s">
        <v>42</v>
      </c>
      <c r="AI393" s="22" t="s">
        <v>42</v>
      </c>
      <c r="AJ393" s="22" t="s">
        <v>42</v>
      </c>
      <c r="AK393" s="22" t="s">
        <v>42</v>
      </c>
      <c r="AL393" s="22" t="s">
        <v>42</v>
      </c>
      <c r="AM393" s="22">
        <f t="shared" si="14"/>
        <v>25</v>
      </c>
    </row>
    <row r="394" spans="1:39 16351:16373" x14ac:dyDescent="0.25">
      <c r="A394" s="20" t="s">
        <v>55</v>
      </c>
      <c r="B394" s="38" t="s">
        <v>856</v>
      </c>
      <c r="C394" s="20" t="s">
        <v>857</v>
      </c>
      <c r="D394" s="20" t="s">
        <v>21</v>
      </c>
      <c r="E394" s="20" t="s">
        <v>21</v>
      </c>
      <c r="F394" s="20" t="s">
        <v>58</v>
      </c>
      <c r="G394" s="39"/>
      <c r="H394" s="40"/>
      <c r="I394" s="22" t="s">
        <v>42</v>
      </c>
      <c r="M394" s="22" t="s">
        <v>42</v>
      </c>
      <c r="N394" s="22" t="s">
        <v>42</v>
      </c>
      <c r="O394" s="22" t="s">
        <v>42</v>
      </c>
      <c r="P394" s="22" t="s">
        <v>42</v>
      </c>
      <c r="Q394" s="22" t="s">
        <v>42</v>
      </c>
      <c r="R394" s="22" t="s">
        <v>42</v>
      </c>
      <c r="S394" s="22" t="s">
        <v>42</v>
      </c>
      <c r="T394" s="22" t="s">
        <v>42</v>
      </c>
      <c r="V394" s="22" t="s">
        <v>42</v>
      </c>
      <c r="W394" s="22" t="s">
        <v>42</v>
      </c>
      <c r="X394" s="22" t="s">
        <v>42</v>
      </c>
      <c r="Y394" s="22" t="s">
        <v>42</v>
      </c>
      <c r="Z394" s="22" t="s">
        <v>42</v>
      </c>
      <c r="AA394" s="22" t="s">
        <v>42</v>
      </c>
      <c r="AB394" s="22"/>
      <c r="AC394" s="22" t="s">
        <v>42</v>
      </c>
      <c r="AD394" s="22" t="s">
        <v>42</v>
      </c>
      <c r="AE394" s="22" t="s">
        <v>42</v>
      </c>
      <c r="AF394" s="22" t="s">
        <v>42</v>
      </c>
      <c r="AG394" s="22" t="s">
        <v>42</v>
      </c>
      <c r="AH394" s="22" t="s">
        <v>42</v>
      </c>
      <c r="AI394" s="22" t="s">
        <v>42</v>
      </c>
      <c r="AJ394" s="22" t="s">
        <v>42</v>
      </c>
      <c r="AK394" s="22" t="s">
        <v>42</v>
      </c>
      <c r="AL394" s="22" t="s">
        <v>42</v>
      </c>
      <c r="AM394" s="22">
        <f t="shared" si="14"/>
        <v>25</v>
      </c>
    </row>
    <row r="395" spans="1:39 16351:16373" hidden="1" x14ac:dyDescent="0.25">
      <c r="A395" s="20" t="s">
        <v>55</v>
      </c>
      <c r="B395" s="38" t="s">
        <v>858</v>
      </c>
      <c r="C395" s="20" t="s">
        <v>859</v>
      </c>
      <c r="D395" s="20" t="s">
        <v>21</v>
      </c>
      <c r="E395" s="20" t="s">
        <v>21</v>
      </c>
      <c r="F395" s="20" t="s">
        <v>58</v>
      </c>
      <c r="G395" s="39"/>
      <c r="H395" s="40"/>
      <c r="I395" s="22" t="s">
        <v>42</v>
      </c>
      <c r="L395" s="22" t="s">
        <v>42</v>
      </c>
      <c r="N395" s="22"/>
      <c r="O395" s="22"/>
      <c r="P395" s="22" t="s">
        <v>42</v>
      </c>
      <c r="Q395" s="22" t="s">
        <v>42</v>
      </c>
      <c r="R395" s="22" t="s">
        <v>42</v>
      </c>
      <c r="S395" s="22"/>
      <c r="T395" s="22"/>
      <c r="U395" s="22"/>
      <c r="V395" s="22"/>
      <c r="W395" s="22"/>
      <c r="X395" s="22" t="s">
        <v>42</v>
      </c>
      <c r="Y395" s="22" t="s">
        <v>42</v>
      </c>
      <c r="Z395" s="22" t="s">
        <v>42</v>
      </c>
      <c r="AA395" s="22" t="s">
        <v>42</v>
      </c>
      <c r="AB395" s="22"/>
      <c r="AC395" s="22" t="s">
        <v>42</v>
      </c>
      <c r="AD395" s="22" t="s">
        <v>42</v>
      </c>
      <c r="AE395" s="22" t="s">
        <v>42</v>
      </c>
      <c r="AF395" s="22" t="s">
        <v>42</v>
      </c>
      <c r="AG395" s="22" t="s">
        <v>42</v>
      </c>
      <c r="AH395" s="22" t="s">
        <v>42</v>
      </c>
      <c r="AJ395" s="22" t="s">
        <v>42</v>
      </c>
      <c r="AK395" s="22" t="s">
        <v>42</v>
      </c>
      <c r="AM395" s="22">
        <f t="shared" si="14"/>
        <v>17</v>
      </c>
      <c r="XEJ395" s="20"/>
      <c r="XEK395" s="38"/>
      <c r="XEL395" s="20"/>
      <c r="XEM395" s="20"/>
      <c r="XEN395" s="20"/>
      <c r="XEO395" s="20"/>
      <c r="XEP395" s="39"/>
      <c r="XEQ395" s="40"/>
    </row>
    <row r="396" spans="1:39 16351:16373" hidden="1" x14ac:dyDescent="0.25">
      <c r="A396" s="20" t="s">
        <v>55</v>
      </c>
      <c r="B396" s="38" t="s">
        <v>860</v>
      </c>
      <c r="C396" s="20" t="s">
        <v>861</v>
      </c>
      <c r="D396" s="20" t="s">
        <v>10</v>
      </c>
      <c r="E396" s="20" t="s">
        <v>10</v>
      </c>
      <c r="F396" s="20" t="s">
        <v>63</v>
      </c>
      <c r="G396" s="39"/>
      <c r="H396" s="40"/>
      <c r="I396" s="33" t="s">
        <v>38</v>
      </c>
      <c r="L396" s="33" t="s">
        <v>38</v>
      </c>
      <c r="M396" s="33" t="s">
        <v>38</v>
      </c>
      <c r="O396" s="33" t="s">
        <v>38</v>
      </c>
      <c r="P396" s="33" t="s">
        <v>38</v>
      </c>
      <c r="Q396" s="33" t="s">
        <v>38</v>
      </c>
      <c r="R396" s="33" t="s">
        <v>38</v>
      </c>
      <c r="T396" s="33" t="s">
        <v>38</v>
      </c>
      <c r="V396" s="33" t="s">
        <v>38</v>
      </c>
      <c r="W396" s="33" t="s">
        <v>38</v>
      </c>
      <c r="X396" s="33" t="s">
        <v>38</v>
      </c>
      <c r="Y396" s="31" t="s">
        <v>147</v>
      </c>
      <c r="Z396" s="33" t="s">
        <v>38</v>
      </c>
      <c r="AA396" s="33" t="s">
        <v>38</v>
      </c>
      <c r="AB396" s="22"/>
      <c r="AC396" s="33" t="s">
        <v>38</v>
      </c>
      <c r="AD396" s="33" t="s">
        <v>38</v>
      </c>
      <c r="AE396" s="33" t="s">
        <v>38</v>
      </c>
      <c r="AF396" s="22"/>
      <c r="AG396" s="31" t="s">
        <v>147</v>
      </c>
      <c r="AH396" s="22" t="s">
        <v>42</v>
      </c>
      <c r="AI396" s="33"/>
      <c r="AJ396" s="33" t="s">
        <v>38</v>
      </c>
      <c r="AK396" s="33" t="s">
        <v>38</v>
      </c>
      <c r="AL396" s="33" t="s">
        <v>38</v>
      </c>
      <c r="AM396" s="22">
        <f t="shared" si="14"/>
        <v>20</v>
      </c>
    </row>
    <row r="397" spans="1:39 16351:16373" hidden="1" x14ac:dyDescent="0.25">
      <c r="A397" s="20" t="s">
        <v>55</v>
      </c>
      <c r="B397" s="38" t="s">
        <v>862</v>
      </c>
      <c r="C397" s="20" t="s">
        <v>863</v>
      </c>
      <c r="D397" s="45" t="s">
        <v>11</v>
      </c>
      <c r="E397" s="45" t="s">
        <v>11</v>
      </c>
      <c r="F397" s="20" t="s">
        <v>58</v>
      </c>
      <c r="G397" s="39"/>
      <c r="H397" s="40"/>
      <c r="I397" s="22" t="s">
        <v>42</v>
      </c>
      <c r="L397" s="22" t="s">
        <v>42</v>
      </c>
      <c r="M397" s="22" t="s">
        <v>42</v>
      </c>
      <c r="O397" s="22" t="s">
        <v>42</v>
      </c>
      <c r="P397" s="22" t="s">
        <v>42</v>
      </c>
      <c r="Q397" s="22" t="s">
        <v>42</v>
      </c>
      <c r="R397" s="22" t="s">
        <v>42</v>
      </c>
      <c r="V397" s="22" t="s">
        <v>42</v>
      </c>
      <c r="W397" s="22" t="s">
        <v>42</v>
      </c>
      <c r="X397" s="22" t="s">
        <v>42</v>
      </c>
      <c r="Z397" s="22" t="s">
        <v>42</v>
      </c>
      <c r="AA397" s="22" t="s">
        <v>42</v>
      </c>
      <c r="AB397" s="22"/>
      <c r="AC397" s="22" t="s">
        <v>42</v>
      </c>
      <c r="AD397" s="22" t="s">
        <v>42</v>
      </c>
      <c r="AE397" s="22" t="s">
        <v>42</v>
      </c>
      <c r="AF397" s="22" t="s">
        <v>42</v>
      </c>
      <c r="AG397" s="22" t="s">
        <v>42</v>
      </c>
      <c r="AH397" s="22" t="s">
        <v>42</v>
      </c>
      <c r="AJ397" s="22" t="s">
        <v>42</v>
      </c>
      <c r="AK397" s="22" t="s">
        <v>42</v>
      </c>
      <c r="AM397" s="22">
        <f t="shared" si="14"/>
        <v>20</v>
      </c>
    </row>
    <row r="398" spans="1:39 16351:16373" hidden="1" x14ac:dyDescent="0.25">
      <c r="A398" s="20" t="s">
        <v>55</v>
      </c>
      <c r="B398" s="38" t="s">
        <v>864</v>
      </c>
      <c r="C398" s="20" t="s">
        <v>865</v>
      </c>
      <c r="D398" s="20" t="s">
        <v>19</v>
      </c>
      <c r="E398" s="20" t="s">
        <v>19</v>
      </c>
      <c r="F398" s="20" t="s">
        <v>58</v>
      </c>
      <c r="G398" s="39"/>
      <c r="H398" s="40"/>
      <c r="I398" s="22" t="s">
        <v>42</v>
      </c>
      <c r="L398" s="22" t="s">
        <v>42</v>
      </c>
      <c r="M398" s="22" t="s">
        <v>42</v>
      </c>
      <c r="O398" s="22" t="s">
        <v>42</v>
      </c>
      <c r="P398" s="22" t="s">
        <v>42</v>
      </c>
      <c r="Q398" s="22" t="s">
        <v>42</v>
      </c>
      <c r="R398" s="22" t="s">
        <v>42</v>
      </c>
      <c r="S398" s="22" t="s">
        <v>42</v>
      </c>
      <c r="T398" s="22" t="s">
        <v>42</v>
      </c>
      <c r="V398" s="22" t="s">
        <v>42</v>
      </c>
      <c r="W398" s="22" t="s">
        <v>42</v>
      </c>
      <c r="X398" s="22" t="s">
        <v>42</v>
      </c>
      <c r="Y398" s="22" t="s">
        <v>42</v>
      </c>
      <c r="Z398" s="22" t="s">
        <v>42</v>
      </c>
      <c r="AA398" s="22" t="s">
        <v>42</v>
      </c>
      <c r="AB398" s="22"/>
      <c r="AC398" s="22" t="s">
        <v>42</v>
      </c>
      <c r="AD398" s="22" t="s">
        <v>42</v>
      </c>
      <c r="AE398" s="22" t="s">
        <v>42</v>
      </c>
      <c r="AF398" s="22" t="s">
        <v>42</v>
      </c>
      <c r="AG398" s="22" t="s">
        <v>42</v>
      </c>
      <c r="AH398" s="22" t="s">
        <v>42</v>
      </c>
      <c r="AJ398" s="22" t="s">
        <v>42</v>
      </c>
      <c r="AK398" s="22" t="s">
        <v>42</v>
      </c>
      <c r="AL398" s="22" t="s">
        <v>42</v>
      </c>
      <c r="AM398" s="22">
        <f t="shared" si="14"/>
        <v>24</v>
      </c>
    </row>
    <row r="399" spans="1:39 16351:16373" hidden="1" x14ac:dyDescent="0.25">
      <c r="A399" s="48" t="s">
        <v>55</v>
      </c>
      <c r="B399" s="49" t="s">
        <v>866</v>
      </c>
      <c r="C399" s="48" t="s">
        <v>867</v>
      </c>
      <c r="D399" s="48" t="s">
        <v>22</v>
      </c>
      <c r="E399" s="48" t="s">
        <v>22</v>
      </c>
      <c r="F399" s="48" t="s">
        <v>58</v>
      </c>
      <c r="G399" s="50"/>
      <c r="H399" s="51"/>
      <c r="I399" s="22" t="s">
        <v>42</v>
      </c>
      <c r="L399" s="22" t="s">
        <v>42</v>
      </c>
      <c r="M399" s="22" t="s">
        <v>42</v>
      </c>
      <c r="O399" s="22" t="s">
        <v>42</v>
      </c>
      <c r="P399" s="22" t="s">
        <v>42</v>
      </c>
      <c r="Q399" s="22" t="s">
        <v>42</v>
      </c>
      <c r="R399" s="22" t="s">
        <v>42</v>
      </c>
      <c r="S399" s="22" t="s">
        <v>42</v>
      </c>
      <c r="T399" s="22" t="s">
        <v>42</v>
      </c>
      <c r="V399" s="22" t="s">
        <v>42</v>
      </c>
      <c r="W399" s="22" t="s">
        <v>42</v>
      </c>
      <c r="X399" s="22" t="s">
        <v>42</v>
      </c>
      <c r="Y399" s="22" t="s">
        <v>42</v>
      </c>
      <c r="Z399" s="22" t="s">
        <v>42</v>
      </c>
      <c r="AA399" s="22" t="s">
        <v>42</v>
      </c>
      <c r="AB399" s="22"/>
      <c r="AC399" s="22" t="s">
        <v>42</v>
      </c>
      <c r="AD399" s="22" t="s">
        <v>42</v>
      </c>
      <c r="AE399" s="22" t="s">
        <v>42</v>
      </c>
      <c r="AF399" s="22" t="s">
        <v>42</v>
      </c>
      <c r="AG399" s="22" t="s">
        <v>42</v>
      </c>
      <c r="AH399" s="22" t="s">
        <v>42</v>
      </c>
      <c r="AJ399" s="22" t="s">
        <v>42</v>
      </c>
      <c r="AK399" s="22" t="s">
        <v>42</v>
      </c>
      <c r="AL399" s="22" t="s">
        <v>42</v>
      </c>
      <c r="AM399" s="22">
        <f t="shared" ref="AM399:AM461" si="15">COUNTA(I399:AL399)-COUNTIF(I399:AL399,"CT")</f>
        <v>24</v>
      </c>
    </row>
    <row r="400" spans="1:39 16351:16373" hidden="1" x14ac:dyDescent="0.25">
      <c r="A400" s="20" t="s">
        <v>55</v>
      </c>
      <c r="B400" s="38" t="s">
        <v>909</v>
      </c>
      <c r="C400" s="20" t="s">
        <v>912</v>
      </c>
      <c r="D400" s="20" t="s">
        <v>23</v>
      </c>
      <c r="E400" s="20" t="s">
        <v>23</v>
      </c>
      <c r="F400" s="20" t="s">
        <v>58</v>
      </c>
      <c r="G400" s="39"/>
      <c r="H400" s="40"/>
      <c r="I400" s="39" t="s">
        <v>42</v>
      </c>
      <c r="L400" s="22" t="s">
        <v>42</v>
      </c>
      <c r="P400" s="22" t="s">
        <v>42</v>
      </c>
      <c r="Q400" s="22" t="s">
        <v>42</v>
      </c>
      <c r="R400" s="22" t="s">
        <v>42</v>
      </c>
      <c r="S400" s="22" t="s">
        <v>42</v>
      </c>
      <c r="T400" s="22" t="s">
        <v>42</v>
      </c>
      <c r="V400" s="22" t="s">
        <v>42</v>
      </c>
      <c r="W400" s="22" t="s">
        <v>42</v>
      </c>
      <c r="X400" s="22" t="s">
        <v>42</v>
      </c>
      <c r="Y400" s="22" t="s">
        <v>42</v>
      </c>
      <c r="Z400" s="22" t="s">
        <v>42</v>
      </c>
      <c r="AA400" s="22" t="s">
        <v>42</v>
      </c>
      <c r="AB400" s="22"/>
      <c r="AC400" s="22" t="s">
        <v>42</v>
      </c>
      <c r="AD400" s="22" t="s">
        <v>42</v>
      </c>
      <c r="AE400" s="22" t="s">
        <v>42</v>
      </c>
      <c r="AF400" s="22" t="s">
        <v>42</v>
      </c>
      <c r="AG400" s="22" t="s">
        <v>42</v>
      </c>
      <c r="AH400" s="22" t="s">
        <v>42</v>
      </c>
      <c r="AJ400" s="22" t="s">
        <v>42</v>
      </c>
      <c r="AK400" s="22" t="s">
        <v>42</v>
      </c>
      <c r="AL400" s="22" t="s">
        <v>42</v>
      </c>
      <c r="AM400" s="22">
        <f t="shared" si="15"/>
        <v>22</v>
      </c>
    </row>
    <row r="401" spans="1:39" hidden="1" x14ac:dyDescent="0.25">
      <c r="A401" s="20" t="s">
        <v>55</v>
      </c>
      <c r="B401" s="38"/>
      <c r="C401" s="20" t="s">
        <v>916</v>
      </c>
      <c r="D401" s="20" t="s">
        <v>16</v>
      </c>
      <c r="E401" s="20" t="s">
        <v>16</v>
      </c>
      <c r="F401" s="20" t="s">
        <v>170</v>
      </c>
      <c r="G401" s="39"/>
      <c r="H401" s="40"/>
      <c r="I401" s="22"/>
      <c r="L401" s="31" t="s">
        <v>36</v>
      </c>
      <c r="O401" s="31" t="s">
        <v>36</v>
      </c>
      <c r="P401" s="31" t="s">
        <v>36</v>
      </c>
      <c r="Q401" s="31" t="s">
        <v>36</v>
      </c>
      <c r="X401" s="31"/>
      <c r="AB401" s="22"/>
      <c r="AD401" s="22"/>
      <c r="AM401" s="22">
        <f t="shared" si="15"/>
        <v>4</v>
      </c>
    </row>
    <row r="402" spans="1:39" hidden="1" x14ac:dyDescent="0.25">
      <c r="A402" s="20" t="s">
        <v>55</v>
      </c>
      <c r="B402" s="38" t="s">
        <v>318</v>
      </c>
      <c r="C402" s="20" t="s">
        <v>319</v>
      </c>
      <c r="D402" s="20" t="s">
        <v>8</v>
      </c>
      <c r="E402" s="20" t="s">
        <v>8</v>
      </c>
      <c r="F402" s="20" t="s">
        <v>58</v>
      </c>
      <c r="G402" s="39"/>
      <c r="H402" s="40"/>
      <c r="I402" s="39"/>
      <c r="L402" s="22" t="s">
        <v>42</v>
      </c>
      <c r="M402" s="22" t="s">
        <v>42</v>
      </c>
      <c r="O402" s="22" t="s">
        <v>42</v>
      </c>
      <c r="P402" s="22" t="s">
        <v>42</v>
      </c>
      <c r="Q402" s="22" t="s">
        <v>42</v>
      </c>
      <c r="R402" s="22" t="s">
        <v>42</v>
      </c>
      <c r="S402" s="22" t="s">
        <v>42</v>
      </c>
      <c r="T402" s="22" t="s">
        <v>42</v>
      </c>
      <c r="V402" s="22" t="s">
        <v>42</v>
      </c>
      <c r="W402" s="22" t="s">
        <v>42</v>
      </c>
      <c r="X402" s="22" t="s">
        <v>42</v>
      </c>
      <c r="Y402" s="22" t="s">
        <v>42</v>
      </c>
      <c r="Z402" s="22" t="s">
        <v>42</v>
      </c>
      <c r="AA402" s="22" t="s">
        <v>42</v>
      </c>
      <c r="AB402" s="22" t="s">
        <v>42</v>
      </c>
      <c r="AC402" s="22" t="s">
        <v>42</v>
      </c>
      <c r="AD402" s="22" t="s">
        <v>42</v>
      </c>
      <c r="AE402" s="22" t="s">
        <v>42</v>
      </c>
      <c r="AF402" s="22" t="s">
        <v>42</v>
      </c>
      <c r="AG402" s="22" t="s">
        <v>147</v>
      </c>
      <c r="AH402" s="22" t="s">
        <v>147</v>
      </c>
      <c r="AJ402" s="22" t="s">
        <v>147</v>
      </c>
      <c r="AK402" s="22" t="s">
        <v>147</v>
      </c>
      <c r="AL402" s="33" t="s">
        <v>147</v>
      </c>
      <c r="AM402" s="22">
        <f t="shared" si="15"/>
        <v>19</v>
      </c>
    </row>
    <row r="403" spans="1:39" x14ac:dyDescent="0.25">
      <c r="A403" s="20" t="s">
        <v>55</v>
      </c>
      <c r="B403" s="38" t="s">
        <v>362</v>
      </c>
      <c r="C403" s="20" t="s">
        <v>363</v>
      </c>
      <c r="D403" s="20" t="s">
        <v>8</v>
      </c>
      <c r="E403" s="20" t="s">
        <v>8</v>
      </c>
      <c r="F403" s="20" t="s">
        <v>58</v>
      </c>
      <c r="G403" s="39"/>
      <c r="H403" s="40"/>
      <c r="I403" s="39"/>
      <c r="L403" s="22" t="s">
        <v>42</v>
      </c>
      <c r="M403" s="22" t="s">
        <v>42</v>
      </c>
      <c r="N403" s="22" t="s">
        <v>42</v>
      </c>
      <c r="O403" s="22" t="s">
        <v>42</v>
      </c>
      <c r="P403" s="22" t="s">
        <v>42</v>
      </c>
      <c r="Q403" s="22" t="s">
        <v>42</v>
      </c>
      <c r="R403" s="22" t="s">
        <v>42</v>
      </c>
      <c r="S403" s="22" t="s">
        <v>42</v>
      </c>
      <c r="T403" s="22" t="s">
        <v>42</v>
      </c>
      <c r="V403" s="22" t="s">
        <v>42</v>
      </c>
      <c r="W403" s="22" t="s">
        <v>42</v>
      </c>
      <c r="X403" s="22" t="s">
        <v>42</v>
      </c>
      <c r="Y403" s="22" t="s">
        <v>42</v>
      </c>
      <c r="Z403" s="22" t="s">
        <v>42</v>
      </c>
      <c r="AA403" s="22" t="s">
        <v>42</v>
      </c>
      <c r="AB403" s="22" t="s">
        <v>42</v>
      </c>
      <c r="AC403" s="22" t="s">
        <v>42</v>
      </c>
      <c r="AD403" s="22" t="s">
        <v>42</v>
      </c>
      <c r="AE403" s="22" t="s">
        <v>42</v>
      </c>
      <c r="AF403" s="22" t="s">
        <v>42</v>
      </c>
      <c r="AG403" s="22" t="s">
        <v>42</v>
      </c>
      <c r="AH403" s="22" t="s">
        <v>42</v>
      </c>
      <c r="AI403" s="22" t="s">
        <v>42</v>
      </c>
      <c r="AJ403" s="22" t="s">
        <v>42</v>
      </c>
      <c r="AK403" s="22" t="s">
        <v>42</v>
      </c>
      <c r="AL403" s="22" t="s">
        <v>42</v>
      </c>
      <c r="AM403" s="22">
        <f t="shared" si="15"/>
        <v>26</v>
      </c>
    </row>
    <row r="404" spans="1:39" hidden="1" x14ac:dyDescent="0.25">
      <c r="A404" s="20" t="s">
        <v>55</v>
      </c>
      <c r="B404" s="38" t="s">
        <v>431</v>
      </c>
      <c r="C404" s="20" t="s">
        <v>432</v>
      </c>
      <c r="D404" s="20" t="s">
        <v>8</v>
      </c>
      <c r="E404" s="20" t="s">
        <v>8</v>
      </c>
      <c r="F404" s="20" t="s">
        <v>58</v>
      </c>
      <c r="G404" s="39"/>
      <c r="H404" s="40"/>
      <c r="I404" s="39"/>
      <c r="L404" s="22" t="s">
        <v>42</v>
      </c>
      <c r="M404" s="22" t="s">
        <v>42</v>
      </c>
      <c r="O404" s="22" t="s">
        <v>42</v>
      </c>
      <c r="P404" s="22" t="s">
        <v>42</v>
      </c>
      <c r="Q404" s="22" t="s">
        <v>42</v>
      </c>
      <c r="R404" s="22" t="s">
        <v>42</v>
      </c>
      <c r="S404" s="22" t="s">
        <v>42</v>
      </c>
      <c r="T404" s="22" t="s">
        <v>42</v>
      </c>
      <c r="V404" s="22" t="s">
        <v>42</v>
      </c>
      <c r="W404" s="22" t="s">
        <v>42</v>
      </c>
      <c r="X404" s="22" t="s">
        <v>42</v>
      </c>
      <c r="Y404" s="22" t="s">
        <v>42</v>
      </c>
      <c r="Z404" s="22" t="s">
        <v>42</v>
      </c>
      <c r="AA404" s="22" t="s">
        <v>42</v>
      </c>
      <c r="AB404" s="22"/>
      <c r="AC404" s="22" t="s">
        <v>42</v>
      </c>
      <c r="AD404" s="22" t="s">
        <v>42</v>
      </c>
      <c r="AE404" s="22" t="s">
        <v>42</v>
      </c>
      <c r="AF404" s="22" t="s">
        <v>42</v>
      </c>
      <c r="AG404" s="22" t="s">
        <v>42</v>
      </c>
      <c r="AH404" s="22" t="s">
        <v>42</v>
      </c>
      <c r="AJ404" s="22" t="s">
        <v>42</v>
      </c>
      <c r="AK404" s="22" t="s">
        <v>42</v>
      </c>
      <c r="AL404" s="22" t="s">
        <v>42</v>
      </c>
      <c r="AM404" s="22">
        <f t="shared" si="15"/>
        <v>23</v>
      </c>
    </row>
    <row r="405" spans="1:39" hidden="1" x14ac:dyDescent="0.25">
      <c r="A405" s="20" t="s">
        <v>55</v>
      </c>
      <c r="B405" s="38" t="s">
        <v>278</v>
      </c>
      <c r="C405" s="20" t="s">
        <v>279</v>
      </c>
      <c r="D405" s="20" t="s">
        <v>18</v>
      </c>
      <c r="E405" s="20" t="s">
        <v>18</v>
      </c>
      <c r="F405" s="20" t="s">
        <v>58</v>
      </c>
      <c r="G405" s="39"/>
      <c r="H405" s="40"/>
      <c r="I405" s="22"/>
      <c r="L405" s="22" t="s">
        <v>42</v>
      </c>
      <c r="M405" s="22" t="s">
        <v>42</v>
      </c>
      <c r="O405" s="22" t="s">
        <v>42</v>
      </c>
      <c r="P405" s="22" t="s">
        <v>42</v>
      </c>
      <c r="Q405" s="22" t="s">
        <v>42</v>
      </c>
      <c r="R405" s="22" t="s">
        <v>42</v>
      </c>
      <c r="S405" s="22" t="s">
        <v>42</v>
      </c>
      <c r="T405" s="22" t="s">
        <v>42</v>
      </c>
      <c r="V405" s="22" t="s">
        <v>42</v>
      </c>
      <c r="W405" s="22" t="s">
        <v>42</v>
      </c>
      <c r="X405" s="22" t="s">
        <v>42</v>
      </c>
      <c r="Y405" s="22" t="s">
        <v>42</v>
      </c>
      <c r="Z405" s="22" t="s">
        <v>42</v>
      </c>
      <c r="AA405" s="22" t="s">
        <v>42</v>
      </c>
      <c r="AC405" s="22" t="s">
        <v>42</v>
      </c>
      <c r="AD405" s="22" t="s">
        <v>42</v>
      </c>
      <c r="AE405" s="22" t="s">
        <v>42</v>
      </c>
      <c r="AF405" s="22" t="s">
        <v>42</v>
      </c>
      <c r="AG405" s="22" t="s">
        <v>42</v>
      </c>
      <c r="AH405" s="22"/>
      <c r="AJ405" s="22" t="s">
        <v>42</v>
      </c>
      <c r="AK405" s="22" t="s">
        <v>42</v>
      </c>
      <c r="AL405" s="22" t="s">
        <v>42</v>
      </c>
      <c r="AM405" s="22">
        <f t="shared" si="15"/>
        <v>22</v>
      </c>
    </row>
    <row r="406" spans="1:39" hidden="1" x14ac:dyDescent="0.25">
      <c r="A406" s="20" t="s">
        <v>55</v>
      </c>
      <c r="B406" s="38" t="s">
        <v>917</v>
      </c>
      <c r="C406" s="20" t="s">
        <v>929</v>
      </c>
      <c r="D406" s="20" t="s">
        <v>28</v>
      </c>
      <c r="E406" s="20" t="s">
        <v>28</v>
      </c>
      <c r="F406" s="20" t="s">
        <v>58</v>
      </c>
      <c r="G406" s="39"/>
      <c r="H406" s="40"/>
      <c r="I406" s="22"/>
      <c r="L406" s="22" t="s">
        <v>42</v>
      </c>
      <c r="M406" s="22" t="s">
        <v>42</v>
      </c>
      <c r="O406" s="22" t="s">
        <v>42</v>
      </c>
      <c r="P406" s="22" t="s">
        <v>42</v>
      </c>
      <c r="Q406" s="22" t="s">
        <v>42</v>
      </c>
      <c r="R406" s="22" t="s">
        <v>42</v>
      </c>
      <c r="S406" s="22" t="s">
        <v>42</v>
      </c>
      <c r="T406" s="22" t="s">
        <v>42</v>
      </c>
      <c r="V406" s="22" t="s">
        <v>42</v>
      </c>
      <c r="W406" s="22" t="s">
        <v>42</v>
      </c>
      <c r="X406" s="22" t="s">
        <v>42</v>
      </c>
      <c r="Y406" s="22" t="s">
        <v>42</v>
      </c>
      <c r="Z406" s="22" t="s">
        <v>42</v>
      </c>
      <c r="AA406" s="22" t="s">
        <v>42</v>
      </c>
      <c r="AB406" s="22"/>
      <c r="AC406" s="22" t="s">
        <v>42</v>
      </c>
      <c r="AD406" s="22" t="s">
        <v>42</v>
      </c>
      <c r="AE406" s="22" t="s">
        <v>42</v>
      </c>
      <c r="AF406" s="22" t="s">
        <v>42</v>
      </c>
      <c r="AG406" s="22" t="s">
        <v>42</v>
      </c>
      <c r="AH406" s="22" t="s">
        <v>42</v>
      </c>
      <c r="AJ406" s="22" t="s">
        <v>42</v>
      </c>
      <c r="AK406" s="22" t="s">
        <v>42</v>
      </c>
      <c r="AL406" s="22" t="s">
        <v>42</v>
      </c>
      <c r="AM406" s="22">
        <f t="shared" si="15"/>
        <v>23</v>
      </c>
    </row>
    <row r="407" spans="1:39" hidden="1" x14ac:dyDescent="0.25">
      <c r="A407" s="20" t="s">
        <v>55</v>
      </c>
      <c r="B407" s="38" t="s">
        <v>154</v>
      </c>
      <c r="C407" s="20" t="s">
        <v>155</v>
      </c>
      <c r="D407" s="20" t="s">
        <v>11</v>
      </c>
      <c r="E407" s="20" t="s">
        <v>11</v>
      </c>
      <c r="F407" s="20" t="s">
        <v>58</v>
      </c>
      <c r="G407" s="39"/>
      <c r="H407" s="40"/>
      <c r="I407" s="22"/>
      <c r="L407" s="22" t="s">
        <v>42</v>
      </c>
      <c r="M407" s="22" t="s">
        <v>42</v>
      </c>
      <c r="O407" s="22" t="s">
        <v>42</v>
      </c>
      <c r="S407" s="22" t="s">
        <v>42</v>
      </c>
      <c r="T407" s="22" t="s">
        <v>42</v>
      </c>
      <c r="V407" s="22" t="s">
        <v>42</v>
      </c>
      <c r="W407" s="22" t="s">
        <v>42</v>
      </c>
      <c r="Y407" s="22" t="s">
        <v>42</v>
      </c>
      <c r="Z407" s="22" t="s">
        <v>42</v>
      </c>
      <c r="AA407" s="22" t="s">
        <v>42</v>
      </c>
      <c r="AB407" s="22"/>
      <c r="AC407" s="22" t="s">
        <v>42</v>
      </c>
      <c r="AD407" s="22" t="s">
        <v>42</v>
      </c>
      <c r="AE407" s="22" t="s">
        <v>42</v>
      </c>
      <c r="AF407" s="22" t="s">
        <v>42</v>
      </c>
      <c r="AG407" s="22" t="s">
        <v>42</v>
      </c>
      <c r="AH407" s="22" t="s">
        <v>42</v>
      </c>
      <c r="AJ407" s="22" t="s">
        <v>42</v>
      </c>
      <c r="AK407" s="22" t="s">
        <v>42</v>
      </c>
      <c r="AL407" s="22" t="s">
        <v>42</v>
      </c>
      <c r="AM407" s="22">
        <f t="shared" si="15"/>
        <v>19</v>
      </c>
    </row>
    <row r="408" spans="1:39" hidden="1" x14ac:dyDescent="0.25">
      <c r="A408" s="20" t="s">
        <v>55</v>
      </c>
      <c r="B408" s="38" t="s">
        <v>162</v>
      </c>
      <c r="C408" s="20" t="s">
        <v>163</v>
      </c>
      <c r="D408" s="20" t="s">
        <v>18</v>
      </c>
      <c r="E408" s="20" t="s">
        <v>18</v>
      </c>
      <c r="F408" s="20" t="s">
        <v>58</v>
      </c>
      <c r="G408" s="39"/>
      <c r="H408" s="40"/>
      <c r="I408" s="22"/>
      <c r="L408" s="22" t="s">
        <v>42</v>
      </c>
      <c r="M408" s="22" t="s">
        <v>42</v>
      </c>
      <c r="O408" s="22" t="s">
        <v>42</v>
      </c>
      <c r="P408" s="22" t="s">
        <v>42</v>
      </c>
      <c r="Q408" s="22" t="s">
        <v>42</v>
      </c>
      <c r="R408" s="22" t="s">
        <v>42</v>
      </c>
      <c r="S408" s="22" t="s">
        <v>42</v>
      </c>
      <c r="T408" s="22" t="s">
        <v>42</v>
      </c>
      <c r="V408" s="22" t="s">
        <v>42</v>
      </c>
      <c r="W408" s="22" t="s">
        <v>42</v>
      </c>
      <c r="X408" s="22" t="s">
        <v>42</v>
      </c>
      <c r="Y408" s="22" t="s">
        <v>42</v>
      </c>
      <c r="Z408" s="22" t="s">
        <v>42</v>
      </c>
      <c r="AA408" s="22" t="s">
        <v>42</v>
      </c>
      <c r="AB408" s="22"/>
      <c r="AC408" s="22" t="s">
        <v>42</v>
      </c>
      <c r="AD408" s="22" t="s">
        <v>42</v>
      </c>
      <c r="AE408" s="22" t="s">
        <v>42</v>
      </c>
      <c r="AF408" s="22" t="s">
        <v>42</v>
      </c>
      <c r="AG408" s="22" t="s">
        <v>42</v>
      </c>
      <c r="AJ408" s="22" t="s">
        <v>42</v>
      </c>
      <c r="AK408" s="22" t="s">
        <v>42</v>
      </c>
      <c r="AL408" s="22" t="s">
        <v>42</v>
      </c>
      <c r="AM408" s="22">
        <f t="shared" si="15"/>
        <v>22</v>
      </c>
    </row>
    <row r="409" spans="1:39" hidden="1" x14ac:dyDescent="0.25">
      <c r="A409" s="20" t="s">
        <v>55</v>
      </c>
      <c r="B409" s="38" t="s">
        <v>453</v>
      </c>
      <c r="C409" s="20" t="s">
        <v>454</v>
      </c>
      <c r="D409" s="20" t="s">
        <v>18</v>
      </c>
      <c r="E409" s="20" t="s">
        <v>18</v>
      </c>
      <c r="F409" s="20" t="s">
        <v>58</v>
      </c>
      <c r="G409" s="39"/>
      <c r="H409" s="40"/>
      <c r="I409" s="22"/>
      <c r="L409" s="22" t="s">
        <v>42</v>
      </c>
      <c r="M409" s="22" t="s">
        <v>42</v>
      </c>
      <c r="O409" s="22" t="s">
        <v>42</v>
      </c>
      <c r="P409" s="22" t="s">
        <v>42</v>
      </c>
      <c r="Q409" s="22" t="s">
        <v>42</v>
      </c>
      <c r="S409" s="22" t="s">
        <v>42</v>
      </c>
      <c r="T409" s="22" t="s">
        <v>42</v>
      </c>
      <c r="V409" s="22" t="s">
        <v>42</v>
      </c>
      <c r="W409" s="22" t="s">
        <v>42</v>
      </c>
      <c r="X409" s="22" t="s">
        <v>42</v>
      </c>
      <c r="Y409" s="22" t="s">
        <v>42</v>
      </c>
      <c r="Z409" s="22" t="s">
        <v>42</v>
      </c>
      <c r="AA409" s="22" t="s">
        <v>42</v>
      </c>
      <c r="AB409" s="22"/>
      <c r="AC409" s="22" t="s">
        <v>42</v>
      </c>
      <c r="AD409" s="22"/>
      <c r="AF409" s="22" t="s">
        <v>42</v>
      </c>
      <c r="AG409" s="22" t="s">
        <v>42</v>
      </c>
      <c r="AH409" s="22" t="s">
        <v>42</v>
      </c>
      <c r="AJ409" s="22" t="s">
        <v>42</v>
      </c>
      <c r="AL409" s="22" t="s">
        <v>42</v>
      </c>
      <c r="AM409" s="22">
        <f t="shared" si="15"/>
        <v>19</v>
      </c>
    </row>
    <row r="410" spans="1:39" x14ac:dyDescent="0.25">
      <c r="A410" s="20" t="s">
        <v>55</v>
      </c>
      <c r="B410" s="38" t="s">
        <v>495</v>
      </c>
      <c r="C410" s="20" t="s">
        <v>496</v>
      </c>
      <c r="D410" s="20" t="s">
        <v>21</v>
      </c>
      <c r="E410" s="20" t="s">
        <v>21</v>
      </c>
      <c r="F410" s="20" t="s">
        <v>58</v>
      </c>
      <c r="G410" s="39"/>
      <c r="H410" s="40"/>
      <c r="I410" s="22"/>
      <c r="L410" s="22" t="s">
        <v>42</v>
      </c>
      <c r="M410" s="22" t="s">
        <v>42</v>
      </c>
      <c r="N410" s="22" t="s">
        <v>42</v>
      </c>
      <c r="O410" s="22" t="s">
        <v>42</v>
      </c>
      <c r="P410" s="22" t="s">
        <v>42</v>
      </c>
      <c r="Q410" s="22" t="s">
        <v>42</v>
      </c>
      <c r="R410" s="22" t="s">
        <v>42</v>
      </c>
      <c r="S410" s="22" t="s">
        <v>42</v>
      </c>
      <c r="T410" s="22" t="s">
        <v>42</v>
      </c>
      <c r="V410" s="22" t="s">
        <v>42</v>
      </c>
      <c r="W410" s="22" t="s">
        <v>42</v>
      </c>
      <c r="X410" s="22" t="s">
        <v>42</v>
      </c>
      <c r="Y410" s="22" t="s">
        <v>42</v>
      </c>
      <c r="Z410" s="22" t="s">
        <v>42</v>
      </c>
      <c r="AA410" s="22" t="s">
        <v>42</v>
      </c>
      <c r="AB410" s="22" t="s">
        <v>42</v>
      </c>
      <c r="AC410" s="22" t="s">
        <v>42</v>
      </c>
      <c r="AD410" s="22" t="s">
        <v>42</v>
      </c>
      <c r="AE410" s="22" t="s">
        <v>42</v>
      </c>
      <c r="AF410" s="22" t="s">
        <v>42</v>
      </c>
      <c r="AG410" s="22" t="s">
        <v>42</v>
      </c>
      <c r="AH410" s="22" t="s">
        <v>42</v>
      </c>
      <c r="AI410" s="22" t="s">
        <v>42</v>
      </c>
      <c r="AJ410" s="22" t="s">
        <v>42</v>
      </c>
      <c r="AK410" s="22" t="s">
        <v>42</v>
      </c>
      <c r="AL410" s="22" t="s">
        <v>42</v>
      </c>
      <c r="AM410" s="22">
        <f t="shared" si="15"/>
        <v>26</v>
      </c>
    </row>
    <row r="411" spans="1:39" hidden="1" x14ac:dyDescent="0.25">
      <c r="A411" s="20" t="s">
        <v>55</v>
      </c>
      <c r="B411" s="38" t="s">
        <v>511</v>
      </c>
      <c r="C411" s="20" t="s">
        <v>512</v>
      </c>
      <c r="D411" s="20" t="s">
        <v>10</v>
      </c>
      <c r="E411" s="20" t="s">
        <v>10</v>
      </c>
      <c r="F411" s="20" t="s">
        <v>58</v>
      </c>
      <c r="G411" s="39"/>
      <c r="H411" s="40"/>
      <c r="I411" s="22"/>
      <c r="L411" s="22" t="s">
        <v>42</v>
      </c>
      <c r="M411" s="22" t="s">
        <v>42</v>
      </c>
      <c r="O411" s="22" t="s">
        <v>42</v>
      </c>
      <c r="P411" s="22" t="s">
        <v>42</v>
      </c>
      <c r="Q411" s="22" t="s">
        <v>42</v>
      </c>
      <c r="R411" s="22" t="s">
        <v>42</v>
      </c>
      <c r="S411" s="22" t="s">
        <v>42</v>
      </c>
      <c r="T411" s="22" t="s">
        <v>42</v>
      </c>
      <c r="V411" s="22" t="s">
        <v>42</v>
      </c>
      <c r="W411" s="22" t="s">
        <v>42</v>
      </c>
      <c r="X411" s="22" t="s">
        <v>42</v>
      </c>
      <c r="Y411" s="22" t="s">
        <v>42</v>
      </c>
      <c r="Z411" s="22" t="s">
        <v>42</v>
      </c>
      <c r="AA411" s="22" t="s">
        <v>42</v>
      </c>
      <c r="AB411" s="22"/>
      <c r="AC411" s="22" t="s">
        <v>42</v>
      </c>
      <c r="AD411" s="22" t="s">
        <v>42</v>
      </c>
      <c r="AE411" s="22" t="s">
        <v>42</v>
      </c>
      <c r="AF411" s="22" t="s">
        <v>42</v>
      </c>
      <c r="AG411" s="22" t="s">
        <v>42</v>
      </c>
      <c r="AH411" s="22" t="s">
        <v>42</v>
      </c>
      <c r="AJ411" s="22" t="s">
        <v>42</v>
      </c>
      <c r="AK411" s="22" t="s">
        <v>42</v>
      </c>
      <c r="AL411" s="22" t="s">
        <v>42</v>
      </c>
      <c r="AM411" s="22">
        <f t="shared" si="15"/>
        <v>23</v>
      </c>
    </row>
    <row r="412" spans="1:39" hidden="1" x14ac:dyDescent="0.25">
      <c r="A412" s="20" t="s">
        <v>55</v>
      </c>
      <c r="B412" s="38" t="s">
        <v>521</v>
      </c>
      <c r="C412" s="20" t="s">
        <v>522</v>
      </c>
      <c r="D412" s="20" t="s">
        <v>21</v>
      </c>
      <c r="E412" s="20" t="s">
        <v>21</v>
      </c>
      <c r="F412" s="20" t="s">
        <v>58</v>
      </c>
      <c r="G412" s="39"/>
      <c r="H412" s="40"/>
      <c r="I412" s="22"/>
      <c r="L412" s="22" t="s">
        <v>42</v>
      </c>
      <c r="M412" s="22" t="s">
        <v>42</v>
      </c>
      <c r="N412" s="22" t="s">
        <v>42</v>
      </c>
      <c r="O412" s="22" t="s">
        <v>42</v>
      </c>
      <c r="P412" s="22" t="s">
        <v>42</v>
      </c>
      <c r="Q412" s="22" t="s">
        <v>42</v>
      </c>
      <c r="R412" s="22" t="s">
        <v>42</v>
      </c>
      <c r="S412" s="22" t="s">
        <v>42</v>
      </c>
      <c r="T412" s="22" t="s">
        <v>42</v>
      </c>
      <c r="V412" s="22" t="s">
        <v>42</v>
      </c>
      <c r="W412" s="22" t="s">
        <v>42</v>
      </c>
      <c r="X412" s="22" t="s">
        <v>42</v>
      </c>
      <c r="Y412" s="22" t="s">
        <v>42</v>
      </c>
      <c r="Z412" s="22" t="s">
        <v>42</v>
      </c>
      <c r="AA412" s="22" t="s">
        <v>42</v>
      </c>
      <c r="AB412" s="22" t="s">
        <v>42</v>
      </c>
      <c r="AD412" s="22"/>
      <c r="AE412" s="22" t="s">
        <v>42</v>
      </c>
      <c r="AF412" s="22" t="s">
        <v>42</v>
      </c>
      <c r="AG412" s="22" t="s">
        <v>42</v>
      </c>
      <c r="AH412" s="22" t="s">
        <v>42</v>
      </c>
      <c r="AJ412" s="22" t="s">
        <v>42</v>
      </c>
      <c r="AK412" s="22" t="s">
        <v>42</v>
      </c>
      <c r="AL412" s="22" t="s">
        <v>42</v>
      </c>
      <c r="AM412" s="22">
        <f t="shared" si="15"/>
        <v>23</v>
      </c>
    </row>
    <row r="413" spans="1:39" hidden="1" x14ac:dyDescent="0.25">
      <c r="A413" s="20" t="s">
        <v>55</v>
      </c>
      <c r="B413" s="38" t="s">
        <v>547</v>
      </c>
      <c r="C413" s="20" t="s">
        <v>104</v>
      </c>
      <c r="D413" s="20" t="s">
        <v>10</v>
      </c>
      <c r="E413" s="20" t="s">
        <v>10</v>
      </c>
      <c r="F413" s="20" t="s">
        <v>58</v>
      </c>
      <c r="G413" s="39"/>
      <c r="H413" s="40"/>
      <c r="I413" s="22"/>
      <c r="L413" s="29" t="s">
        <v>147</v>
      </c>
      <c r="M413" s="31" t="s">
        <v>147</v>
      </c>
      <c r="O413" s="29" t="s">
        <v>147</v>
      </c>
      <c r="P413" s="29" t="s">
        <v>147</v>
      </c>
      <c r="Q413" s="31" t="s">
        <v>147</v>
      </c>
      <c r="R413" s="31" t="s">
        <v>147</v>
      </c>
      <c r="S413" s="31" t="s">
        <v>147</v>
      </c>
      <c r="T413" s="31" t="s">
        <v>147</v>
      </c>
      <c r="V413" s="22" t="s">
        <v>147</v>
      </c>
      <c r="W413" s="31" t="s">
        <v>147</v>
      </c>
      <c r="X413" s="31" t="s">
        <v>147</v>
      </c>
      <c r="Y413" s="31" t="s">
        <v>147</v>
      </c>
      <c r="Z413" s="31" t="s">
        <v>147</v>
      </c>
      <c r="AA413" s="31" t="s">
        <v>147</v>
      </c>
      <c r="AB413" s="22"/>
      <c r="AC413" s="22" t="s">
        <v>147</v>
      </c>
      <c r="AD413" s="31" t="s">
        <v>147</v>
      </c>
      <c r="AE413" s="31" t="s">
        <v>147</v>
      </c>
      <c r="AF413" s="22" t="s">
        <v>42</v>
      </c>
      <c r="AG413" s="31" t="s">
        <v>147</v>
      </c>
      <c r="AH413" s="31" t="s">
        <v>147</v>
      </c>
      <c r="AJ413" s="31" t="s">
        <v>147</v>
      </c>
      <c r="AK413" s="22" t="s">
        <v>42</v>
      </c>
      <c r="AL413" s="31" t="s">
        <v>147</v>
      </c>
      <c r="AM413" s="22">
        <f t="shared" si="15"/>
        <v>2</v>
      </c>
    </row>
    <row r="414" spans="1:39" hidden="1" x14ac:dyDescent="0.25">
      <c r="A414" s="20" t="s">
        <v>55</v>
      </c>
      <c r="B414" s="38" t="s">
        <v>556</v>
      </c>
      <c r="C414" s="20" t="s">
        <v>557</v>
      </c>
      <c r="D414" s="20" t="s">
        <v>11</v>
      </c>
      <c r="E414" s="20" t="s">
        <v>11</v>
      </c>
      <c r="F414" s="20" t="s">
        <v>58</v>
      </c>
      <c r="G414" s="39"/>
      <c r="H414" s="40"/>
      <c r="I414" s="22"/>
      <c r="L414" s="22" t="s">
        <v>42</v>
      </c>
      <c r="M414" s="22" t="s">
        <v>42</v>
      </c>
      <c r="O414" s="22" t="s">
        <v>42</v>
      </c>
      <c r="P414" s="22" t="s">
        <v>42</v>
      </c>
      <c r="Q414" s="22" t="s">
        <v>42</v>
      </c>
      <c r="R414" s="22" t="s">
        <v>42</v>
      </c>
      <c r="V414" s="22" t="s">
        <v>42</v>
      </c>
      <c r="W414" s="22" t="s">
        <v>42</v>
      </c>
      <c r="X414" s="22" t="s">
        <v>42</v>
      </c>
      <c r="Y414" s="22" t="s">
        <v>42</v>
      </c>
      <c r="Z414" s="22" t="s">
        <v>42</v>
      </c>
      <c r="AA414" s="22" t="s">
        <v>42</v>
      </c>
      <c r="AB414" s="22"/>
      <c r="AC414" s="22" t="s">
        <v>42</v>
      </c>
      <c r="AD414" s="22" t="s">
        <v>42</v>
      </c>
      <c r="AE414" s="22" t="s">
        <v>42</v>
      </c>
      <c r="AF414" s="22" t="s">
        <v>42</v>
      </c>
      <c r="AG414" s="22" t="s">
        <v>42</v>
      </c>
      <c r="AH414" s="22" t="s">
        <v>42</v>
      </c>
      <c r="AJ414" s="22" t="s">
        <v>42</v>
      </c>
      <c r="AK414" s="22" t="s">
        <v>42</v>
      </c>
      <c r="AL414" s="22" t="s">
        <v>42</v>
      </c>
      <c r="AM414" s="22">
        <f t="shared" si="15"/>
        <v>21</v>
      </c>
    </row>
    <row r="415" spans="1:39" hidden="1" x14ac:dyDescent="0.25">
      <c r="A415" s="20" t="s">
        <v>55</v>
      </c>
      <c r="B415" s="38" t="s">
        <v>558</v>
      </c>
      <c r="C415" s="20" t="s">
        <v>559</v>
      </c>
      <c r="D415" s="20" t="s">
        <v>11</v>
      </c>
      <c r="E415" s="20" t="s">
        <v>11</v>
      </c>
      <c r="F415" s="20" t="s">
        <v>58</v>
      </c>
      <c r="G415" s="39"/>
      <c r="H415" s="40"/>
      <c r="I415" s="22"/>
      <c r="L415" s="22" t="s">
        <v>42</v>
      </c>
      <c r="M415" s="22" t="s">
        <v>42</v>
      </c>
      <c r="O415" s="22" t="s">
        <v>42</v>
      </c>
      <c r="P415" s="22" t="s">
        <v>42</v>
      </c>
      <c r="Q415" s="22" t="s">
        <v>42</v>
      </c>
      <c r="R415" s="22" t="s">
        <v>42</v>
      </c>
      <c r="W415" s="22" t="s">
        <v>42</v>
      </c>
      <c r="X415" s="22" t="s">
        <v>42</v>
      </c>
      <c r="Y415" s="22" t="s">
        <v>42</v>
      </c>
      <c r="Z415" s="22" t="s">
        <v>42</v>
      </c>
      <c r="AA415" s="22" t="s">
        <v>42</v>
      </c>
      <c r="AB415" s="22"/>
      <c r="AC415" s="22" t="s">
        <v>42</v>
      </c>
      <c r="AD415" s="22" t="s">
        <v>42</v>
      </c>
      <c r="AE415" s="22" t="s">
        <v>42</v>
      </c>
      <c r="AF415" s="22" t="s">
        <v>42</v>
      </c>
      <c r="AG415" s="22" t="s">
        <v>42</v>
      </c>
      <c r="AH415" s="22" t="s">
        <v>42</v>
      </c>
      <c r="AJ415" s="22" t="s">
        <v>42</v>
      </c>
      <c r="AK415" s="22" t="s">
        <v>42</v>
      </c>
      <c r="AL415" s="22" t="s">
        <v>42</v>
      </c>
      <c r="AM415" s="22">
        <f t="shared" si="15"/>
        <v>20</v>
      </c>
    </row>
    <row r="416" spans="1:39" hidden="1" x14ac:dyDescent="0.25">
      <c r="A416" s="20" t="s">
        <v>55</v>
      </c>
      <c r="B416" s="38" t="s">
        <v>918</v>
      </c>
      <c r="C416" s="20" t="s">
        <v>196</v>
      </c>
      <c r="D416" s="20" t="s">
        <v>8</v>
      </c>
      <c r="E416" s="20" t="s">
        <v>8</v>
      </c>
      <c r="F416" s="20" t="s">
        <v>58</v>
      </c>
      <c r="G416" s="39"/>
      <c r="H416" s="40"/>
      <c r="I416" s="22"/>
      <c r="L416" s="22" t="s">
        <v>42</v>
      </c>
      <c r="M416" s="22" t="s">
        <v>42</v>
      </c>
      <c r="O416" s="22" t="s">
        <v>42</v>
      </c>
      <c r="P416" s="22" t="s">
        <v>42</v>
      </c>
      <c r="Q416" s="22" t="s">
        <v>42</v>
      </c>
      <c r="R416" s="22" t="s">
        <v>42</v>
      </c>
      <c r="S416" s="22" t="s">
        <v>42</v>
      </c>
      <c r="T416" s="22" t="s">
        <v>42</v>
      </c>
      <c r="V416" s="22" t="s">
        <v>42</v>
      </c>
      <c r="W416" s="22" t="s">
        <v>42</v>
      </c>
      <c r="X416" s="22" t="s">
        <v>42</v>
      </c>
      <c r="Y416" s="22" t="s">
        <v>42</v>
      </c>
      <c r="Z416" s="22" t="s">
        <v>42</v>
      </c>
      <c r="AA416" s="22" t="s">
        <v>42</v>
      </c>
      <c r="AB416" s="22"/>
      <c r="AC416" s="22" t="s">
        <v>42</v>
      </c>
      <c r="AD416" s="22" t="s">
        <v>42</v>
      </c>
      <c r="AE416" s="22" t="s">
        <v>42</v>
      </c>
      <c r="AF416" s="22" t="s">
        <v>42</v>
      </c>
      <c r="AG416" s="22" t="s">
        <v>42</v>
      </c>
      <c r="AH416" s="22" t="s">
        <v>42</v>
      </c>
      <c r="AJ416" s="22" t="s">
        <v>42</v>
      </c>
      <c r="AK416" s="22" t="s">
        <v>42</v>
      </c>
      <c r="AL416" s="22" t="s">
        <v>42</v>
      </c>
      <c r="AM416" s="22">
        <f t="shared" si="15"/>
        <v>23</v>
      </c>
    </row>
    <row r="417" spans="1:39" hidden="1" x14ac:dyDescent="0.25">
      <c r="A417" s="20" t="s">
        <v>55</v>
      </c>
      <c r="B417" s="38" t="s">
        <v>748</v>
      </c>
      <c r="C417" s="20" t="s">
        <v>749</v>
      </c>
      <c r="D417" s="20" t="s">
        <v>21</v>
      </c>
      <c r="E417" s="20" t="s">
        <v>21</v>
      </c>
      <c r="F417" s="20" t="s">
        <v>58</v>
      </c>
      <c r="G417" s="39"/>
      <c r="H417" s="40"/>
      <c r="I417" s="22"/>
      <c r="L417" s="22" t="s">
        <v>42</v>
      </c>
      <c r="M417" s="22" t="s">
        <v>42</v>
      </c>
      <c r="N417" s="22" t="s">
        <v>42</v>
      </c>
      <c r="O417" s="22" t="s">
        <v>42</v>
      </c>
      <c r="P417" s="22" t="s">
        <v>42</v>
      </c>
      <c r="Q417" s="22" t="s">
        <v>42</v>
      </c>
      <c r="R417" s="22" t="s">
        <v>42</v>
      </c>
      <c r="S417" s="22" t="s">
        <v>42</v>
      </c>
      <c r="T417" s="22" t="s">
        <v>42</v>
      </c>
      <c r="V417" s="22" t="s">
        <v>42</v>
      </c>
      <c r="W417" s="22" t="s">
        <v>42</v>
      </c>
      <c r="X417" s="22" t="s">
        <v>42</v>
      </c>
      <c r="Y417" s="22" t="s">
        <v>42</v>
      </c>
      <c r="Z417" s="22" t="s">
        <v>42</v>
      </c>
      <c r="AA417" s="22" t="s">
        <v>42</v>
      </c>
      <c r="AB417" s="22" t="s">
        <v>42</v>
      </c>
      <c r="AC417" s="22" t="s">
        <v>42</v>
      </c>
      <c r="AD417" s="22" t="s">
        <v>42</v>
      </c>
      <c r="AE417" s="22" t="s">
        <v>42</v>
      </c>
      <c r="AF417" s="22" t="s">
        <v>42</v>
      </c>
      <c r="AG417" s="22" t="s">
        <v>42</v>
      </c>
      <c r="AH417" s="22" t="s">
        <v>42</v>
      </c>
      <c r="AJ417" s="22" t="s">
        <v>42</v>
      </c>
      <c r="AK417" s="22" t="s">
        <v>42</v>
      </c>
      <c r="AL417" s="22" t="s">
        <v>42</v>
      </c>
      <c r="AM417" s="22">
        <f t="shared" si="15"/>
        <v>25</v>
      </c>
    </row>
    <row r="418" spans="1:39" hidden="1" x14ac:dyDescent="0.25">
      <c r="A418" s="20" t="s">
        <v>55</v>
      </c>
      <c r="B418" s="38" t="s">
        <v>767</v>
      </c>
      <c r="C418" s="20" t="s">
        <v>768</v>
      </c>
      <c r="D418" s="20" t="s">
        <v>29</v>
      </c>
      <c r="E418" s="20" t="s">
        <v>29</v>
      </c>
      <c r="F418" s="20" t="s">
        <v>58</v>
      </c>
      <c r="G418" s="39"/>
      <c r="H418" s="40"/>
      <c r="I418" s="31"/>
      <c r="L418" s="22" t="s">
        <v>42</v>
      </c>
      <c r="M418" s="22" t="s">
        <v>42</v>
      </c>
      <c r="Y418" s="22"/>
      <c r="AA418" s="22"/>
      <c r="AF418" s="22"/>
      <c r="AG418" s="22"/>
      <c r="AH418" s="22"/>
      <c r="AM418" s="22">
        <f t="shared" si="15"/>
        <v>2</v>
      </c>
    </row>
    <row r="419" spans="1:39" hidden="1" x14ac:dyDescent="0.25">
      <c r="A419" s="20" t="s">
        <v>55</v>
      </c>
      <c r="B419" s="38" t="s">
        <v>919</v>
      </c>
      <c r="C419" s="20" t="s">
        <v>930</v>
      </c>
      <c r="D419" s="20" t="s">
        <v>10</v>
      </c>
      <c r="E419" s="20" t="s">
        <v>10</v>
      </c>
      <c r="F419" s="20" t="s">
        <v>58</v>
      </c>
      <c r="G419" s="39"/>
      <c r="H419" s="40"/>
      <c r="I419" s="22"/>
      <c r="L419" s="22" t="s">
        <v>147</v>
      </c>
      <c r="W419" s="22" t="s">
        <v>42</v>
      </c>
      <c r="X419" s="22" t="s">
        <v>42</v>
      </c>
      <c r="Y419" s="22" t="s">
        <v>42</v>
      </c>
      <c r="Z419" s="22" t="s">
        <v>42</v>
      </c>
      <c r="AA419" s="22" t="s">
        <v>42</v>
      </c>
      <c r="AB419" s="22"/>
      <c r="AC419" s="22" t="s">
        <v>42</v>
      </c>
      <c r="AD419" s="22" t="s">
        <v>42</v>
      </c>
      <c r="AE419" s="22" t="s">
        <v>42</v>
      </c>
      <c r="AF419" s="22" t="s">
        <v>42</v>
      </c>
      <c r="AG419" s="22" t="s">
        <v>42</v>
      </c>
      <c r="AH419" s="22" t="s">
        <v>42</v>
      </c>
      <c r="AJ419" s="22" t="s">
        <v>42</v>
      </c>
      <c r="AK419" s="22" t="s">
        <v>42</v>
      </c>
      <c r="AL419" s="22" t="s">
        <v>42</v>
      </c>
      <c r="AM419" s="22">
        <f t="shared" si="15"/>
        <v>14</v>
      </c>
    </row>
    <row r="420" spans="1:39" hidden="1" x14ac:dyDescent="0.25">
      <c r="A420" s="20" t="s">
        <v>55</v>
      </c>
      <c r="B420" s="38" t="s">
        <v>920</v>
      </c>
      <c r="C420" s="20" t="s">
        <v>126</v>
      </c>
      <c r="D420" s="20" t="s">
        <v>23</v>
      </c>
      <c r="E420" s="20" t="s">
        <v>23</v>
      </c>
      <c r="F420" s="20" t="s">
        <v>58</v>
      </c>
      <c r="G420" s="39"/>
      <c r="H420" s="40"/>
      <c r="I420" s="22"/>
      <c r="L420" s="22" t="s">
        <v>42</v>
      </c>
      <c r="M420" s="22" t="s">
        <v>42</v>
      </c>
      <c r="P420" s="22" t="s">
        <v>42</v>
      </c>
      <c r="AB420" s="22"/>
      <c r="AC420" s="22" t="s">
        <v>42</v>
      </c>
      <c r="AD420" s="22" t="s">
        <v>42</v>
      </c>
      <c r="AE420" s="22" t="s">
        <v>42</v>
      </c>
      <c r="AF420" s="22" t="s">
        <v>42</v>
      </c>
      <c r="AG420" s="22" t="s">
        <v>42</v>
      </c>
      <c r="AH420" s="22" t="s">
        <v>42</v>
      </c>
      <c r="AJ420" s="22" t="s">
        <v>42</v>
      </c>
      <c r="AM420" s="22">
        <f t="shared" si="15"/>
        <v>10</v>
      </c>
    </row>
    <row r="421" spans="1:39" hidden="1" x14ac:dyDescent="0.25">
      <c r="A421" s="20" t="s">
        <v>55</v>
      </c>
      <c r="B421" s="38" t="s">
        <v>921</v>
      </c>
      <c r="C421" s="20" t="s">
        <v>88</v>
      </c>
      <c r="D421" s="20" t="s">
        <v>21</v>
      </c>
      <c r="E421" s="20" t="s">
        <v>21</v>
      </c>
      <c r="F421" s="20" t="s">
        <v>58</v>
      </c>
      <c r="G421" s="39"/>
      <c r="H421" s="40"/>
      <c r="I421" s="22"/>
      <c r="L421" s="22" t="s">
        <v>42</v>
      </c>
      <c r="M421" s="22" t="s">
        <v>42</v>
      </c>
      <c r="N421" s="22" t="s">
        <v>42</v>
      </c>
      <c r="O421" s="22" t="s">
        <v>42</v>
      </c>
      <c r="P421" s="22" t="s">
        <v>42</v>
      </c>
      <c r="Q421" s="22" t="s">
        <v>42</v>
      </c>
      <c r="R421" s="22" t="s">
        <v>42</v>
      </c>
      <c r="S421" s="22" t="s">
        <v>42</v>
      </c>
      <c r="T421" s="22" t="s">
        <v>42</v>
      </c>
      <c r="V421" s="22" t="s">
        <v>42</v>
      </c>
      <c r="W421" s="22" t="s">
        <v>42</v>
      </c>
      <c r="X421" s="22" t="s">
        <v>42</v>
      </c>
      <c r="Y421" s="22" t="s">
        <v>42</v>
      </c>
      <c r="Z421" s="22" t="s">
        <v>42</v>
      </c>
      <c r="AA421" s="22" t="s">
        <v>42</v>
      </c>
      <c r="AB421" s="22" t="s">
        <v>42</v>
      </c>
      <c r="AC421" s="22" t="s">
        <v>42</v>
      </c>
      <c r="AD421" s="22" t="s">
        <v>42</v>
      </c>
      <c r="AE421" s="22" t="s">
        <v>42</v>
      </c>
      <c r="AF421" s="22" t="s">
        <v>42</v>
      </c>
      <c r="AG421" s="22" t="s">
        <v>42</v>
      </c>
      <c r="AH421" s="22" t="s">
        <v>42</v>
      </c>
      <c r="AJ421" s="22" t="s">
        <v>42</v>
      </c>
      <c r="AK421" s="22" t="s">
        <v>42</v>
      </c>
      <c r="AL421" s="22" t="s">
        <v>42</v>
      </c>
      <c r="AM421" s="22">
        <f t="shared" si="15"/>
        <v>25</v>
      </c>
    </row>
    <row r="422" spans="1:39" hidden="1" x14ac:dyDescent="0.25">
      <c r="A422" s="20" t="s">
        <v>55</v>
      </c>
      <c r="B422" s="38" t="s">
        <v>922</v>
      </c>
      <c r="C422" s="20" t="s">
        <v>931</v>
      </c>
      <c r="D422" s="20" t="s">
        <v>19</v>
      </c>
      <c r="E422" s="20" t="s">
        <v>19</v>
      </c>
      <c r="F422" s="20" t="s">
        <v>58</v>
      </c>
      <c r="G422" s="39"/>
      <c r="H422" s="40"/>
      <c r="I422" s="22"/>
      <c r="L422" s="22" t="s">
        <v>42</v>
      </c>
      <c r="M422" s="22" t="s">
        <v>42</v>
      </c>
      <c r="O422" s="22" t="s">
        <v>42</v>
      </c>
      <c r="P422" s="22" t="s">
        <v>42</v>
      </c>
      <c r="Q422" s="22" t="s">
        <v>42</v>
      </c>
      <c r="R422" s="22" t="s">
        <v>42</v>
      </c>
      <c r="S422" s="22" t="s">
        <v>42</v>
      </c>
      <c r="T422" s="22" t="s">
        <v>42</v>
      </c>
      <c r="V422" s="22" t="s">
        <v>42</v>
      </c>
      <c r="W422" s="22" t="s">
        <v>42</v>
      </c>
      <c r="X422" s="22" t="s">
        <v>42</v>
      </c>
      <c r="Y422" s="22" t="s">
        <v>42</v>
      </c>
      <c r="Z422" s="22" t="s">
        <v>42</v>
      </c>
      <c r="AA422" s="22" t="s">
        <v>42</v>
      </c>
      <c r="AB422" s="22"/>
      <c r="AC422" s="22" t="s">
        <v>42</v>
      </c>
      <c r="AD422" s="22" t="s">
        <v>42</v>
      </c>
      <c r="AE422" s="22" t="s">
        <v>42</v>
      </c>
      <c r="AF422" s="22" t="s">
        <v>42</v>
      </c>
      <c r="AG422" s="22" t="s">
        <v>42</v>
      </c>
      <c r="AH422" s="22" t="s">
        <v>42</v>
      </c>
      <c r="AJ422" s="22" t="s">
        <v>42</v>
      </c>
      <c r="AK422" s="22" t="s">
        <v>42</v>
      </c>
      <c r="AL422" s="22" t="s">
        <v>42</v>
      </c>
      <c r="AM422" s="22">
        <f t="shared" si="15"/>
        <v>23</v>
      </c>
    </row>
    <row r="423" spans="1:39" hidden="1" x14ac:dyDescent="0.25">
      <c r="A423" s="20" t="s">
        <v>55</v>
      </c>
      <c r="B423" s="38" t="s">
        <v>923</v>
      </c>
      <c r="C423" s="20" t="s">
        <v>111</v>
      </c>
      <c r="D423" s="20" t="s">
        <v>28</v>
      </c>
      <c r="E423" s="20" t="s">
        <v>28</v>
      </c>
      <c r="F423" s="20" t="s">
        <v>58</v>
      </c>
      <c r="G423" s="39"/>
      <c r="H423" s="40"/>
      <c r="I423" s="22"/>
      <c r="L423" s="22" t="s">
        <v>42</v>
      </c>
      <c r="M423" s="22" t="s">
        <v>42</v>
      </c>
      <c r="O423" s="22" t="s">
        <v>42</v>
      </c>
      <c r="P423" s="22" t="s">
        <v>42</v>
      </c>
      <c r="Q423" s="22" t="s">
        <v>42</v>
      </c>
      <c r="R423" s="22" t="s">
        <v>42</v>
      </c>
      <c r="S423" s="22" t="s">
        <v>42</v>
      </c>
      <c r="T423" s="22" t="s">
        <v>42</v>
      </c>
      <c r="V423" s="22" t="s">
        <v>42</v>
      </c>
      <c r="W423" s="22" t="s">
        <v>42</v>
      </c>
      <c r="X423" s="22" t="s">
        <v>42</v>
      </c>
      <c r="Y423" s="22" t="s">
        <v>42</v>
      </c>
      <c r="Z423" s="22" t="s">
        <v>42</v>
      </c>
      <c r="AA423" s="22" t="s">
        <v>42</v>
      </c>
      <c r="AB423" s="22"/>
      <c r="AC423" s="22" t="s">
        <v>42</v>
      </c>
      <c r="AD423" s="22" t="s">
        <v>42</v>
      </c>
      <c r="AE423" s="22" t="s">
        <v>42</v>
      </c>
      <c r="AF423" s="22" t="s">
        <v>42</v>
      </c>
      <c r="AG423" s="22" t="s">
        <v>42</v>
      </c>
      <c r="AH423" s="22" t="s">
        <v>42</v>
      </c>
      <c r="AJ423" s="22" t="s">
        <v>42</v>
      </c>
      <c r="AK423" s="22" t="s">
        <v>42</v>
      </c>
      <c r="AL423" s="22" t="s">
        <v>42</v>
      </c>
      <c r="AM423" s="22">
        <f t="shared" si="15"/>
        <v>23</v>
      </c>
    </row>
    <row r="424" spans="1:39" hidden="1" x14ac:dyDescent="0.25">
      <c r="A424" s="20" t="s">
        <v>55</v>
      </c>
      <c r="B424" s="38" t="s">
        <v>924</v>
      </c>
      <c r="C424" s="20" t="s">
        <v>117</v>
      </c>
      <c r="D424" s="20" t="s">
        <v>11</v>
      </c>
      <c r="E424" s="20" t="s">
        <v>11</v>
      </c>
      <c r="F424" s="20" t="s">
        <v>58</v>
      </c>
      <c r="G424" s="39"/>
      <c r="H424" s="40"/>
      <c r="I424" s="22"/>
      <c r="L424" s="22" t="s">
        <v>42</v>
      </c>
      <c r="M424" s="22" t="s">
        <v>42</v>
      </c>
      <c r="O424" s="22" t="s">
        <v>42</v>
      </c>
      <c r="P424" s="22" t="s">
        <v>42</v>
      </c>
      <c r="Q424" s="22" t="s">
        <v>42</v>
      </c>
      <c r="R424" s="22" t="s">
        <v>42</v>
      </c>
      <c r="V424" s="22" t="s">
        <v>42</v>
      </c>
      <c r="W424" s="22" t="s">
        <v>42</v>
      </c>
      <c r="X424" s="22" t="s">
        <v>42</v>
      </c>
      <c r="Y424" s="22" t="s">
        <v>42</v>
      </c>
      <c r="Z424" s="22" t="s">
        <v>42</v>
      </c>
      <c r="AA424" s="22" t="s">
        <v>42</v>
      </c>
      <c r="AB424" s="22"/>
      <c r="AC424" s="22" t="s">
        <v>42</v>
      </c>
      <c r="AD424" s="22" t="s">
        <v>42</v>
      </c>
      <c r="AE424" s="22" t="s">
        <v>42</v>
      </c>
      <c r="AF424" s="22" t="s">
        <v>42</v>
      </c>
      <c r="AG424" s="22" t="s">
        <v>42</v>
      </c>
      <c r="AH424" s="22" t="s">
        <v>42</v>
      </c>
      <c r="AJ424" s="22" t="s">
        <v>42</v>
      </c>
      <c r="AK424" s="22" t="s">
        <v>42</v>
      </c>
      <c r="AL424" s="22" t="s">
        <v>42</v>
      </c>
      <c r="AM424" s="22">
        <f t="shared" si="15"/>
        <v>21</v>
      </c>
    </row>
    <row r="425" spans="1:39" hidden="1" x14ac:dyDescent="0.25">
      <c r="A425" s="20" t="s">
        <v>55</v>
      </c>
      <c r="B425" s="38" t="s">
        <v>925</v>
      </c>
      <c r="C425" s="20" t="s">
        <v>119</v>
      </c>
      <c r="D425" s="20" t="s">
        <v>11</v>
      </c>
      <c r="E425" s="20" t="s">
        <v>11</v>
      </c>
      <c r="F425" s="20" t="s">
        <v>58</v>
      </c>
      <c r="G425" s="39"/>
      <c r="H425" s="40"/>
      <c r="I425" s="22"/>
      <c r="L425" s="22" t="s">
        <v>42</v>
      </c>
      <c r="M425" s="22" t="s">
        <v>42</v>
      </c>
      <c r="O425" s="22" t="s">
        <v>42</v>
      </c>
      <c r="P425" s="22" t="s">
        <v>42</v>
      </c>
      <c r="Q425" s="22" t="s">
        <v>42</v>
      </c>
      <c r="R425" s="22" t="s">
        <v>42</v>
      </c>
      <c r="V425" s="22" t="s">
        <v>42</v>
      </c>
      <c r="W425" s="22" t="s">
        <v>42</v>
      </c>
      <c r="X425" s="22" t="s">
        <v>42</v>
      </c>
      <c r="Y425" s="22" t="s">
        <v>42</v>
      </c>
      <c r="Z425" s="22" t="s">
        <v>42</v>
      </c>
      <c r="AA425" s="22" t="s">
        <v>42</v>
      </c>
      <c r="AB425" s="22"/>
      <c r="AC425" s="22" t="s">
        <v>42</v>
      </c>
      <c r="AD425" s="22" t="s">
        <v>42</v>
      </c>
      <c r="AE425" s="22" t="s">
        <v>42</v>
      </c>
      <c r="AF425" s="22" t="s">
        <v>42</v>
      </c>
      <c r="AG425" s="22" t="s">
        <v>42</v>
      </c>
      <c r="AH425" s="22" t="s">
        <v>42</v>
      </c>
      <c r="AJ425" s="22" t="s">
        <v>42</v>
      </c>
      <c r="AK425" s="22" t="s">
        <v>42</v>
      </c>
      <c r="AL425" s="22" t="s">
        <v>42</v>
      </c>
      <c r="AM425" s="22">
        <f t="shared" si="15"/>
        <v>21</v>
      </c>
    </row>
    <row r="426" spans="1:39" hidden="1" x14ac:dyDescent="0.25">
      <c r="A426" s="20" t="s">
        <v>55</v>
      </c>
      <c r="B426" s="38" t="s">
        <v>926</v>
      </c>
      <c r="C426" s="20" t="s">
        <v>95</v>
      </c>
      <c r="D426" s="20" t="s">
        <v>11</v>
      </c>
      <c r="E426" s="20" t="s">
        <v>11</v>
      </c>
      <c r="F426" s="20" t="s">
        <v>58</v>
      </c>
      <c r="G426" s="39"/>
      <c r="H426" s="40"/>
      <c r="I426" s="22"/>
      <c r="L426" s="22" t="s">
        <v>42</v>
      </c>
      <c r="M426" s="22" t="s">
        <v>42</v>
      </c>
      <c r="O426" s="22" t="s">
        <v>42</v>
      </c>
      <c r="P426" s="22" t="s">
        <v>42</v>
      </c>
      <c r="Q426" s="22" t="s">
        <v>42</v>
      </c>
      <c r="R426" s="22" t="s">
        <v>42</v>
      </c>
      <c r="V426" s="22" t="s">
        <v>42</v>
      </c>
      <c r="W426" s="22" t="s">
        <v>42</v>
      </c>
      <c r="X426" s="22" t="s">
        <v>42</v>
      </c>
      <c r="Y426" s="22" t="s">
        <v>42</v>
      </c>
      <c r="Z426" s="22" t="s">
        <v>42</v>
      </c>
      <c r="AA426" s="22" t="s">
        <v>42</v>
      </c>
      <c r="AB426" s="22"/>
      <c r="AC426" s="22" t="s">
        <v>42</v>
      </c>
      <c r="AD426" s="22" t="s">
        <v>42</v>
      </c>
      <c r="AE426" s="22" t="s">
        <v>42</v>
      </c>
      <c r="AF426" s="22" t="s">
        <v>42</v>
      </c>
      <c r="AG426" s="22" t="s">
        <v>42</v>
      </c>
      <c r="AH426" s="22" t="s">
        <v>42</v>
      </c>
      <c r="AJ426" s="22" t="s">
        <v>42</v>
      </c>
      <c r="AK426" s="22" t="s">
        <v>42</v>
      </c>
      <c r="AL426" s="22" t="s">
        <v>42</v>
      </c>
      <c r="AM426" s="22">
        <f t="shared" si="15"/>
        <v>21</v>
      </c>
    </row>
    <row r="427" spans="1:39" hidden="1" x14ac:dyDescent="0.25">
      <c r="A427" s="20" t="s">
        <v>55</v>
      </c>
      <c r="B427" s="38" t="s">
        <v>927</v>
      </c>
      <c r="C427" s="20" t="s">
        <v>97</v>
      </c>
      <c r="D427" s="20" t="s">
        <v>11</v>
      </c>
      <c r="E427" s="20" t="s">
        <v>11</v>
      </c>
      <c r="F427" s="20" t="s">
        <v>58</v>
      </c>
      <c r="G427" s="39"/>
      <c r="H427" s="40"/>
      <c r="I427" s="22"/>
      <c r="L427" s="22" t="s">
        <v>42</v>
      </c>
      <c r="O427" s="22" t="s">
        <v>42</v>
      </c>
      <c r="S427" s="22" t="s">
        <v>42</v>
      </c>
      <c r="T427" s="22" t="s">
        <v>42</v>
      </c>
      <c r="V427" s="22" t="s">
        <v>42</v>
      </c>
      <c r="W427" s="22" t="s">
        <v>42</v>
      </c>
      <c r="X427" s="22" t="s">
        <v>42</v>
      </c>
      <c r="Y427" s="22" t="s">
        <v>42</v>
      </c>
      <c r="Z427" s="22" t="s">
        <v>42</v>
      </c>
      <c r="AA427" s="22" t="s">
        <v>42</v>
      </c>
      <c r="AB427" s="22"/>
      <c r="AC427" s="22" t="s">
        <v>42</v>
      </c>
      <c r="AD427" s="22" t="s">
        <v>42</v>
      </c>
      <c r="AE427" s="22" t="s">
        <v>42</v>
      </c>
      <c r="AF427" s="22" t="s">
        <v>42</v>
      </c>
      <c r="AG427" s="22" t="s">
        <v>42</v>
      </c>
      <c r="AH427" s="22" t="s">
        <v>42</v>
      </c>
      <c r="AJ427" s="22" t="s">
        <v>42</v>
      </c>
      <c r="AK427" s="22" t="s">
        <v>42</v>
      </c>
      <c r="AL427" s="22" t="s">
        <v>42</v>
      </c>
      <c r="AM427" s="22">
        <f t="shared" si="15"/>
        <v>19</v>
      </c>
    </row>
    <row r="428" spans="1:39" hidden="1" x14ac:dyDescent="0.25">
      <c r="A428" s="20" t="s">
        <v>55</v>
      </c>
      <c r="B428" s="38" t="s">
        <v>928</v>
      </c>
      <c r="C428" s="20" t="s">
        <v>932</v>
      </c>
      <c r="D428" s="20" t="s">
        <v>21</v>
      </c>
      <c r="E428" s="20" t="s">
        <v>21</v>
      </c>
      <c r="F428" s="20" t="s">
        <v>58</v>
      </c>
      <c r="G428" s="39"/>
      <c r="H428" s="40"/>
      <c r="I428" s="22"/>
      <c r="L428" s="22" t="s">
        <v>42</v>
      </c>
      <c r="AB428" s="22"/>
      <c r="AD428" s="22"/>
      <c r="AE428" s="22" t="s">
        <v>42</v>
      </c>
      <c r="AF428" s="22" t="s">
        <v>42</v>
      </c>
      <c r="AG428" s="22" t="s">
        <v>42</v>
      </c>
      <c r="AM428" s="22">
        <f t="shared" si="15"/>
        <v>4</v>
      </c>
    </row>
    <row r="429" spans="1:39" x14ac:dyDescent="0.25">
      <c r="A429" s="20" t="s">
        <v>55</v>
      </c>
      <c r="B429" s="38" t="s">
        <v>940</v>
      </c>
      <c r="C429" s="20" t="s">
        <v>109</v>
      </c>
      <c r="D429" s="20" t="s">
        <v>21</v>
      </c>
      <c r="E429" s="20" t="s">
        <v>21</v>
      </c>
      <c r="F429" s="20" t="s">
        <v>58</v>
      </c>
      <c r="G429" s="39"/>
      <c r="H429" s="40"/>
      <c r="I429" s="22"/>
      <c r="L429" s="22" t="s">
        <v>42</v>
      </c>
      <c r="M429" s="22" t="s">
        <v>42</v>
      </c>
      <c r="N429" s="22" t="s">
        <v>42</v>
      </c>
      <c r="O429" s="22" t="s">
        <v>42</v>
      </c>
      <c r="Q429" s="22" t="s">
        <v>42</v>
      </c>
      <c r="R429" s="22" t="s">
        <v>42</v>
      </c>
      <c r="S429" s="22" t="s">
        <v>42</v>
      </c>
      <c r="T429" s="22" t="s">
        <v>42</v>
      </c>
      <c r="V429" s="22" t="s">
        <v>42</v>
      </c>
      <c r="W429" s="22" t="s">
        <v>42</v>
      </c>
      <c r="X429" s="22" t="s">
        <v>42</v>
      </c>
      <c r="Y429" s="22" t="s">
        <v>42</v>
      </c>
      <c r="Z429" s="22" t="s">
        <v>42</v>
      </c>
      <c r="AA429" s="22" t="s">
        <v>42</v>
      </c>
      <c r="AB429" s="22" t="s">
        <v>42</v>
      </c>
      <c r="AC429" s="22" t="s">
        <v>42</v>
      </c>
      <c r="AD429" s="22" t="s">
        <v>42</v>
      </c>
      <c r="AE429" s="22" t="s">
        <v>42</v>
      </c>
      <c r="AF429" s="22" t="s">
        <v>42</v>
      </c>
      <c r="AG429" s="22" t="s">
        <v>42</v>
      </c>
      <c r="AH429" s="22" t="s">
        <v>42</v>
      </c>
      <c r="AI429" s="22" t="s">
        <v>42</v>
      </c>
      <c r="AJ429" s="22" t="s">
        <v>42</v>
      </c>
      <c r="AK429" s="22" t="s">
        <v>42</v>
      </c>
      <c r="AL429" s="22" t="s">
        <v>42</v>
      </c>
      <c r="AM429" s="22">
        <f t="shared" si="15"/>
        <v>25</v>
      </c>
    </row>
    <row r="430" spans="1:39" hidden="1" x14ac:dyDescent="0.25">
      <c r="A430" s="20" t="s">
        <v>55</v>
      </c>
      <c r="B430" s="38" t="s">
        <v>110</v>
      </c>
      <c r="C430" s="20" t="s">
        <v>111</v>
      </c>
      <c r="D430" s="20" t="s">
        <v>28</v>
      </c>
      <c r="E430" s="20" t="s">
        <v>28</v>
      </c>
      <c r="F430" s="20" t="s">
        <v>58</v>
      </c>
      <c r="G430" s="39"/>
      <c r="H430" s="40"/>
      <c r="I430" s="22"/>
      <c r="L430" s="22" t="s">
        <v>42</v>
      </c>
      <c r="M430" s="22" t="s">
        <v>42</v>
      </c>
      <c r="AB430" s="22"/>
      <c r="AD430" s="22"/>
      <c r="AM430" s="22">
        <f t="shared" si="15"/>
        <v>2</v>
      </c>
    </row>
    <row r="431" spans="1:39" hidden="1" x14ac:dyDescent="0.25">
      <c r="A431" s="20" t="s">
        <v>55</v>
      </c>
      <c r="B431" s="38" t="s">
        <v>829</v>
      </c>
      <c r="C431" s="20" t="s">
        <v>830</v>
      </c>
      <c r="D431" s="20" t="s">
        <v>21</v>
      </c>
      <c r="E431" s="20" t="s">
        <v>21</v>
      </c>
      <c r="F431" s="20" t="s">
        <v>58</v>
      </c>
      <c r="G431" s="39"/>
      <c r="H431" s="40"/>
      <c r="I431" s="22"/>
      <c r="L431" s="22"/>
      <c r="M431" s="22" t="s">
        <v>42</v>
      </c>
      <c r="N431" s="22" t="s">
        <v>42</v>
      </c>
      <c r="O431" s="22" t="s">
        <v>42</v>
      </c>
      <c r="P431" s="22" t="s">
        <v>42</v>
      </c>
      <c r="Q431" s="22" t="s">
        <v>42</v>
      </c>
      <c r="R431" s="22" t="s">
        <v>42</v>
      </c>
      <c r="AB431" s="22"/>
      <c r="AD431" s="22"/>
      <c r="AM431" s="22">
        <f t="shared" si="15"/>
        <v>6</v>
      </c>
    </row>
    <row r="432" spans="1:39" hidden="1" x14ac:dyDescent="0.25">
      <c r="A432" s="20" t="s">
        <v>55</v>
      </c>
      <c r="B432" s="38" t="s">
        <v>493</v>
      </c>
      <c r="C432" s="20" t="s">
        <v>494</v>
      </c>
      <c r="D432" s="20" t="s">
        <v>21</v>
      </c>
      <c r="E432" s="20" t="s">
        <v>21</v>
      </c>
      <c r="F432" s="20" t="s">
        <v>58</v>
      </c>
      <c r="G432" s="39"/>
      <c r="H432" s="40"/>
      <c r="I432" s="22"/>
      <c r="L432" s="22"/>
      <c r="M432" s="22" t="s">
        <v>42</v>
      </c>
      <c r="O432" s="22" t="s">
        <v>42</v>
      </c>
      <c r="P432" s="22" t="s">
        <v>42</v>
      </c>
      <c r="Q432" s="22" t="s">
        <v>42</v>
      </c>
      <c r="R432" s="22" t="s">
        <v>42</v>
      </c>
      <c r="S432" s="22" t="s">
        <v>42</v>
      </c>
      <c r="T432" s="22" t="s">
        <v>42</v>
      </c>
      <c r="V432" s="22" t="s">
        <v>42</v>
      </c>
      <c r="W432" s="22" t="s">
        <v>42</v>
      </c>
      <c r="X432" s="22" t="s">
        <v>42</v>
      </c>
      <c r="Y432" s="22" t="s">
        <v>42</v>
      </c>
      <c r="Z432" s="22" t="s">
        <v>42</v>
      </c>
      <c r="AA432" s="22" t="s">
        <v>42</v>
      </c>
      <c r="AB432" s="22" t="s">
        <v>42</v>
      </c>
      <c r="AC432" s="22" t="s">
        <v>42</v>
      </c>
      <c r="AD432" s="22" t="s">
        <v>42</v>
      </c>
      <c r="AE432" s="22" t="s">
        <v>42</v>
      </c>
      <c r="AF432" s="22" t="s">
        <v>42</v>
      </c>
      <c r="AG432" s="22" t="s">
        <v>42</v>
      </c>
      <c r="AH432" s="22" t="s">
        <v>42</v>
      </c>
      <c r="AL432" s="22" t="s">
        <v>42</v>
      </c>
      <c r="AM432" s="22">
        <f t="shared" si="15"/>
        <v>21</v>
      </c>
    </row>
    <row r="433" spans="1:39" hidden="1" x14ac:dyDescent="0.25">
      <c r="A433" s="20" t="s">
        <v>55</v>
      </c>
      <c r="B433" s="38" t="s">
        <v>222</v>
      </c>
      <c r="C433" s="20" t="s">
        <v>223</v>
      </c>
      <c r="D433" s="20" t="s">
        <v>22</v>
      </c>
      <c r="E433" s="20" t="s">
        <v>22</v>
      </c>
      <c r="F433" s="20" t="s">
        <v>58</v>
      </c>
      <c r="G433" s="39"/>
      <c r="H433" s="40"/>
      <c r="I433" s="22"/>
      <c r="L433" s="22"/>
      <c r="M433" s="22" t="s">
        <v>42</v>
      </c>
      <c r="O433" s="22" t="s">
        <v>42</v>
      </c>
      <c r="P433" s="22" t="s">
        <v>42</v>
      </c>
      <c r="Q433" s="22" t="s">
        <v>42</v>
      </c>
      <c r="R433" s="22" t="s">
        <v>42</v>
      </c>
      <c r="S433" s="22" t="s">
        <v>42</v>
      </c>
      <c r="T433" s="22" t="s">
        <v>42</v>
      </c>
      <c r="V433" s="22" t="s">
        <v>42</v>
      </c>
      <c r="W433" s="22" t="s">
        <v>42</v>
      </c>
      <c r="X433" s="22" t="s">
        <v>42</v>
      </c>
      <c r="Y433" s="22" t="s">
        <v>42</v>
      </c>
      <c r="Z433" s="22" t="s">
        <v>42</v>
      </c>
      <c r="AA433" s="22" t="s">
        <v>42</v>
      </c>
      <c r="AB433" s="22"/>
      <c r="AC433" s="22" t="s">
        <v>42</v>
      </c>
      <c r="AD433" s="22" t="s">
        <v>42</v>
      </c>
      <c r="AE433" s="22" t="s">
        <v>42</v>
      </c>
      <c r="AF433" s="22" t="s">
        <v>42</v>
      </c>
      <c r="AG433" s="22" t="s">
        <v>42</v>
      </c>
      <c r="AH433" s="22" t="s">
        <v>42</v>
      </c>
      <c r="AJ433" s="22" t="s">
        <v>42</v>
      </c>
      <c r="AK433" s="22" t="s">
        <v>42</v>
      </c>
      <c r="AL433" s="22" t="s">
        <v>42</v>
      </c>
      <c r="AM433" s="22">
        <f t="shared" si="15"/>
        <v>22</v>
      </c>
    </row>
    <row r="434" spans="1:39" x14ac:dyDescent="0.25">
      <c r="A434" s="20" t="s">
        <v>55</v>
      </c>
      <c r="B434" s="38" t="s">
        <v>637</v>
      </c>
      <c r="C434" s="20" t="s">
        <v>638</v>
      </c>
      <c r="D434" s="20" t="s">
        <v>21</v>
      </c>
      <c r="E434" s="20" t="s">
        <v>21</v>
      </c>
      <c r="F434" s="20" t="s">
        <v>58</v>
      </c>
      <c r="G434" s="39"/>
      <c r="H434" s="40"/>
      <c r="I434" s="22"/>
      <c r="L434" s="22"/>
      <c r="M434" s="22"/>
      <c r="N434" s="29" t="s">
        <v>42</v>
      </c>
      <c r="O434" s="22" t="s">
        <v>42</v>
      </c>
      <c r="P434" s="22" t="s">
        <v>42</v>
      </c>
      <c r="Q434" s="22" t="s">
        <v>42</v>
      </c>
      <c r="R434" s="22" t="s">
        <v>42</v>
      </c>
      <c r="S434" s="22" t="s">
        <v>42</v>
      </c>
      <c r="T434" s="22" t="s">
        <v>42</v>
      </c>
      <c r="V434" s="22" t="s">
        <v>42</v>
      </c>
      <c r="W434" s="22" t="s">
        <v>42</v>
      </c>
      <c r="X434" s="22" t="s">
        <v>42</v>
      </c>
      <c r="Y434" s="22" t="s">
        <v>42</v>
      </c>
      <c r="Z434" s="22" t="s">
        <v>42</v>
      </c>
      <c r="AA434" s="22" t="s">
        <v>42</v>
      </c>
      <c r="AB434" s="22" t="s">
        <v>42</v>
      </c>
      <c r="AC434" s="22" t="s">
        <v>42</v>
      </c>
      <c r="AD434" s="22" t="s">
        <v>42</v>
      </c>
      <c r="AE434" s="22" t="s">
        <v>42</v>
      </c>
      <c r="AF434" s="22" t="s">
        <v>42</v>
      </c>
      <c r="AG434" s="22" t="s">
        <v>42</v>
      </c>
      <c r="AH434" s="22" t="s">
        <v>42</v>
      </c>
      <c r="AI434" s="22" t="s">
        <v>42</v>
      </c>
      <c r="AJ434" s="22" t="s">
        <v>42</v>
      </c>
      <c r="AL434" s="22" t="s">
        <v>42</v>
      </c>
      <c r="AM434" s="22">
        <f t="shared" si="15"/>
        <v>23</v>
      </c>
    </row>
    <row r="435" spans="1:39" hidden="1" x14ac:dyDescent="0.25">
      <c r="A435" s="20" t="s">
        <v>55</v>
      </c>
      <c r="B435" s="38" t="s">
        <v>354</v>
      </c>
      <c r="C435" s="20" t="s">
        <v>355</v>
      </c>
      <c r="D435" s="20" t="s">
        <v>23</v>
      </c>
      <c r="E435" s="20" t="s">
        <v>23</v>
      </c>
      <c r="F435" s="20" t="s">
        <v>58</v>
      </c>
      <c r="G435" s="39"/>
      <c r="H435" s="40"/>
      <c r="I435" s="22"/>
      <c r="L435" s="22"/>
      <c r="M435" s="22"/>
      <c r="O435" s="22" t="s">
        <v>42</v>
      </c>
      <c r="P435" s="22" t="s">
        <v>42</v>
      </c>
      <c r="Q435" s="22" t="s">
        <v>42</v>
      </c>
      <c r="R435" s="22" t="s">
        <v>42</v>
      </c>
      <c r="S435" s="22" t="s">
        <v>42</v>
      </c>
      <c r="T435" s="22" t="s">
        <v>42</v>
      </c>
      <c r="V435" s="22" t="s">
        <v>42</v>
      </c>
      <c r="W435" s="22" t="s">
        <v>42</v>
      </c>
      <c r="X435" s="22" t="s">
        <v>42</v>
      </c>
      <c r="Y435" s="22" t="s">
        <v>42</v>
      </c>
      <c r="Z435" s="22" t="s">
        <v>42</v>
      </c>
      <c r="AA435" s="22" t="s">
        <v>42</v>
      </c>
      <c r="AB435" s="22"/>
      <c r="AD435" s="22"/>
      <c r="AM435" s="22">
        <f t="shared" si="15"/>
        <v>12</v>
      </c>
    </row>
    <row r="436" spans="1:39" hidden="1" x14ac:dyDescent="0.25">
      <c r="A436" s="20" t="s">
        <v>55</v>
      </c>
      <c r="B436" s="38" t="s">
        <v>939</v>
      </c>
      <c r="C436" s="20" t="s">
        <v>93</v>
      </c>
      <c r="D436" s="20" t="s">
        <v>11</v>
      </c>
      <c r="E436" s="20" t="s">
        <v>11</v>
      </c>
      <c r="F436" s="20" t="s">
        <v>58</v>
      </c>
      <c r="G436" s="39"/>
      <c r="H436" s="40"/>
      <c r="I436" s="22"/>
      <c r="L436" s="22"/>
      <c r="M436" s="22"/>
      <c r="O436" s="22" t="s">
        <v>42</v>
      </c>
      <c r="P436" s="22"/>
      <c r="Q436" s="22"/>
      <c r="S436" s="22" t="s">
        <v>42</v>
      </c>
      <c r="V436" s="22" t="s">
        <v>42</v>
      </c>
      <c r="W436" s="22" t="s">
        <v>42</v>
      </c>
      <c r="X436" s="22" t="s">
        <v>42</v>
      </c>
      <c r="Y436" s="22" t="s">
        <v>42</v>
      </c>
      <c r="Z436" s="22" t="s">
        <v>42</v>
      </c>
      <c r="AA436" s="22" t="s">
        <v>42</v>
      </c>
      <c r="AB436" s="22"/>
      <c r="AC436" s="22" t="s">
        <v>42</v>
      </c>
      <c r="AD436" s="22" t="s">
        <v>42</v>
      </c>
      <c r="AE436" s="22" t="s">
        <v>42</v>
      </c>
      <c r="AF436" s="22" t="s">
        <v>42</v>
      </c>
      <c r="AG436" s="22" t="s">
        <v>42</v>
      </c>
      <c r="AJ436" s="22" t="s">
        <v>42</v>
      </c>
      <c r="AK436" s="22" t="s">
        <v>42</v>
      </c>
      <c r="AL436" s="22" t="s">
        <v>42</v>
      </c>
      <c r="AM436" s="22">
        <f t="shared" si="15"/>
        <v>16</v>
      </c>
    </row>
    <row r="437" spans="1:39" hidden="1" x14ac:dyDescent="0.25">
      <c r="A437" s="20" t="s">
        <v>55</v>
      </c>
      <c r="B437" s="38" t="s">
        <v>535</v>
      </c>
      <c r="C437" s="20" t="s">
        <v>536</v>
      </c>
      <c r="D437" s="20" t="s">
        <v>19</v>
      </c>
      <c r="E437" s="20" t="s">
        <v>19</v>
      </c>
      <c r="F437" s="20" t="s">
        <v>58</v>
      </c>
      <c r="G437" s="39"/>
      <c r="H437" s="40"/>
      <c r="I437" s="22"/>
      <c r="L437" s="22"/>
      <c r="M437" s="22"/>
      <c r="O437" s="22" t="s">
        <v>42</v>
      </c>
      <c r="P437" s="22" t="s">
        <v>42</v>
      </c>
      <c r="Q437" s="22" t="s">
        <v>42</v>
      </c>
      <c r="R437" s="22" t="s">
        <v>42</v>
      </c>
      <c r="S437" s="22" t="s">
        <v>42</v>
      </c>
      <c r="T437" s="22" t="s">
        <v>42</v>
      </c>
      <c r="V437" s="22" t="s">
        <v>42</v>
      </c>
      <c r="W437" s="22" t="s">
        <v>42</v>
      </c>
      <c r="X437" s="22" t="s">
        <v>42</v>
      </c>
      <c r="Y437" s="22" t="s">
        <v>42</v>
      </c>
      <c r="Z437" s="22" t="s">
        <v>42</v>
      </c>
      <c r="AA437" s="22" t="s">
        <v>42</v>
      </c>
      <c r="AB437" s="22"/>
      <c r="AC437" s="22" t="s">
        <v>42</v>
      </c>
      <c r="AD437" s="22" t="s">
        <v>42</v>
      </c>
      <c r="AE437" s="22" t="s">
        <v>42</v>
      </c>
      <c r="AF437" s="22" t="s">
        <v>42</v>
      </c>
      <c r="AG437" s="22" t="s">
        <v>42</v>
      </c>
      <c r="AH437" s="22" t="s">
        <v>42</v>
      </c>
      <c r="AJ437" s="22" t="s">
        <v>42</v>
      </c>
      <c r="AK437" s="22" t="s">
        <v>42</v>
      </c>
      <c r="AL437" s="22" t="s">
        <v>42</v>
      </c>
      <c r="AM437" s="22">
        <f t="shared" si="15"/>
        <v>21</v>
      </c>
    </row>
    <row r="438" spans="1:39" hidden="1" x14ac:dyDescent="0.25">
      <c r="A438" s="20" t="s">
        <v>55</v>
      </c>
      <c r="B438" s="38" t="s">
        <v>429</v>
      </c>
      <c r="C438" s="20" t="s">
        <v>430</v>
      </c>
      <c r="D438" s="20" t="s">
        <v>3</v>
      </c>
      <c r="E438" s="20" t="s">
        <v>3</v>
      </c>
      <c r="F438" s="20" t="s">
        <v>58</v>
      </c>
      <c r="G438" s="39"/>
      <c r="H438" s="40"/>
      <c r="I438" s="22"/>
      <c r="L438" s="22"/>
      <c r="M438" s="22"/>
      <c r="O438" s="22" t="s">
        <v>42</v>
      </c>
      <c r="P438" s="22" t="s">
        <v>42</v>
      </c>
      <c r="Q438" s="22" t="s">
        <v>42</v>
      </c>
      <c r="R438" s="22" t="s">
        <v>42</v>
      </c>
      <c r="S438" s="22" t="s">
        <v>42</v>
      </c>
      <c r="T438" s="22" t="s">
        <v>42</v>
      </c>
      <c r="V438" s="22" t="s">
        <v>42</v>
      </c>
      <c r="W438" s="22" t="s">
        <v>42</v>
      </c>
      <c r="X438" s="22" t="s">
        <v>42</v>
      </c>
      <c r="Y438" s="22" t="s">
        <v>42</v>
      </c>
      <c r="Z438" s="22" t="s">
        <v>42</v>
      </c>
      <c r="AA438" s="22" t="s">
        <v>42</v>
      </c>
      <c r="AB438" s="22"/>
      <c r="AD438" s="22"/>
      <c r="AJ438" s="22" t="s">
        <v>42</v>
      </c>
      <c r="AK438" s="22" t="s">
        <v>42</v>
      </c>
      <c r="AL438" s="22" t="s">
        <v>42</v>
      </c>
      <c r="AM438" s="22">
        <f t="shared" si="15"/>
        <v>15</v>
      </c>
    </row>
    <row r="439" spans="1:39" hidden="1" x14ac:dyDescent="0.25">
      <c r="A439" s="20" t="s">
        <v>55</v>
      </c>
      <c r="B439" s="38" t="s">
        <v>941</v>
      </c>
      <c r="C439" s="20" t="str">
        <f>_xlfn.XLOOKUP(B439,'[1]20260909'!$C$3:$C$333,'[1]20260909'!$B$3:$B$333)</f>
        <v>Huỳnh Thị Thảo</v>
      </c>
      <c r="D439" s="20" t="s">
        <v>28</v>
      </c>
      <c r="E439" s="20" t="s">
        <v>28</v>
      </c>
      <c r="F439" s="20" t="s">
        <v>58</v>
      </c>
      <c r="G439" s="39"/>
      <c r="H439" s="40"/>
      <c r="I439" s="22"/>
      <c r="L439" s="22"/>
      <c r="M439" s="22"/>
      <c r="O439" s="22"/>
      <c r="P439" s="22" t="s">
        <v>42</v>
      </c>
      <c r="Q439" s="22" t="s">
        <v>42</v>
      </c>
      <c r="R439" s="22" t="s">
        <v>42</v>
      </c>
      <c r="S439" s="22" t="s">
        <v>42</v>
      </c>
      <c r="T439" s="22" t="s">
        <v>42</v>
      </c>
      <c r="V439" s="22" t="s">
        <v>42</v>
      </c>
      <c r="W439" s="22" t="s">
        <v>42</v>
      </c>
      <c r="X439" s="22" t="s">
        <v>42</v>
      </c>
      <c r="Y439" s="22" t="s">
        <v>42</v>
      </c>
      <c r="Z439" s="22" t="s">
        <v>42</v>
      </c>
      <c r="AA439" s="22" t="s">
        <v>42</v>
      </c>
      <c r="AB439" s="22"/>
      <c r="AC439" s="22" t="s">
        <v>42</v>
      </c>
      <c r="AD439" s="22" t="s">
        <v>42</v>
      </c>
      <c r="AE439" s="22" t="s">
        <v>42</v>
      </c>
      <c r="AF439" s="22" t="s">
        <v>42</v>
      </c>
      <c r="AG439" s="22" t="s">
        <v>42</v>
      </c>
      <c r="AH439" s="22" t="s">
        <v>42</v>
      </c>
      <c r="AJ439" s="22" t="s">
        <v>42</v>
      </c>
      <c r="AK439" s="22" t="s">
        <v>42</v>
      </c>
      <c r="AL439" s="22" t="s">
        <v>42</v>
      </c>
      <c r="AM439" s="22">
        <f t="shared" si="15"/>
        <v>20</v>
      </c>
    </row>
    <row r="440" spans="1:39" hidden="1" x14ac:dyDescent="0.25">
      <c r="A440" s="20" t="s">
        <v>55</v>
      </c>
      <c r="B440" s="38" t="s">
        <v>942</v>
      </c>
      <c r="C440" s="20" t="str">
        <f>_xlfn.XLOOKUP(B440,'[1]20260909'!$C$3:$C$333,'[1]20260909'!$B$3:$B$333)</f>
        <v>Nguyễn Thanh Hà</v>
      </c>
      <c r="D440" s="20" t="s">
        <v>22</v>
      </c>
      <c r="E440" s="20" t="s">
        <v>22</v>
      </c>
      <c r="F440" s="20" t="s">
        <v>58</v>
      </c>
      <c r="G440" s="39"/>
      <c r="H440" s="40"/>
      <c r="I440" s="22"/>
      <c r="L440" s="22"/>
      <c r="M440" s="22"/>
      <c r="O440" s="22"/>
      <c r="P440" s="22" t="s">
        <v>42</v>
      </c>
      <c r="Q440" s="22" t="s">
        <v>42</v>
      </c>
      <c r="R440" s="22" t="s">
        <v>42</v>
      </c>
      <c r="S440" s="22" t="s">
        <v>42</v>
      </c>
      <c r="T440" s="22" t="s">
        <v>42</v>
      </c>
      <c r="V440" s="22" t="s">
        <v>42</v>
      </c>
      <c r="W440" s="22" t="s">
        <v>42</v>
      </c>
      <c r="X440" s="22" t="s">
        <v>42</v>
      </c>
      <c r="Y440" s="22" t="s">
        <v>42</v>
      </c>
      <c r="Z440" s="22" t="s">
        <v>42</v>
      </c>
      <c r="AA440" s="22" t="s">
        <v>42</v>
      </c>
      <c r="AB440" s="22"/>
      <c r="AC440" s="22" t="s">
        <v>42</v>
      </c>
      <c r="AD440" s="22" t="s">
        <v>42</v>
      </c>
      <c r="AE440" s="22" t="s">
        <v>42</v>
      </c>
      <c r="AF440" s="22" t="s">
        <v>42</v>
      </c>
      <c r="AG440" s="22" t="s">
        <v>42</v>
      </c>
      <c r="AH440" s="22" t="s">
        <v>42</v>
      </c>
      <c r="AJ440" s="22" t="s">
        <v>42</v>
      </c>
      <c r="AK440" s="22" t="s">
        <v>42</v>
      </c>
      <c r="AL440" s="22" t="s">
        <v>42</v>
      </c>
      <c r="AM440" s="22">
        <f t="shared" si="15"/>
        <v>20</v>
      </c>
    </row>
    <row r="441" spans="1:39" hidden="1" x14ac:dyDescent="0.25">
      <c r="A441" s="20" t="s">
        <v>55</v>
      </c>
      <c r="B441" s="38" t="s">
        <v>951</v>
      </c>
      <c r="C441" s="20" t="s">
        <v>944</v>
      </c>
      <c r="D441" s="20" t="s">
        <v>10</v>
      </c>
      <c r="E441" s="20" t="s">
        <v>10</v>
      </c>
      <c r="F441" s="20" t="s">
        <v>58</v>
      </c>
      <c r="G441" s="39"/>
      <c r="H441" s="40"/>
      <c r="I441" s="22"/>
      <c r="L441" s="22"/>
      <c r="M441" s="22"/>
      <c r="O441" s="22"/>
      <c r="P441" s="22" t="s">
        <v>147</v>
      </c>
      <c r="Q441" s="31" t="s">
        <v>147</v>
      </c>
      <c r="R441" s="22" t="s">
        <v>147</v>
      </c>
      <c r="S441" s="31" t="s">
        <v>147</v>
      </c>
      <c r="T441" s="31" t="s">
        <v>147</v>
      </c>
      <c r="V441" s="22" t="s">
        <v>147</v>
      </c>
      <c r="W441" s="31" t="s">
        <v>147</v>
      </c>
      <c r="X441" s="31" t="s">
        <v>147</v>
      </c>
      <c r="Y441" s="31" t="s">
        <v>147</v>
      </c>
      <c r="Z441" s="31" t="s">
        <v>147</v>
      </c>
      <c r="AA441" s="31" t="s">
        <v>147</v>
      </c>
      <c r="AB441" s="22"/>
      <c r="AC441" s="22" t="s">
        <v>147</v>
      </c>
      <c r="AD441" s="31" t="s">
        <v>147</v>
      </c>
      <c r="AE441" s="31" t="s">
        <v>147</v>
      </c>
      <c r="AM441" s="22">
        <f t="shared" si="15"/>
        <v>0</v>
      </c>
    </row>
    <row r="442" spans="1:39" hidden="1" x14ac:dyDescent="0.25">
      <c r="A442" s="20" t="s">
        <v>55</v>
      </c>
      <c r="B442" s="38" t="s">
        <v>962</v>
      </c>
      <c r="C442" s="20" t="s">
        <v>945</v>
      </c>
      <c r="D442" s="20" t="s">
        <v>10</v>
      </c>
      <c r="E442" s="20" t="s">
        <v>10</v>
      </c>
      <c r="F442" s="20" t="s">
        <v>58</v>
      </c>
      <c r="G442" s="39"/>
      <c r="H442" s="40"/>
      <c r="I442" s="22"/>
      <c r="L442" s="22"/>
      <c r="M442" s="22"/>
      <c r="O442" s="22"/>
      <c r="P442" s="22" t="s">
        <v>147</v>
      </c>
      <c r="Q442" s="31" t="s">
        <v>147</v>
      </c>
      <c r="R442" s="22" t="s">
        <v>147</v>
      </c>
      <c r="S442" s="31" t="s">
        <v>147</v>
      </c>
      <c r="T442" s="31" t="s">
        <v>147</v>
      </c>
      <c r="V442" s="22" t="s">
        <v>147</v>
      </c>
      <c r="W442" s="31" t="s">
        <v>147</v>
      </c>
      <c r="X442" s="31" t="s">
        <v>147</v>
      </c>
      <c r="Y442" s="31" t="s">
        <v>147</v>
      </c>
      <c r="Z442" s="31" t="s">
        <v>147</v>
      </c>
      <c r="AA442" s="31" t="s">
        <v>147</v>
      </c>
      <c r="AB442" s="22"/>
      <c r="AC442" s="22" t="s">
        <v>147</v>
      </c>
      <c r="AD442" s="31" t="s">
        <v>147</v>
      </c>
      <c r="AE442" s="31" t="s">
        <v>147</v>
      </c>
      <c r="AG442" s="29" t="s">
        <v>147</v>
      </c>
      <c r="AH442" s="29" t="s">
        <v>147</v>
      </c>
      <c r="AM442" s="22">
        <f t="shared" si="15"/>
        <v>0</v>
      </c>
    </row>
    <row r="443" spans="1:39" hidden="1" x14ac:dyDescent="0.25">
      <c r="A443" s="20" t="s">
        <v>55</v>
      </c>
      <c r="B443" s="38"/>
      <c r="C443" s="20" t="s">
        <v>950</v>
      </c>
      <c r="D443" s="20" t="s">
        <v>16</v>
      </c>
      <c r="E443" s="20" t="s">
        <v>16</v>
      </c>
      <c r="F443" s="20" t="s">
        <v>63</v>
      </c>
      <c r="G443" s="39"/>
      <c r="H443" s="40"/>
      <c r="I443" s="22"/>
      <c r="L443" s="22"/>
      <c r="M443" s="22"/>
      <c r="O443" s="22"/>
      <c r="P443" s="22"/>
      <c r="Q443" s="31"/>
      <c r="R443" s="31" t="s">
        <v>36</v>
      </c>
      <c r="S443" s="31" t="s">
        <v>36</v>
      </c>
      <c r="AB443" s="22"/>
      <c r="AD443" s="22"/>
      <c r="AM443" s="22">
        <f t="shared" si="15"/>
        <v>2</v>
      </c>
    </row>
    <row r="444" spans="1:39" x14ac:dyDescent="0.25">
      <c r="A444" s="20" t="s">
        <v>55</v>
      </c>
      <c r="B444" s="38" t="s">
        <v>947</v>
      </c>
      <c r="C444" s="20" t="str">
        <f>_xlfn.XLOOKUP(B444,'[2]20260910'!$C$3:$C$342,'[2]20260910'!$B$3:$B$342)</f>
        <v>Danh Anh Khoa</v>
      </c>
      <c r="D444" s="20" t="s">
        <v>21</v>
      </c>
      <c r="E444" s="20" t="s">
        <v>21</v>
      </c>
      <c r="F444" s="20" t="s">
        <v>58</v>
      </c>
      <c r="G444" s="39"/>
      <c r="H444" s="40"/>
      <c r="I444" s="22"/>
      <c r="L444" s="22"/>
      <c r="M444" s="22"/>
      <c r="O444" s="22"/>
      <c r="P444" s="22"/>
      <c r="Q444" s="22"/>
      <c r="R444" s="22" t="s">
        <v>42</v>
      </c>
      <c r="W444" s="22" t="s">
        <v>42</v>
      </c>
      <c r="X444" s="22" t="s">
        <v>42</v>
      </c>
      <c r="Y444" s="22" t="s">
        <v>42</v>
      </c>
      <c r="Z444" s="22" t="s">
        <v>42</v>
      </c>
      <c r="AA444" s="22" t="s">
        <v>42</v>
      </c>
      <c r="AB444" s="22" t="s">
        <v>42</v>
      </c>
      <c r="AC444" s="22" t="s">
        <v>42</v>
      </c>
      <c r="AD444" s="22" t="s">
        <v>42</v>
      </c>
      <c r="AE444" s="22" t="s">
        <v>42</v>
      </c>
      <c r="AF444" s="22" t="s">
        <v>42</v>
      </c>
      <c r="AG444" s="22" t="s">
        <v>42</v>
      </c>
      <c r="AH444" s="22" t="s">
        <v>42</v>
      </c>
      <c r="AI444" s="22" t="s">
        <v>42</v>
      </c>
      <c r="AJ444" s="22" t="s">
        <v>42</v>
      </c>
      <c r="AK444" s="22" t="s">
        <v>42</v>
      </c>
      <c r="AL444" s="22" t="s">
        <v>42</v>
      </c>
      <c r="AM444" s="22">
        <f t="shared" si="15"/>
        <v>17</v>
      </c>
    </row>
    <row r="445" spans="1:39" hidden="1" x14ac:dyDescent="0.25">
      <c r="A445" s="20" t="s">
        <v>55</v>
      </c>
      <c r="B445" s="38" t="s">
        <v>946</v>
      </c>
      <c r="C445" s="20" t="str">
        <f>_xlfn.XLOOKUP(B445,'[2]20260910'!$C$3:$C$342,'[2]20260910'!$B$3:$B$342)</f>
        <v>Trần Thiện Thắng</v>
      </c>
      <c r="D445" s="20" t="s">
        <v>21</v>
      </c>
      <c r="E445" s="20" t="s">
        <v>21</v>
      </c>
      <c r="F445" s="20" t="s">
        <v>58</v>
      </c>
      <c r="G445" s="39"/>
      <c r="H445" s="40"/>
      <c r="I445" s="22"/>
      <c r="L445" s="22"/>
      <c r="M445" s="22"/>
      <c r="O445" s="22"/>
      <c r="P445" s="22"/>
      <c r="Q445" s="22"/>
      <c r="R445" s="22" t="s">
        <v>42</v>
      </c>
      <c r="W445" s="22" t="s">
        <v>42</v>
      </c>
      <c r="X445" s="22" t="s">
        <v>42</v>
      </c>
      <c r="Y445" s="22" t="s">
        <v>42</v>
      </c>
      <c r="Z445" s="22" t="s">
        <v>42</v>
      </c>
      <c r="AA445" s="22" t="s">
        <v>42</v>
      </c>
      <c r="AB445" s="22" t="s">
        <v>42</v>
      </c>
      <c r="AD445" s="22" t="s">
        <v>42</v>
      </c>
      <c r="AE445" s="22" t="s">
        <v>42</v>
      </c>
      <c r="AF445" s="22" t="s">
        <v>42</v>
      </c>
      <c r="AG445" s="22" t="s">
        <v>42</v>
      </c>
      <c r="AH445" s="22" t="s">
        <v>42</v>
      </c>
      <c r="AI445" s="22" t="s">
        <v>42</v>
      </c>
      <c r="AJ445" s="22" t="s">
        <v>42</v>
      </c>
      <c r="AM445" s="22">
        <f t="shared" si="15"/>
        <v>14</v>
      </c>
    </row>
    <row r="446" spans="1:39" hidden="1" x14ac:dyDescent="0.25">
      <c r="A446" s="20" t="s">
        <v>55</v>
      </c>
      <c r="B446" s="38" t="s">
        <v>497</v>
      </c>
      <c r="C446" s="20" t="s">
        <v>374</v>
      </c>
      <c r="D446" s="20" t="s">
        <v>23</v>
      </c>
      <c r="E446" s="20" t="s">
        <v>23</v>
      </c>
      <c r="F446" s="20" t="s">
        <v>58</v>
      </c>
      <c r="G446" s="39"/>
      <c r="H446" s="40"/>
      <c r="I446" s="22"/>
      <c r="L446" s="22"/>
      <c r="M446" s="22"/>
      <c r="O446" s="22"/>
      <c r="P446" s="22"/>
      <c r="Q446" s="22"/>
      <c r="R446" s="22"/>
      <c r="V446" s="22" t="s">
        <v>42</v>
      </c>
      <c r="W446" s="22" t="s">
        <v>42</v>
      </c>
      <c r="X446" s="22" t="s">
        <v>42</v>
      </c>
      <c r="Y446" s="22" t="s">
        <v>42</v>
      </c>
      <c r="Z446" s="22" t="s">
        <v>42</v>
      </c>
      <c r="AA446" s="22" t="s">
        <v>42</v>
      </c>
      <c r="AB446" s="22"/>
      <c r="AD446" s="22"/>
      <c r="AM446" s="22">
        <f t="shared" si="15"/>
        <v>6</v>
      </c>
    </row>
    <row r="447" spans="1:39" hidden="1" x14ac:dyDescent="0.25">
      <c r="A447" s="20" t="s">
        <v>55</v>
      </c>
      <c r="B447" s="38" t="s">
        <v>956</v>
      </c>
      <c r="C447" s="20" t="s">
        <v>957</v>
      </c>
      <c r="D447" s="20" t="s">
        <v>14</v>
      </c>
      <c r="E447" s="20" t="s">
        <v>14</v>
      </c>
      <c r="F447" s="20" t="s">
        <v>58</v>
      </c>
      <c r="G447" s="39"/>
      <c r="H447" s="40"/>
      <c r="I447" s="22"/>
      <c r="L447" s="22"/>
      <c r="M447" s="22"/>
      <c r="O447" s="22"/>
      <c r="P447" s="22"/>
      <c r="Q447" s="22"/>
      <c r="R447" s="22"/>
      <c r="V447" s="22"/>
      <c r="W447" s="22" t="s">
        <v>42</v>
      </c>
      <c r="X447" s="22" t="s">
        <v>42</v>
      </c>
      <c r="Y447" s="22" t="s">
        <v>42</v>
      </c>
      <c r="Z447" s="22" t="s">
        <v>42</v>
      </c>
      <c r="AA447" s="22" t="s">
        <v>42</v>
      </c>
      <c r="AB447" s="22"/>
      <c r="AD447" s="22" t="s">
        <v>42</v>
      </c>
      <c r="AE447" s="22"/>
      <c r="AG447" s="22" t="s">
        <v>42</v>
      </c>
      <c r="AH447" s="22"/>
      <c r="AJ447" s="22" t="s">
        <v>42</v>
      </c>
      <c r="AK447" s="22" t="s">
        <v>42</v>
      </c>
      <c r="AL447" s="22" t="s">
        <v>42</v>
      </c>
      <c r="AM447" s="22">
        <f t="shared" si="15"/>
        <v>10</v>
      </c>
    </row>
    <row r="448" spans="1:39" x14ac:dyDescent="0.25">
      <c r="A448" s="20" t="s">
        <v>55</v>
      </c>
      <c r="B448" s="38" t="s">
        <v>958</v>
      </c>
      <c r="C448" s="20" t="str">
        <f>VLOOKUP(B448,[3]T9!$C$9:$D$100,2,0)</f>
        <v>Nguyễn Bá Tuân</v>
      </c>
      <c r="D448" s="20" t="s">
        <v>21</v>
      </c>
      <c r="E448" s="20" t="s">
        <v>21</v>
      </c>
      <c r="F448" s="20" t="s">
        <v>58</v>
      </c>
      <c r="G448" s="39"/>
      <c r="H448" s="40"/>
      <c r="I448" s="22"/>
      <c r="L448" s="22"/>
      <c r="M448" s="22"/>
      <c r="O448" s="22"/>
      <c r="P448" s="22"/>
      <c r="Q448" s="22"/>
      <c r="R448" s="22"/>
      <c r="V448" s="22"/>
      <c r="W448" s="22" t="s">
        <v>42</v>
      </c>
      <c r="X448" s="22" t="s">
        <v>42</v>
      </c>
      <c r="Y448" s="22" t="s">
        <v>42</v>
      </c>
      <c r="Z448" s="22" t="s">
        <v>42</v>
      </c>
      <c r="AA448" s="22" t="s">
        <v>42</v>
      </c>
      <c r="AB448" s="22"/>
      <c r="AC448" s="22" t="s">
        <v>42</v>
      </c>
      <c r="AD448" s="22" t="s">
        <v>42</v>
      </c>
      <c r="AE448" s="22" t="s">
        <v>42</v>
      </c>
      <c r="AF448" s="22" t="s">
        <v>42</v>
      </c>
      <c r="AG448" s="22" t="s">
        <v>42</v>
      </c>
      <c r="AH448" s="22" t="s">
        <v>42</v>
      </c>
      <c r="AI448" s="22" t="s">
        <v>42</v>
      </c>
      <c r="AJ448" s="22" t="s">
        <v>42</v>
      </c>
      <c r="AK448" s="22" t="s">
        <v>42</v>
      </c>
      <c r="AL448" s="22" t="s">
        <v>42</v>
      </c>
      <c r="AM448" s="22">
        <f t="shared" si="15"/>
        <v>15</v>
      </c>
    </row>
    <row r="449" spans="1:39 16370:16377" hidden="1" x14ac:dyDescent="0.25">
      <c r="A449" s="20" t="s">
        <v>55</v>
      </c>
      <c r="B449" s="38" t="s">
        <v>959</v>
      </c>
      <c r="C449" s="20" t="str">
        <f>VLOOKUP(B449,[3]T9!$C$9:$D$100,2,0)</f>
        <v>Trương Thị Phấn</v>
      </c>
      <c r="D449" s="20" t="s">
        <v>21</v>
      </c>
      <c r="E449" s="20" t="s">
        <v>21</v>
      </c>
      <c r="F449" s="20" t="s">
        <v>58</v>
      </c>
      <c r="G449" s="39"/>
      <c r="H449" s="40"/>
      <c r="I449" s="22"/>
      <c r="L449" s="22"/>
      <c r="M449" s="22"/>
      <c r="O449" s="22"/>
      <c r="P449" s="22"/>
      <c r="Q449" s="22"/>
      <c r="R449" s="22"/>
      <c r="V449" s="22"/>
      <c r="W449" s="22" t="s">
        <v>42</v>
      </c>
      <c r="X449" s="22" t="s">
        <v>42</v>
      </c>
      <c r="Y449" s="22" t="s">
        <v>42</v>
      </c>
      <c r="Z449" s="22" t="s">
        <v>42</v>
      </c>
      <c r="AA449" s="22" t="s">
        <v>42</v>
      </c>
      <c r="AB449" s="22"/>
      <c r="AC449" s="22" t="s">
        <v>42</v>
      </c>
      <c r="AD449" s="22" t="s">
        <v>42</v>
      </c>
      <c r="AE449" s="22" t="s">
        <v>42</v>
      </c>
      <c r="AF449" s="22" t="s">
        <v>42</v>
      </c>
      <c r="AG449" s="22" t="s">
        <v>42</v>
      </c>
      <c r="AH449" s="22" t="s">
        <v>42</v>
      </c>
      <c r="AJ449" s="22" t="s">
        <v>42</v>
      </c>
      <c r="AL449" s="22" t="s">
        <v>42</v>
      </c>
      <c r="AM449" s="22">
        <f t="shared" si="15"/>
        <v>13</v>
      </c>
    </row>
    <row r="450" spans="1:39 16370:16377" x14ac:dyDescent="0.25">
      <c r="A450" s="20" t="s">
        <v>55</v>
      </c>
      <c r="B450" s="38" t="s">
        <v>960</v>
      </c>
      <c r="C450" s="20" t="str">
        <f>VLOOKUP(B450,[3]T9!$C$9:$D$100,2,0)</f>
        <v>Nguyễn Quốc Cường</v>
      </c>
      <c r="D450" s="20" t="s">
        <v>21</v>
      </c>
      <c r="E450" s="20" t="s">
        <v>21</v>
      </c>
      <c r="F450" s="20" t="s">
        <v>58</v>
      </c>
      <c r="G450" s="39"/>
      <c r="H450" s="40"/>
      <c r="I450" s="22"/>
      <c r="L450" s="22"/>
      <c r="M450" s="22"/>
      <c r="O450" s="22"/>
      <c r="P450" s="22"/>
      <c r="Q450" s="22"/>
      <c r="R450" s="22"/>
      <c r="V450" s="22"/>
      <c r="W450" s="22" t="s">
        <v>42</v>
      </c>
      <c r="X450" s="22" t="s">
        <v>42</v>
      </c>
      <c r="Y450" s="22" t="s">
        <v>42</v>
      </c>
      <c r="Z450" s="22" t="s">
        <v>42</v>
      </c>
      <c r="AA450" s="22" t="s">
        <v>42</v>
      </c>
      <c r="AB450" s="22" t="s">
        <v>42</v>
      </c>
      <c r="AC450" s="22" t="s">
        <v>42</v>
      </c>
      <c r="AD450" s="22" t="s">
        <v>42</v>
      </c>
      <c r="AE450" s="22" t="s">
        <v>42</v>
      </c>
      <c r="AF450" s="22" t="s">
        <v>42</v>
      </c>
      <c r="AG450" s="22" t="s">
        <v>42</v>
      </c>
      <c r="AH450" s="22" t="s">
        <v>42</v>
      </c>
      <c r="AI450" s="22" t="s">
        <v>42</v>
      </c>
      <c r="AJ450" s="22" t="s">
        <v>42</v>
      </c>
      <c r="AK450" s="22" t="s">
        <v>42</v>
      </c>
      <c r="AL450" s="22" t="s">
        <v>42</v>
      </c>
      <c r="AM450" s="22">
        <f t="shared" si="15"/>
        <v>16</v>
      </c>
    </row>
    <row r="451" spans="1:39 16370:16377" hidden="1" x14ac:dyDescent="0.25">
      <c r="A451" s="20" t="s">
        <v>55</v>
      </c>
      <c r="B451" s="38" t="s">
        <v>961</v>
      </c>
      <c r="C451" s="20" t="str">
        <f>VLOOKUP(B451,[3]T9!$C$9:$D$100,2,0)</f>
        <v>Trần Vũ Thanh Trọng</v>
      </c>
      <c r="D451" s="20" t="s">
        <v>21</v>
      </c>
      <c r="E451" s="20" t="s">
        <v>21</v>
      </c>
      <c r="F451" s="20" t="s">
        <v>58</v>
      </c>
      <c r="G451" s="39"/>
      <c r="H451" s="40"/>
      <c r="I451" s="22"/>
      <c r="L451" s="22"/>
      <c r="M451" s="22"/>
      <c r="O451" s="22"/>
      <c r="P451" s="22"/>
      <c r="Q451" s="22"/>
      <c r="R451" s="22"/>
      <c r="V451" s="22"/>
      <c r="W451" s="22" t="s">
        <v>42</v>
      </c>
      <c r="X451" s="22" t="s">
        <v>42</v>
      </c>
      <c r="Y451" s="22" t="s">
        <v>42</v>
      </c>
      <c r="Z451" s="22" t="s">
        <v>42</v>
      </c>
      <c r="AA451" s="22" t="s">
        <v>42</v>
      </c>
      <c r="AB451" s="22" t="s">
        <v>42</v>
      </c>
      <c r="AD451" s="22"/>
      <c r="AM451" s="22">
        <f t="shared" si="15"/>
        <v>6</v>
      </c>
    </row>
    <row r="452" spans="1:39 16370:16377" hidden="1" x14ac:dyDescent="0.25">
      <c r="A452" s="20" t="s">
        <v>55</v>
      </c>
      <c r="B452" s="38" t="s">
        <v>963</v>
      </c>
      <c r="C452" s="20" t="s">
        <v>964</v>
      </c>
      <c r="D452" s="20" t="s">
        <v>10</v>
      </c>
      <c r="E452" s="20" t="s">
        <v>10</v>
      </c>
      <c r="F452" s="20" t="s">
        <v>58</v>
      </c>
      <c r="G452" s="39"/>
      <c r="H452" s="40"/>
      <c r="I452" s="22"/>
      <c r="L452" s="22"/>
      <c r="M452" s="22"/>
      <c r="O452" s="22"/>
      <c r="P452" s="22"/>
      <c r="Q452" s="22"/>
      <c r="R452" s="22"/>
      <c r="V452" s="22"/>
      <c r="W452" s="31" t="s">
        <v>147</v>
      </c>
      <c r="X452" s="31" t="s">
        <v>147</v>
      </c>
      <c r="Y452" s="31" t="s">
        <v>147</v>
      </c>
      <c r="Z452" s="31" t="s">
        <v>147</v>
      </c>
      <c r="AA452" s="31" t="s">
        <v>147</v>
      </c>
      <c r="AB452" s="22"/>
      <c r="AC452" s="22" t="s">
        <v>147</v>
      </c>
      <c r="AD452" s="31" t="s">
        <v>147</v>
      </c>
      <c r="AE452" s="31" t="s">
        <v>147</v>
      </c>
      <c r="AF452" s="22" t="s">
        <v>42</v>
      </c>
      <c r="AG452" s="31" t="s">
        <v>147</v>
      </c>
      <c r="AH452" s="31" t="s">
        <v>147</v>
      </c>
      <c r="AJ452" s="31" t="s">
        <v>147</v>
      </c>
      <c r="AK452" s="22" t="s">
        <v>42</v>
      </c>
      <c r="AL452" s="31" t="s">
        <v>147</v>
      </c>
      <c r="AM452" s="22">
        <f t="shared" si="15"/>
        <v>2</v>
      </c>
    </row>
    <row r="453" spans="1:39 16370:16377" hidden="1" x14ac:dyDescent="0.25">
      <c r="A453" s="20" t="s">
        <v>55</v>
      </c>
      <c r="B453" s="38" t="s">
        <v>969</v>
      </c>
      <c r="C453" s="20" t="s">
        <v>974</v>
      </c>
      <c r="D453" s="20" t="s">
        <v>19</v>
      </c>
      <c r="E453" s="20" t="s">
        <v>19</v>
      </c>
      <c r="F453" s="20" t="s">
        <v>58</v>
      </c>
      <c r="G453" s="39"/>
      <c r="H453" s="40"/>
      <c r="I453" s="31"/>
      <c r="M453" s="22"/>
      <c r="O453" s="22"/>
      <c r="T453" s="22"/>
      <c r="U453" s="22"/>
      <c r="V453" s="22"/>
      <c r="W453" s="22"/>
      <c r="X453" s="22" t="s">
        <v>42</v>
      </c>
      <c r="Y453" s="22" t="s">
        <v>42</v>
      </c>
      <c r="Z453" s="22" t="s">
        <v>42</v>
      </c>
      <c r="AA453" s="22" t="s">
        <v>42</v>
      </c>
      <c r="AB453" s="22"/>
      <c r="AC453" s="22" t="s">
        <v>42</v>
      </c>
      <c r="AD453" s="22" t="s">
        <v>42</v>
      </c>
      <c r="AE453" s="22" t="s">
        <v>42</v>
      </c>
      <c r="AF453" s="22" t="s">
        <v>42</v>
      </c>
      <c r="AG453" s="22" t="s">
        <v>42</v>
      </c>
      <c r="AH453" s="22" t="s">
        <v>42</v>
      </c>
      <c r="AJ453" s="22" t="s">
        <v>42</v>
      </c>
      <c r="AK453" s="22" t="s">
        <v>42</v>
      </c>
      <c r="AL453" s="22" t="s">
        <v>42</v>
      </c>
      <c r="AM453" s="22">
        <f t="shared" si="15"/>
        <v>13</v>
      </c>
      <c r="XEP453" s="20"/>
      <c r="XEQ453" s="38"/>
      <c r="XER453" s="20"/>
      <c r="XES453" s="20"/>
      <c r="XET453" s="20"/>
      <c r="XEU453" s="20"/>
      <c r="XEV453" s="39"/>
      <c r="XEW453" s="40"/>
    </row>
    <row r="454" spans="1:39 16370:16377" hidden="1" x14ac:dyDescent="0.25">
      <c r="A454" s="20" t="s">
        <v>55</v>
      </c>
      <c r="B454" s="38" t="s">
        <v>970</v>
      </c>
      <c r="C454" s="20" t="s">
        <v>975</v>
      </c>
      <c r="D454" s="20" t="s">
        <v>19</v>
      </c>
      <c r="E454" s="20" t="s">
        <v>19</v>
      </c>
      <c r="F454" s="20" t="s">
        <v>58</v>
      </c>
      <c r="G454" s="39"/>
      <c r="H454" s="40"/>
      <c r="I454" s="22"/>
      <c r="L454" s="22"/>
      <c r="M454" s="22"/>
      <c r="O454" s="22"/>
      <c r="P454" s="22"/>
      <c r="Q454" s="22"/>
      <c r="R454" s="22"/>
      <c r="V454" s="22"/>
      <c r="W454" s="31"/>
      <c r="X454" s="22" t="s">
        <v>42</v>
      </c>
      <c r="Y454" s="22" t="s">
        <v>42</v>
      </c>
      <c r="Z454" s="22" t="s">
        <v>42</v>
      </c>
      <c r="AA454" s="22" t="s">
        <v>42</v>
      </c>
      <c r="AB454" s="22"/>
      <c r="AC454" s="22" t="s">
        <v>42</v>
      </c>
      <c r="AD454" s="22" t="s">
        <v>42</v>
      </c>
      <c r="AE454" s="22" t="s">
        <v>42</v>
      </c>
      <c r="AF454" s="22" t="s">
        <v>42</v>
      </c>
      <c r="AG454" s="22" t="s">
        <v>42</v>
      </c>
      <c r="AH454" s="22" t="s">
        <v>42</v>
      </c>
      <c r="AJ454" s="22" t="s">
        <v>42</v>
      </c>
      <c r="AK454" s="22" t="s">
        <v>42</v>
      </c>
      <c r="AL454" s="22" t="s">
        <v>42</v>
      </c>
      <c r="AM454" s="22">
        <f t="shared" si="15"/>
        <v>13</v>
      </c>
    </row>
    <row r="455" spans="1:39 16370:16377" x14ac:dyDescent="0.25">
      <c r="A455" s="20" t="s">
        <v>55</v>
      </c>
      <c r="B455" s="38" t="s">
        <v>971</v>
      </c>
      <c r="C455" s="20" t="s">
        <v>976</v>
      </c>
      <c r="D455" s="20" t="s">
        <v>21</v>
      </c>
      <c r="E455" s="20" t="s">
        <v>21</v>
      </c>
      <c r="F455" s="20" t="s">
        <v>58</v>
      </c>
      <c r="G455" s="39"/>
      <c r="H455" s="40"/>
      <c r="I455" s="22"/>
      <c r="L455" s="22"/>
      <c r="M455" s="22"/>
      <c r="O455" s="22"/>
      <c r="P455" s="22"/>
      <c r="Q455" s="22"/>
      <c r="R455" s="22"/>
      <c r="V455" s="22"/>
      <c r="W455" s="31"/>
      <c r="X455" s="22" t="s">
        <v>42</v>
      </c>
      <c r="Y455" s="22" t="s">
        <v>42</v>
      </c>
      <c r="Z455" s="22" t="s">
        <v>42</v>
      </c>
      <c r="AA455" s="22" t="s">
        <v>42</v>
      </c>
      <c r="AB455" s="22"/>
      <c r="AC455" s="22" t="s">
        <v>42</v>
      </c>
      <c r="AD455" s="22" t="s">
        <v>42</v>
      </c>
      <c r="AE455" s="22" t="s">
        <v>42</v>
      </c>
      <c r="AF455" s="22" t="s">
        <v>42</v>
      </c>
      <c r="AG455" s="22" t="s">
        <v>42</v>
      </c>
      <c r="AH455" s="22" t="s">
        <v>42</v>
      </c>
      <c r="AI455" s="22" t="s">
        <v>42</v>
      </c>
      <c r="AJ455" s="22" t="s">
        <v>42</v>
      </c>
      <c r="AK455" s="22" t="s">
        <v>42</v>
      </c>
      <c r="AL455" s="22" t="s">
        <v>42</v>
      </c>
      <c r="AM455" s="22">
        <f t="shared" si="15"/>
        <v>14</v>
      </c>
    </row>
    <row r="456" spans="1:39 16370:16377" x14ac:dyDescent="0.25">
      <c r="A456" s="20" t="s">
        <v>55</v>
      </c>
      <c r="B456" s="38" t="s">
        <v>972</v>
      </c>
      <c r="C456" s="20" t="s">
        <v>977</v>
      </c>
      <c r="D456" s="20" t="s">
        <v>21</v>
      </c>
      <c r="E456" s="20" t="s">
        <v>21</v>
      </c>
      <c r="F456" s="20" t="s">
        <v>58</v>
      </c>
      <c r="G456" s="39"/>
      <c r="H456" s="40"/>
      <c r="I456" s="22"/>
      <c r="L456" s="22"/>
      <c r="M456" s="22"/>
      <c r="O456" s="22"/>
      <c r="P456" s="22"/>
      <c r="Q456" s="22"/>
      <c r="R456" s="22"/>
      <c r="V456" s="22"/>
      <c r="W456" s="31"/>
      <c r="X456" s="22" t="s">
        <v>42</v>
      </c>
      <c r="Y456" s="22" t="s">
        <v>42</v>
      </c>
      <c r="Z456" s="22" t="s">
        <v>42</v>
      </c>
      <c r="AA456" s="22" t="s">
        <v>42</v>
      </c>
      <c r="AB456" s="22" t="s">
        <v>42</v>
      </c>
      <c r="AC456" s="22" t="s">
        <v>42</v>
      </c>
      <c r="AD456" s="22" t="s">
        <v>42</v>
      </c>
      <c r="AE456" s="22" t="s">
        <v>42</v>
      </c>
      <c r="AF456" s="22" t="s">
        <v>42</v>
      </c>
      <c r="AG456" s="22" t="s">
        <v>42</v>
      </c>
      <c r="AH456" s="22" t="s">
        <v>42</v>
      </c>
      <c r="AI456" s="22" t="s">
        <v>42</v>
      </c>
      <c r="AJ456" s="22" t="s">
        <v>42</v>
      </c>
      <c r="AK456" s="22" t="s">
        <v>42</v>
      </c>
      <c r="AL456" s="22" t="s">
        <v>42</v>
      </c>
      <c r="AM456" s="22">
        <f t="shared" si="15"/>
        <v>15</v>
      </c>
    </row>
    <row r="457" spans="1:39 16370:16377" hidden="1" x14ac:dyDescent="0.25">
      <c r="A457" s="20" t="s">
        <v>55</v>
      </c>
      <c r="B457" s="38" t="s">
        <v>973</v>
      </c>
      <c r="C457" s="20" t="s">
        <v>978</v>
      </c>
      <c r="D457" s="20" t="s">
        <v>22</v>
      </c>
      <c r="E457" s="20" t="s">
        <v>22</v>
      </c>
      <c r="F457" s="20" t="s">
        <v>58</v>
      </c>
      <c r="G457" s="39"/>
      <c r="H457" s="40"/>
      <c r="I457" s="22"/>
      <c r="L457" s="22"/>
      <c r="M457" s="22"/>
      <c r="O457" s="22"/>
      <c r="P457" s="22"/>
      <c r="Q457" s="22"/>
      <c r="R457" s="22"/>
      <c r="V457" s="22"/>
      <c r="W457" s="31"/>
      <c r="X457" s="22" t="s">
        <v>42</v>
      </c>
      <c r="Y457" s="22" t="s">
        <v>42</v>
      </c>
      <c r="Z457" s="22" t="s">
        <v>42</v>
      </c>
      <c r="AA457" s="22" t="s">
        <v>42</v>
      </c>
      <c r="AB457" s="22"/>
      <c r="AC457" s="22" t="s">
        <v>42</v>
      </c>
      <c r="AD457" s="22" t="s">
        <v>42</v>
      </c>
      <c r="AE457" s="22" t="s">
        <v>42</v>
      </c>
      <c r="AF457" s="22" t="s">
        <v>42</v>
      </c>
      <c r="AG457" s="22" t="s">
        <v>42</v>
      </c>
      <c r="AH457" s="22" t="s">
        <v>42</v>
      </c>
      <c r="AJ457" s="22" t="s">
        <v>42</v>
      </c>
      <c r="AK457" s="22" t="s">
        <v>42</v>
      </c>
      <c r="AL457" s="22" t="s">
        <v>42</v>
      </c>
      <c r="AM457" s="22">
        <f t="shared" si="15"/>
        <v>13</v>
      </c>
    </row>
    <row r="458" spans="1:39 16370:16377" hidden="1" x14ac:dyDescent="0.25">
      <c r="A458" s="20" t="s">
        <v>55</v>
      </c>
      <c r="B458" s="38" t="s">
        <v>985</v>
      </c>
      <c r="C458" s="20" t="s">
        <v>986</v>
      </c>
      <c r="D458" s="20" t="s">
        <v>10</v>
      </c>
      <c r="E458" s="20" t="s">
        <v>10</v>
      </c>
      <c r="F458" s="20" t="s">
        <v>58</v>
      </c>
      <c r="G458" s="39"/>
      <c r="H458" s="40"/>
      <c r="I458" s="22"/>
      <c r="L458" s="22"/>
      <c r="M458" s="22"/>
      <c r="O458" s="22"/>
      <c r="P458" s="22"/>
      <c r="Q458" s="22"/>
      <c r="R458" s="22"/>
      <c r="V458" s="22"/>
      <c r="W458" s="31"/>
      <c r="X458" s="31"/>
      <c r="AB458" s="22"/>
      <c r="AC458" s="22" t="s">
        <v>42</v>
      </c>
      <c r="AD458" s="22" t="s">
        <v>42</v>
      </c>
      <c r="AE458" s="22" t="s">
        <v>42</v>
      </c>
      <c r="AF458" s="22" t="s">
        <v>42</v>
      </c>
      <c r="AG458" s="31" t="s">
        <v>147</v>
      </c>
      <c r="AH458" s="22" t="s">
        <v>42</v>
      </c>
      <c r="AJ458" s="22" t="s">
        <v>42</v>
      </c>
      <c r="AK458" s="22" t="s">
        <v>42</v>
      </c>
      <c r="AL458" s="22" t="s">
        <v>42</v>
      </c>
      <c r="AM458" s="22">
        <f t="shared" si="15"/>
        <v>8</v>
      </c>
    </row>
    <row r="459" spans="1:39 16370:16377" hidden="1" x14ac:dyDescent="0.25">
      <c r="A459" s="20" t="s">
        <v>55</v>
      </c>
      <c r="B459" s="38" t="s">
        <v>992</v>
      </c>
      <c r="C459" s="20" t="s">
        <v>995</v>
      </c>
      <c r="D459" s="20" t="s">
        <v>21</v>
      </c>
      <c r="E459" s="20" t="s">
        <v>21</v>
      </c>
      <c r="F459" s="20" t="s">
        <v>58</v>
      </c>
      <c r="G459" s="39"/>
      <c r="H459" s="40"/>
      <c r="I459" s="22"/>
      <c r="L459" s="22"/>
      <c r="M459" s="22"/>
      <c r="O459" s="22"/>
      <c r="P459" s="22"/>
      <c r="Q459" s="22"/>
      <c r="R459" s="22"/>
      <c r="V459" s="22"/>
      <c r="W459" s="31"/>
      <c r="X459" s="31"/>
      <c r="AB459" s="22"/>
      <c r="AD459" s="22"/>
      <c r="AE459" s="22" t="s">
        <v>42</v>
      </c>
      <c r="AF459" s="22" t="s">
        <v>42</v>
      </c>
      <c r="AG459" s="22" t="s">
        <v>42</v>
      </c>
      <c r="AH459" s="22" t="s">
        <v>42</v>
      </c>
      <c r="AI459" s="22" t="s">
        <v>42</v>
      </c>
      <c r="AJ459" s="22" t="s">
        <v>42</v>
      </c>
      <c r="AM459" s="22">
        <f t="shared" si="15"/>
        <v>6</v>
      </c>
    </row>
    <row r="460" spans="1:39 16370:16377" hidden="1" x14ac:dyDescent="0.25">
      <c r="A460" s="20" t="s">
        <v>55</v>
      </c>
      <c r="B460" s="38" t="s">
        <v>993</v>
      </c>
      <c r="C460" s="20" t="s">
        <v>996</v>
      </c>
      <c r="D460" s="20" t="s">
        <v>21</v>
      </c>
      <c r="E460" s="20" t="s">
        <v>21</v>
      </c>
      <c r="F460" s="20" t="s">
        <v>58</v>
      </c>
      <c r="G460" s="39"/>
      <c r="H460" s="40"/>
      <c r="I460" s="22"/>
      <c r="L460" s="22"/>
      <c r="M460" s="22"/>
      <c r="O460" s="22"/>
      <c r="P460" s="22"/>
      <c r="Q460" s="22"/>
      <c r="R460" s="22"/>
      <c r="V460" s="22"/>
      <c r="W460" s="31"/>
      <c r="X460" s="31"/>
      <c r="AB460" s="22"/>
      <c r="AD460" s="22"/>
      <c r="AE460" s="22" t="s">
        <v>42</v>
      </c>
      <c r="AF460" s="22" t="s">
        <v>42</v>
      </c>
      <c r="AG460" s="22" t="s">
        <v>42</v>
      </c>
      <c r="AH460" s="22" t="s">
        <v>42</v>
      </c>
      <c r="AJ460" s="22" t="s">
        <v>42</v>
      </c>
      <c r="AK460" s="22" t="s">
        <v>42</v>
      </c>
      <c r="AL460" s="22" t="s">
        <v>42</v>
      </c>
      <c r="AM460" s="22">
        <f t="shared" si="15"/>
        <v>7</v>
      </c>
    </row>
    <row r="461" spans="1:39 16370:16377" hidden="1" x14ac:dyDescent="0.25">
      <c r="A461" s="20" t="s">
        <v>55</v>
      </c>
      <c r="B461" s="38" t="s">
        <v>994</v>
      </c>
      <c r="C461" s="20" t="s">
        <v>997</v>
      </c>
      <c r="D461" s="20" t="s">
        <v>23</v>
      </c>
      <c r="E461" s="20" t="s">
        <v>23</v>
      </c>
      <c r="F461" s="20" t="s">
        <v>58</v>
      </c>
      <c r="G461" s="39"/>
      <c r="H461" s="40"/>
      <c r="I461" s="22"/>
      <c r="L461" s="22"/>
      <c r="M461" s="22"/>
      <c r="O461" s="22"/>
      <c r="P461" s="22"/>
      <c r="Q461" s="22"/>
      <c r="R461" s="22"/>
      <c r="V461" s="22"/>
      <c r="W461" s="31"/>
      <c r="X461" s="31"/>
      <c r="AB461" s="22"/>
      <c r="AD461" s="22"/>
      <c r="AE461" s="22" t="s">
        <v>42</v>
      </c>
      <c r="AF461" s="22" t="s">
        <v>42</v>
      </c>
      <c r="AH461" s="22" t="s">
        <v>42</v>
      </c>
      <c r="AM461" s="22">
        <f t="shared" si="15"/>
        <v>3</v>
      </c>
    </row>
    <row r="468" spans="2:39" x14ac:dyDescent="0.25">
      <c r="B468" s="45" t="s">
        <v>594</v>
      </c>
      <c r="C468" s="42"/>
      <c r="AM468" s="22">
        <f t="shared" ref="AM468:AM479" si="16">COUNTA(I468:AK468)-COUNTIF(I468:AK468,"CT")</f>
        <v>0</v>
      </c>
    </row>
    <row r="469" spans="2:39" x14ac:dyDescent="0.25">
      <c r="B469" s="45" t="s">
        <v>602</v>
      </c>
      <c r="C469" s="42"/>
      <c r="AM469" s="22">
        <f t="shared" si="16"/>
        <v>0</v>
      </c>
    </row>
    <row r="470" spans="2:39" x14ac:dyDescent="0.25">
      <c r="B470" s="45" t="s">
        <v>604</v>
      </c>
      <c r="C470" s="42"/>
      <c r="AM470" s="22">
        <f t="shared" si="16"/>
        <v>0</v>
      </c>
    </row>
    <row r="471" spans="2:39" x14ac:dyDescent="0.25">
      <c r="B471" s="45" t="s">
        <v>473</v>
      </c>
      <c r="C471" s="42"/>
      <c r="AM471" s="22">
        <f t="shared" si="16"/>
        <v>0</v>
      </c>
    </row>
    <row r="472" spans="2:39" x14ac:dyDescent="0.25">
      <c r="B472" s="45" t="s">
        <v>637</v>
      </c>
      <c r="C472" s="42"/>
      <c r="AM472" s="22">
        <f t="shared" si="16"/>
        <v>0</v>
      </c>
    </row>
    <row r="473" spans="2:39" x14ac:dyDescent="0.25">
      <c r="B473" s="45" t="s">
        <v>699</v>
      </c>
      <c r="C473" s="42"/>
      <c r="AM473" s="22">
        <f t="shared" si="16"/>
        <v>0</v>
      </c>
    </row>
    <row r="474" spans="2:39" x14ac:dyDescent="0.25">
      <c r="B474" s="45" t="s">
        <v>697</v>
      </c>
      <c r="C474" s="38"/>
      <c r="AM474" s="22">
        <f t="shared" si="16"/>
        <v>0</v>
      </c>
    </row>
    <row r="475" spans="2:39" x14ac:dyDescent="0.25">
      <c r="B475" s="45" t="s">
        <v>940</v>
      </c>
      <c r="AM475" s="22">
        <f t="shared" si="16"/>
        <v>0</v>
      </c>
    </row>
    <row r="476" spans="2:39" x14ac:dyDescent="0.25">
      <c r="B476" s="45" t="s">
        <v>755</v>
      </c>
      <c r="AM476" s="22">
        <f t="shared" si="16"/>
        <v>0</v>
      </c>
    </row>
    <row r="477" spans="2:39" x14ac:dyDescent="0.25">
      <c r="B477" s="45" t="s">
        <v>793</v>
      </c>
      <c r="AM477" s="22">
        <f t="shared" si="16"/>
        <v>0</v>
      </c>
    </row>
    <row r="478" spans="2:39" x14ac:dyDescent="0.25">
      <c r="B478" s="45" t="s">
        <v>797</v>
      </c>
      <c r="AM478" s="22">
        <f t="shared" si="16"/>
        <v>0</v>
      </c>
    </row>
    <row r="479" spans="2:39" x14ac:dyDescent="0.25">
      <c r="B479" s="45" t="s">
        <v>802</v>
      </c>
      <c r="AM479" s="22">
        <f t="shared" si="16"/>
        <v>0</v>
      </c>
    </row>
    <row r="480" spans="2:39" x14ac:dyDescent="0.25">
      <c r="B480" s="45" t="s">
        <v>582</v>
      </c>
      <c r="AM480" s="22">
        <f t="shared" ref="AM480:AM543" si="17">COUNTA(I480:AK480)-COUNTIF(I480:AK480,"CT")</f>
        <v>0</v>
      </c>
    </row>
    <row r="481" spans="2:39" x14ac:dyDescent="0.25">
      <c r="B481" s="45" t="s">
        <v>258</v>
      </c>
      <c r="AM481" s="22">
        <f t="shared" si="17"/>
        <v>0</v>
      </c>
    </row>
    <row r="482" spans="2:39" x14ac:dyDescent="0.25">
      <c r="B482" s="45" t="s">
        <v>487</v>
      </c>
      <c r="AM482" s="22">
        <f t="shared" si="17"/>
        <v>0</v>
      </c>
    </row>
    <row r="483" spans="2:39" x14ac:dyDescent="0.25">
      <c r="B483" s="45" t="s">
        <v>152</v>
      </c>
      <c r="AM483" s="22">
        <f t="shared" si="17"/>
        <v>0</v>
      </c>
    </row>
    <row r="484" spans="2:39" x14ac:dyDescent="0.25">
      <c r="B484" s="45" t="s">
        <v>643</v>
      </c>
      <c r="AM484" s="22">
        <f t="shared" si="17"/>
        <v>0</v>
      </c>
    </row>
    <row r="485" spans="2:39" x14ac:dyDescent="0.25">
      <c r="B485" s="45" t="s">
        <v>848</v>
      </c>
      <c r="AM485" s="22">
        <f t="shared" si="17"/>
        <v>0</v>
      </c>
    </row>
    <row r="486" spans="2:39" x14ac:dyDescent="0.25">
      <c r="B486" s="45" t="s">
        <v>847</v>
      </c>
      <c r="AM486" s="22">
        <f t="shared" si="17"/>
        <v>0</v>
      </c>
    </row>
    <row r="487" spans="2:39" x14ac:dyDescent="0.25">
      <c r="B487" s="45" t="s">
        <v>935</v>
      </c>
      <c r="AM487" s="22">
        <f t="shared" si="17"/>
        <v>0</v>
      </c>
    </row>
    <row r="488" spans="2:39" x14ac:dyDescent="0.25">
      <c r="B488" s="45" t="s">
        <v>936</v>
      </c>
      <c r="AM488" s="22">
        <f t="shared" si="17"/>
        <v>0</v>
      </c>
    </row>
    <row r="489" spans="2:39" x14ac:dyDescent="0.25">
      <c r="B489" s="45" t="s">
        <v>789</v>
      </c>
      <c r="AM489" s="22">
        <f t="shared" si="17"/>
        <v>0</v>
      </c>
    </row>
    <row r="490" spans="2:39" x14ac:dyDescent="0.25">
      <c r="B490" s="45" t="s">
        <v>498</v>
      </c>
      <c r="AM490" s="22">
        <f t="shared" si="17"/>
        <v>0</v>
      </c>
    </row>
    <row r="491" spans="2:39" x14ac:dyDescent="0.25">
      <c r="B491" s="45" t="s">
        <v>590</v>
      </c>
      <c r="AM491" s="22">
        <f t="shared" si="17"/>
        <v>0</v>
      </c>
    </row>
    <row r="492" spans="2:39" x14ac:dyDescent="0.25">
      <c r="B492" s="45" t="s">
        <v>635</v>
      </c>
      <c r="AM492" s="22">
        <f t="shared" si="17"/>
        <v>0</v>
      </c>
    </row>
    <row r="493" spans="2:39" x14ac:dyDescent="0.25">
      <c r="B493" s="45" t="s">
        <v>521</v>
      </c>
      <c r="AM493" s="22">
        <f t="shared" si="17"/>
        <v>0</v>
      </c>
    </row>
    <row r="494" spans="2:39" x14ac:dyDescent="0.25">
      <c r="B494" s="45" t="s">
        <v>606</v>
      </c>
      <c r="AM494" s="22">
        <f t="shared" si="17"/>
        <v>0</v>
      </c>
    </row>
    <row r="495" spans="2:39" x14ac:dyDescent="0.25">
      <c r="B495" s="45" t="s">
        <v>921</v>
      </c>
      <c r="AM495" s="22">
        <f t="shared" si="17"/>
        <v>0</v>
      </c>
    </row>
    <row r="496" spans="2:39" x14ac:dyDescent="0.25">
      <c r="B496" s="45" t="s">
        <v>808</v>
      </c>
      <c r="AM496" s="22">
        <f t="shared" si="17"/>
        <v>0</v>
      </c>
    </row>
    <row r="497" spans="2:39" x14ac:dyDescent="0.25">
      <c r="B497" s="45" t="s">
        <v>937</v>
      </c>
      <c r="AM497" s="22">
        <f t="shared" si="17"/>
        <v>0</v>
      </c>
    </row>
    <row r="498" spans="2:39" x14ac:dyDescent="0.25">
      <c r="B498" s="45" t="s">
        <v>740</v>
      </c>
      <c r="AM498" s="22">
        <f t="shared" si="17"/>
        <v>0</v>
      </c>
    </row>
    <row r="499" spans="2:39" x14ac:dyDescent="0.25">
      <c r="B499" s="45" t="s">
        <v>742</v>
      </c>
      <c r="AM499" s="22">
        <f t="shared" si="17"/>
        <v>0</v>
      </c>
    </row>
    <row r="500" spans="2:39" x14ac:dyDescent="0.25">
      <c r="B500" s="45" t="s">
        <v>451</v>
      </c>
      <c r="AM500" s="22">
        <f t="shared" si="17"/>
        <v>0</v>
      </c>
    </row>
    <row r="501" spans="2:39" x14ac:dyDescent="0.25">
      <c r="B501" s="45" t="s">
        <v>572</v>
      </c>
      <c r="AM501" s="22">
        <f t="shared" si="17"/>
        <v>0</v>
      </c>
    </row>
    <row r="502" spans="2:39" x14ac:dyDescent="0.25">
      <c r="B502" s="45" t="s">
        <v>447</v>
      </c>
      <c r="AM502" s="22">
        <f t="shared" si="17"/>
        <v>0</v>
      </c>
    </row>
    <row r="503" spans="2:39" x14ac:dyDescent="0.25">
      <c r="B503" s="45" t="s">
        <v>633</v>
      </c>
      <c r="AM503" s="22">
        <f t="shared" si="17"/>
        <v>0</v>
      </c>
    </row>
    <row r="504" spans="2:39" x14ac:dyDescent="0.25">
      <c r="B504" s="45" t="s">
        <v>592</v>
      </c>
      <c r="AM504" s="22">
        <f t="shared" si="17"/>
        <v>0</v>
      </c>
    </row>
    <row r="505" spans="2:39" x14ac:dyDescent="0.25">
      <c r="B505" s="45" t="s">
        <v>541</v>
      </c>
      <c r="AM505" s="22">
        <f t="shared" si="17"/>
        <v>0</v>
      </c>
    </row>
    <row r="506" spans="2:39" x14ac:dyDescent="0.25">
      <c r="B506" s="45" t="s">
        <v>972</v>
      </c>
      <c r="AM506" s="22">
        <f t="shared" si="17"/>
        <v>0</v>
      </c>
    </row>
    <row r="507" spans="2:39" x14ac:dyDescent="0.25">
      <c r="B507" s="45" t="s">
        <v>938</v>
      </c>
      <c r="AM507" s="22">
        <f t="shared" si="17"/>
        <v>0</v>
      </c>
    </row>
    <row r="508" spans="2:39" x14ac:dyDescent="0.25">
      <c r="B508" s="45" t="s">
        <v>854</v>
      </c>
      <c r="AM508" s="22">
        <f t="shared" si="17"/>
        <v>0</v>
      </c>
    </row>
    <row r="509" spans="2:39" x14ac:dyDescent="0.25">
      <c r="B509" s="45" t="s">
        <v>856</v>
      </c>
      <c r="AM509" s="22">
        <f t="shared" si="17"/>
        <v>0</v>
      </c>
    </row>
    <row r="510" spans="2:39" x14ac:dyDescent="0.25">
      <c r="B510" s="45" t="s">
        <v>759</v>
      </c>
      <c r="AM510" s="22">
        <f t="shared" si="17"/>
        <v>0</v>
      </c>
    </row>
    <row r="511" spans="2:39" x14ac:dyDescent="0.25">
      <c r="B511" s="45" t="s">
        <v>958</v>
      </c>
      <c r="AM511" s="22">
        <f t="shared" si="17"/>
        <v>0</v>
      </c>
    </row>
    <row r="512" spans="2:39" x14ac:dyDescent="0.25">
      <c r="B512" s="45" t="s">
        <v>959</v>
      </c>
      <c r="AM512" s="22">
        <f t="shared" si="17"/>
        <v>0</v>
      </c>
    </row>
    <row r="513" spans="2:39" x14ac:dyDescent="0.25">
      <c r="B513" s="45" t="s">
        <v>993</v>
      </c>
      <c r="AM513" s="22">
        <f t="shared" si="17"/>
        <v>0</v>
      </c>
    </row>
    <row r="514" spans="2:39" x14ac:dyDescent="0.25">
      <c r="B514" s="45" t="s">
        <v>709</v>
      </c>
      <c r="AM514" s="22">
        <f t="shared" si="17"/>
        <v>0</v>
      </c>
    </row>
    <row r="515" spans="2:39" x14ac:dyDescent="0.25">
      <c r="B515" s="45" t="s">
        <v>811</v>
      </c>
      <c r="AM515" s="22">
        <f t="shared" si="17"/>
        <v>0</v>
      </c>
    </row>
    <row r="516" spans="2:39" x14ac:dyDescent="0.25">
      <c r="B516" s="45" t="s">
        <v>586</v>
      </c>
      <c r="AM516" s="22">
        <f t="shared" si="17"/>
        <v>0</v>
      </c>
    </row>
    <row r="517" spans="2:39" x14ac:dyDescent="0.25">
      <c r="B517" s="45" t="s">
        <v>539</v>
      </c>
      <c r="AM517" s="22">
        <f t="shared" si="17"/>
        <v>0</v>
      </c>
    </row>
    <row r="518" spans="2:39" x14ac:dyDescent="0.25">
      <c r="B518" s="45" t="s">
        <v>754</v>
      </c>
      <c r="AM518" s="22">
        <f t="shared" si="17"/>
        <v>0</v>
      </c>
    </row>
    <row r="519" spans="2:39" x14ac:dyDescent="0.25">
      <c r="B519" s="45" t="s">
        <v>748</v>
      </c>
      <c r="AM519" s="22">
        <f t="shared" si="17"/>
        <v>0</v>
      </c>
    </row>
    <row r="520" spans="2:39" x14ac:dyDescent="0.25">
      <c r="B520" s="45" t="s">
        <v>960</v>
      </c>
      <c r="AM520" s="22">
        <f t="shared" si="17"/>
        <v>0</v>
      </c>
    </row>
    <row r="521" spans="2:39" x14ac:dyDescent="0.25">
      <c r="B521" s="45" t="s">
        <v>947</v>
      </c>
      <c r="AM521" s="22">
        <f t="shared" si="17"/>
        <v>0</v>
      </c>
    </row>
    <row r="522" spans="2:39" x14ac:dyDescent="0.25">
      <c r="B522" s="45" t="s">
        <v>588</v>
      </c>
      <c r="AM522" s="22">
        <f t="shared" si="17"/>
        <v>0</v>
      </c>
    </row>
    <row r="523" spans="2:39" x14ac:dyDescent="0.25">
      <c r="B523" s="45" t="s">
        <v>495</v>
      </c>
      <c r="AM523" s="22">
        <f t="shared" si="17"/>
        <v>0</v>
      </c>
    </row>
    <row r="524" spans="2:39" x14ac:dyDescent="0.25">
      <c r="B524" s="45" t="s">
        <v>543</v>
      </c>
      <c r="AM524" s="22">
        <f t="shared" si="17"/>
        <v>0</v>
      </c>
    </row>
    <row r="525" spans="2:39" x14ac:dyDescent="0.25">
      <c r="B525" s="45" t="s">
        <v>736</v>
      </c>
      <c r="AM525" s="22">
        <f t="shared" si="17"/>
        <v>0</v>
      </c>
    </row>
    <row r="526" spans="2:39" x14ac:dyDescent="0.25">
      <c r="B526" s="45" t="s">
        <v>971</v>
      </c>
      <c r="AM526" s="22">
        <f t="shared" si="17"/>
        <v>0</v>
      </c>
    </row>
    <row r="527" spans="2:39" x14ac:dyDescent="0.25">
      <c r="B527" s="45" t="s">
        <v>491</v>
      </c>
      <c r="AM527" s="22">
        <f t="shared" si="17"/>
        <v>0</v>
      </c>
    </row>
    <row r="528" spans="2:39" x14ac:dyDescent="0.25">
      <c r="B528" s="45" t="s">
        <v>304</v>
      </c>
      <c r="AM528" s="22">
        <f t="shared" si="17"/>
        <v>0</v>
      </c>
    </row>
    <row r="529" spans="2:39" x14ac:dyDescent="0.25">
      <c r="B529" s="45" t="s">
        <v>574</v>
      </c>
      <c r="AM529" s="22">
        <f t="shared" si="17"/>
        <v>0</v>
      </c>
    </row>
    <row r="530" spans="2:39" x14ac:dyDescent="0.25">
      <c r="B530" s="45" t="s">
        <v>580</v>
      </c>
      <c r="AM530" s="22">
        <f t="shared" si="17"/>
        <v>0</v>
      </c>
    </row>
    <row r="531" spans="2:39" x14ac:dyDescent="0.25">
      <c r="B531" s="45" t="s">
        <v>576</v>
      </c>
      <c r="AM531" s="22">
        <f t="shared" si="17"/>
        <v>0</v>
      </c>
    </row>
    <row r="532" spans="2:39" x14ac:dyDescent="0.25">
      <c r="B532" s="45" t="s">
        <v>780</v>
      </c>
      <c r="AM532" s="22">
        <f t="shared" si="17"/>
        <v>0</v>
      </c>
    </row>
    <row r="533" spans="2:39" x14ac:dyDescent="0.25">
      <c r="B533" s="45" t="s">
        <v>641</v>
      </c>
      <c r="AM533" s="22">
        <f t="shared" si="17"/>
        <v>0</v>
      </c>
    </row>
    <row r="534" spans="2:39" x14ac:dyDescent="0.25">
      <c r="B534" s="45" t="s">
        <v>600</v>
      </c>
      <c r="AM534" s="22">
        <f t="shared" si="17"/>
        <v>0</v>
      </c>
    </row>
    <row r="535" spans="2:39" x14ac:dyDescent="0.25">
      <c r="B535" s="45" t="s">
        <v>302</v>
      </c>
      <c r="AM535" s="22">
        <f t="shared" si="17"/>
        <v>0</v>
      </c>
    </row>
    <row r="536" spans="2:39" x14ac:dyDescent="0.25">
      <c r="B536" s="45" t="s">
        <v>598</v>
      </c>
      <c r="AM536" s="22">
        <f t="shared" si="17"/>
        <v>0</v>
      </c>
    </row>
    <row r="537" spans="2:39" x14ac:dyDescent="0.25">
      <c r="B537" s="45" t="s">
        <v>596</v>
      </c>
      <c r="AM537" s="22">
        <f t="shared" si="17"/>
        <v>0</v>
      </c>
    </row>
    <row r="538" spans="2:39" x14ac:dyDescent="0.25">
      <c r="B538" s="45" t="s">
        <v>537</v>
      </c>
      <c r="AM538" s="22">
        <f t="shared" si="17"/>
        <v>0</v>
      </c>
    </row>
    <row r="539" spans="2:39" x14ac:dyDescent="0.25">
      <c r="B539" s="45" t="s">
        <v>493</v>
      </c>
      <c r="AM539" s="22">
        <f t="shared" si="17"/>
        <v>0</v>
      </c>
    </row>
    <row r="540" spans="2:39" x14ac:dyDescent="0.25">
      <c r="B540" s="45" t="s">
        <v>578</v>
      </c>
      <c r="AM540" s="22">
        <f t="shared" si="17"/>
        <v>0</v>
      </c>
    </row>
    <row r="541" spans="2:39" x14ac:dyDescent="0.25">
      <c r="B541" s="45" t="s">
        <v>639</v>
      </c>
      <c r="AM541" s="22">
        <f t="shared" si="17"/>
        <v>0</v>
      </c>
    </row>
    <row r="542" spans="2:39" x14ac:dyDescent="0.25">
      <c r="B542" s="45" t="s">
        <v>449</v>
      </c>
      <c r="AM542" s="22">
        <f t="shared" si="17"/>
        <v>0</v>
      </c>
    </row>
    <row r="543" spans="2:39" x14ac:dyDescent="0.25">
      <c r="B543" s="45" t="s">
        <v>489</v>
      </c>
      <c r="AM543" s="22">
        <f t="shared" si="17"/>
        <v>0</v>
      </c>
    </row>
    <row r="544" spans="2:39" x14ac:dyDescent="0.25">
      <c r="B544" s="45" t="s">
        <v>663</v>
      </c>
      <c r="AM544" s="22">
        <f t="shared" ref="AM544:AM607" si="18">COUNTA(I544:AK544)-COUNTIF(I544:AK544,"CT")</f>
        <v>0</v>
      </c>
    </row>
    <row r="545" spans="2:39" x14ac:dyDescent="0.25">
      <c r="B545" s="45" t="s">
        <v>645</v>
      </c>
      <c r="AM545" s="22">
        <f t="shared" si="18"/>
        <v>0</v>
      </c>
    </row>
    <row r="546" spans="2:39" x14ac:dyDescent="0.25">
      <c r="B546" s="45" t="s">
        <v>849</v>
      </c>
      <c r="AM546" s="22">
        <f t="shared" si="18"/>
        <v>0</v>
      </c>
    </row>
    <row r="547" spans="2:39" x14ac:dyDescent="0.25">
      <c r="B547" s="45" t="s">
        <v>665</v>
      </c>
      <c r="AM547" s="22">
        <f t="shared" si="18"/>
        <v>0</v>
      </c>
    </row>
    <row r="548" spans="2:39" x14ac:dyDescent="0.25">
      <c r="B548" s="45" t="s">
        <v>421</v>
      </c>
      <c r="AM548" s="22">
        <f t="shared" si="18"/>
        <v>0</v>
      </c>
    </row>
    <row r="549" spans="2:39" x14ac:dyDescent="0.25">
      <c r="B549" s="45" t="s">
        <v>691</v>
      </c>
      <c r="AM549" s="22">
        <f t="shared" si="18"/>
        <v>0</v>
      </c>
    </row>
    <row r="550" spans="2:39" x14ac:dyDescent="0.25">
      <c r="B550" s="45"/>
      <c r="AM550" s="22">
        <f t="shared" si="18"/>
        <v>0</v>
      </c>
    </row>
    <row r="551" spans="2:39" x14ac:dyDescent="0.25">
      <c r="B551" s="45"/>
      <c r="AM551" s="22">
        <f t="shared" si="18"/>
        <v>0</v>
      </c>
    </row>
    <row r="552" spans="2:39" x14ac:dyDescent="0.25">
      <c r="B552" s="45"/>
      <c r="AM552" s="22">
        <f t="shared" si="18"/>
        <v>0</v>
      </c>
    </row>
    <row r="553" spans="2:39" x14ac:dyDescent="0.25">
      <c r="B553" s="45"/>
      <c r="AM553" s="22">
        <f t="shared" si="18"/>
        <v>0</v>
      </c>
    </row>
    <row r="554" spans="2:39" x14ac:dyDescent="0.25">
      <c r="B554" s="45"/>
      <c r="AM554" s="22">
        <f t="shared" si="18"/>
        <v>0</v>
      </c>
    </row>
    <row r="555" spans="2:39" x14ac:dyDescent="0.25">
      <c r="B555" s="45"/>
      <c r="AM555" s="22">
        <f t="shared" si="18"/>
        <v>0</v>
      </c>
    </row>
    <row r="556" spans="2:39" x14ac:dyDescent="0.25">
      <c r="B556" s="45"/>
      <c r="AM556" s="22">
        <f t="shared" si="18"/>
        <v>0</v>
      </c>
    </row>
    <row r="557" spans="2:39" x14ac:dyDescent="0.25">
      <c r="B557" s="45"/>
      <c r="AM557" s="22">
        <f t="shared" si="18"/>
        <v>0</v>
      </c>
    </row>
    <row r="558" spans="2:39" x14ac:dyDescent="0.25">
      <c r="B558" s="45"/>
      <c r="AM558" s="22">
        <f t="shared" si="18"/>
        <v>0</v>
      </c>
    </row>
    <row r="559" spans="2:39" x14ac:dyDescent="0.25">
      <c r="B559" s="45"/>
      <c r="AM559" s="22">
        <f t="shared" si="18"/>
        <v>0</v>
      </c>
    </row>
    <row r="560" spans="2:39" x14ac:dyDescent="0.25">
      <c r="B560" s="45"/>
      <c r="AM560" s="22">
        <f t="shared" si="18"/>
        <v>0</v>
      </c>
    </row>
    <row r="561" spans="2:39" x14ac:dyDescent="0.25">
      <c r="B561" s="45"/>
      <c r="AM561" s="22">
        <f t="shared" si="18"/>
        <v>0</v>
      </c>
    </row>
    <row r="562" spans="2:39" x14ac:dyDescent="0.25">
      <c r="B562" s="45"/>
      <c r="AM562" s="22">
        <f t="shared" si="18"/>
        <v>0</v>
      </c>
    </row>
    <row r="563" spans="2:39" x14ac:dyDescent="0.25">
      <c r="B563" s="45"/>
      <c r="AM563" s="22">
        <f t="shared" si="18"/>
        <v>0</v>
      </c>
    </row>
    <row r="564" spans="2:39" x14ac:dyDescent="0.25">
      <c r="B564" s="45"/>
      <c r="AM564" s="22">
        <f t="shared" si="18"/>
        <v>0</v>
      </c>
    </row>
    <row r="565" spans="2:39" x14ac:dyDescent="0.25">
      <c r="B565" s="45"/>
      <c r="AM565" s="22">
        <f t="shared" si="18"/>
        <v>0</v>
      </c>
    </row>
    <row r="566" spans="2:39" x14ac:dyDescent="0.25">
      <c r="B566" s="45"/>
      <c r="AM566" s="22">
        <f t="shared" si="18"/>
        <v>0</v>
      </c>
    </row>
    <row r="567" spans="2:39" x14ac:dyDescent="0.25">
      <c r="B567" s="45"/>
      <c r="AM567" s="22">
        <f t="shared" si="18"/>
        <v>0</v>
      </c>
    </row>
    <row r="568" spans="2:39" x14ac:dyDescent="0.25">
      <c r="B568" s="45"/>
      <c r="AM568" s="22">
        <f t="shared" si="18"/>
        <v>0</v>
      </c>
    </row>
    <row r="569" spans="2:39" x14ac:dyDescent="0.25">
      <c r="B569" s="45"/>
      <c r="AM569" s="22">
        <f t="shared" si="18"/>
        <v>0</v>
      </c>
    </row>
    <row r="570" spans="2:39" x14ac:dyDescent="0.25">
      <c r="B570" s="45"/>
      <c r="AM570" s="22">
        <f t="shared" si="18"/>
        <v>0</v>
      </c>
    </row>
    <row r="571" spans="2:39" x14ac:dyDescent="0.25">
      <c r="B571" s="45"/>
      <c r="AM571" s="22">
        <f t="shared" si="18"/>
        <v>0</v>
      </c>
    </row>
    <row r="572" spans="2:39" x14ac:dyDescent="0.25">
      <c r="B572" s="45"/>
      <c r="AM572" s="22">
        <f t="shared" si="18"/>
        <v>0</v>
      </c>
    </row>
    <row r="573" spans="2:39" x14ac:dyDescent="0.25">
      <c r="B573" s="45"/>
      <c r="AM573" s="22">
        <f t="shared" si="18"/>
        <v>0</v>
      </c>
    </row>
    <row r="574" spans="2:39" x14ac:dyDescent="0.25">
      <c r="B574" s="45"/>
      <c r="AM574" s="22">
        <f t="shared" si="18"/>
        <v>0</v>
      </c>
    </row>
    <row r="575" spans="2:39" x14ac:dyDescent="0.25">
      <c r="B575" s="45"/>
      <c r="AM575" s="22">
        <f t="shared" si="18"/>
        <v>0</v>
      </c>
    </row>
    <row r="576" spans="2:39" x14ac:dyDescent="0.25">
      <c r="B576" s="45"/>
      <c r="AM576" s="22">
        <f t="shared" si="18"/>
        <v>0</v>
      </c>
    </row>
    <row r="577" spans="2:39" x14ac:dyDescent="0.25">
      <c r="B577" s="45"/>
      <c r="AM577" s="22">
        <f t="shared" si="18"/>
        <v>0</v>
      </c>
    </row>
    <row r="578" spans="2:39" x14ac:dyDescent="0.25">
      <c r="B578" s="45"/>
      <c r="AM578" s="22">
        <f t="shared" si="18"/>
        <v>0</v>
      </c>
    </row>
    <row r="579" spans="2:39" x14ac:dyDescent="0.25">
      <c r="B579" s="45"/>
      <c r="AM579" s="22">
        <f t="shared" si="18"/>
        <v>0</v>
      </c>
    </row>
    <row r="580" spans="2:39" x14ac:dyDescent="0.25">
      <c r="B580" s="45"/>
      <c r="AM580" s="22">
        <f t="shared" si="18"/>
        <v>0</v>
      </c>
    </row>
    <row r="581" spans="2:39" x14ac:dyDescent="0.25">
      <c r="B581" s="45"/>
      <c r="AM581" s="22">
        <f t="shared" si="18"/>
        <v>0</v>
      </c>
    </row>
    <row r="582" spans="2:39" x14ac:dyDescent="0.25">
      <c r="B582" s="45"/>
      <c r="AM582" s="22">
        <f t="shared" si="18"/>
        <v>0</v>
      </c>
    </row>
    <row r="583" spans="2:39" x14ac:dyDescent="0.25">
      <c r="B583" s="45"/>
      <c r="AM583" s="22">
        <f t="shared" si="18"/>
        <v>0</v>
      </c>
    </row>
    <row r="584" spans="2:39" x14ac:dyDescent="0.25">
      <c r="B584" s="45"/>
      <c r="AM584" s="22">
        <f t="shared" si="18"/>
        <v>0</v>
      </c>
    </row>
    <row r="585" spans="2:39" x14ac:dyDescent="0.25">
      <c r="B585" s="45"/>
      <c r="AM585" s="22">
        <f t="shared" si="18"/>
        <v>0</v>
      </c>
    </row>
    <row r="586" spans="2:39" x14ac:dyDescent="0.25">
      <c r="B586" s="45"/>
      <c r="AM586" s="22">
        <f t="shared" si="18"/>
        <v>0</v>
      </c>
    </row>
    <row r="587" spans="2:39" x14ac:dyDescent="0.25">
      <c r="B587" s="45"/>
      <c r="AM587" s="22">
        <f t="shared" si="18"/>
        <v>0</v>
      </c>
    </row>
    <row r="588" spans="2:39" x14ac:dyDescent="0.25">
      <c r="B588" s="45"/>
      <c r="AM588" s="22">
        <f t="shared" si="18"/>
        <v>0</v>
      </c>
    </row>
    <row r="589" spans="2:39" x14ac:dyDescent="0.25">
      <c r="B589" s="45"/>
      <c r="AM589" s="22">
        <f t="shared" si="18"/>
        <v>0</v>
      </c>
    </row>
    <row r="590" spans="2:39" x14ac:dyDescent="0.25">
      <c r="B590" s="45"/>
      <c r="AM590" s="22">
        <f t="shared" si="18"/>
        <v>0</v>
      </c>
    </row>
    <row r="591" spans="2:39" x14ac:dyDescent="0.25">
      <c r="B591" s="45"/>
      <c r="AM591" s="22">
        <f t="shared" si="18"/>
        <v>0</v>
      </c>
    </row>
    <row r="592" spans="2:39" x14ac:dyDescent="0.25">
      <c r="B592" s="45"/>
      <c r="AM592" s="22">
        <f t="shared" si="18"/>
        <v>0</v>
      </c>
    </row>
    <row r="593" spans="2:39" x14ac:dyDescent="0.25">
      <c r="B593" s="45"/>
      <c r="AM593" s="22">
        <f t="shared" si="18"/>
        <v>0</v>
      </c>
    </row>
    <row r="594" spans="2:39" x14ac:dyDescent="0.25">
      <c r="B594" s="45"/>
      <c r="AM594" s="22">
        <f t="shared" si="18"/>
        <v>0</v>
      </c>
    </row>
    <row r="595" spans="2:39" x14ac:dyDescent="0.25">
      <c r="B595" s="45"/>
      <c r="AM595" s="22">
        <f t="shared" si="18"/>
        <v>0</v>
      </c>
    </row>
    <row r="596" spans="2:39" x14ac:dyDescent="0.25">
      <c r="B596" s="45"/>
      <c r="AM596" s="22">
        <f t="shared" si="18"/>
        <v>0</v>
      </c>
    </row>
    <row r="597" spans="2:39" x14ac:dyDescent="0.25">
      <c r="B597" s="45"/>
      <c r="AM597" s="22">
        <f t="shared" si="18"/>
        <v>0</v>
      </c>
    </row>
    <row r="598" spans="2:39" x14ac:dyDescent="0.25">
      <c r="B598" s="45"/>
      <c r="AM598" s="22">
        <f t="shared" si="18"/>
        <v>0</v>
      </c>
    </row>
    <row r="599" spans="2:39" x14ac:dyDescent="0.25">
      <c r="B599" s="45"/>
      <c r="AM599" s="22">
        <f t="shared" si="18"/>
        <v>0</v>
      </c>
    </row>
    <row r="600" spans="2:39" x14ac:dyDescent="0.25">
      <c r="B600" s="45"/>
      <c r="AM600" s="22">
        <f t="shared" si="18"/>
        <v>0</v>
      </c>
    </row>
    <row r="601" spans="2:39" x14ac:dyDescent="0.25">
      <c r="B601" s="45"/>
      <c r="AM601" s="22">
        <f t="shared" si="18"/>
        <v>0</v>
      </c>
    </row>
    <row r="602" spans="2:39" x14ac:dyDescent="0.25">
      <c r="B602" s="45"/>
      <c r="AM602" s="22">
        <f t="shared" si="18"/>
        <v>0</v>
      </c>
    </row>
    <row r="603" spans="2:39" x14ac:dyDescent="0.25">
      <c r="B603" s="45"/>
      <c r="AM603" s="22">
        <f t="shared" si="18"/>
        <v>0</v>
      </c>
    </row>
    <row r="604" spans="2:39" x14ac:dyDescent="0.25">
      <c r="B604" s="45"/>
      <c r="AM604" s="22">
        <f t="shared" si="18"/>
        <v>0</v>
      </c>
    </row>
    <row r="605" spans="2:39" x14ac:dyDescent="0.25">
      <c r="B605" s="45"/>
      <c r="AM605" s="22">
        <f t="shared" si="18"/>
        <v>0</v>
      </c>
    </row>
    <row r="606" spans="2:39" x14ac:dyDescent="0.25">
      <c r="B606" s="45"/>
      <c r="AM606" s="22">
        <f t="shared" si="18"/>
        <v>0</v>
      </c>
    </row>
    <row r="607" spans="2:39" x14ac:dyDescent="0.25">
      <c r="B607" s="45"/>
      <c r="AM607" s="22">
        <f t="shared" si="18"/>
        <v>0</v>
      </c>
    </row>
    <row r="608" spans="2:39" x14ac:dyDescent="0.25">
      <c r="B608" s="45"/>
      <c r="AM608" s="22">
        <f t="shared" ref="AM608:AM636" si="19">COUNTA(I608:AK608)-COUNTIF(I608:AK608,"CT")</f>
        <v>0</v>
      </c>
    </row>
    <row r="609" spans="2:39" x14ac:dyDescent="0.25">
      <c r="B609" s="45"/>
      <c r="AM609" s="22">
        <f t="shared" si="19"/>
        <v>0</v>
      </c>
    </row>
    <row r="610" spans="2:39" x14ac:dyDescent="0.25">
      <c r="B610" s="45"/>
      <c r="AM610" s="22">
        <f t="shared" si="19"/>
        <v>0</v>
      </c>
    </row>
    <row r="611" spans="2:39" x14ac:dyDescent="0.25">
      <c r="B611" s="45"/>
      <c r="AM611" s="22">
        <f t="shared" si="19"/>
        <v>0</v>
      </c>
    </row>
    <row r="612" spans="2:39" x14ac:dyDescent="0.25">
      <c r="B612" s="45"/>
      <c r="AM612" s="22">
        <f t="shared" si="19"/>
        <v>0</v>
      </c>
    </row>
    <row r="613" spans="2:39" x14ac:dyDescent="0.25">
      <c r="B613" s="45"/>
      <c r="AM613" s="22">
        <f t="shared" si="19"/>
        <v>0</v>
      </c>
    </row>
    <row r="614" spans="2:39" x14ac:dyDescent="0.25">
      <c r="B614" s="45"/>
      <c r="AM614" s="22">
        <f t="shared" si="19"/>
        <v>0</v>
      </c>
    </row>
    <row r="615" spans="2:39" x14ac:dyDescent="0.25">
      <c r="B615" s="45"/>
      <c r="AM615" s="22">
        <f t="shared" si="19"/>
        <v>0</v>
      </c>
    </row>
    <row r="616" spans="2:39" x14ac:dyDescent="0.25">
      <c r="B616" s="45"/>
      <c r="AM616" s="22">
        <f t="shared" si="19"/>
        <v>0</v>
      </c>
    </row>
    <row r="617" spans="2:39" x14ac:dyDescent="0.25">
      <c r="B617" s="45"/>
      <c r="AM617" s="22">
        <f t="shared" si="19"/>
        <v>0</v>
      </c>
    </row>
    <row r="618" spans="2:39" x14ac:dyDescent="0.25">
      <c r="B618" s="45"/>
      <c r="AM618" s="22">
        <f t="shared" si="19"/>
        <v>0</v>
      </c>
    </row>
    <row r="619" spans="2:39" x14ac:dyDescent="0.25">
      <c r="B619" s="45"/>
      <c r="AM619" s="22">
        <f t="shared" si="19"/>
        <v>0</v>
      </c>
    </row>
    <row r="620" spans="2:39" x14ac:dyDescent="0.25">
      <c r="B620" s="45"/>
      <c r="AM620" s="22">
        <f t="shared" si="19"/>
        <v>0</v>
      </c>
    </row>
    <row r="621" spans="2:39" x14ac:dyDescent="0.25">
      <c r="B621" s="45"/>
      <c r="AM621" s="22">
        <f t="shared" si="19"/>
        <v>0</v>
      </c>
    </row>
    <row r="622" spans="2:39" x14ac:dyDescent="0.25">
      <c r="B622" s="45"/>
      <c r="AM622" s="22">
        <f t="shared" si="19"/>
        <v>0</v>
      </c>
    </row>
    <row r="623" spans="2:39" x14ac:dyDescent="0.25">
      <c r="B623" s="45"/>
      <c r="AM623" s="22">
        <f t="shared" si="19"/>
        <v>0</v>
      </c>
    </row>
    <row r="624" spans="2:39" x14ac:dyDescent="0.25">
      <c r="B624" s="45"/>
      <c r="AM624" s="22">
        <f t="shared" si="19"/>
        <v>0</v>
      </c>
    </row>
    <row r="625" spans="2:39" x14ac:dyDescent="0.25">
      <c r="B625" s="45"/>
      <c r="AM625" s="22">
        <f t="shared" si="19"/>
        <v>0</v>
      </c>
    </row>
    <row r="626" spans="2:39" x14ac:dyDescent="0.25">
      <c r="B626" s="45"/>
      <c r="AM626" s="22">
        <f t="shared" si="19"/>
        <v>0</v>
      </c>
    </row>
    <row r="627" spans="2:39" x14ac:dyDescent="0.25">
      <c r="B627" s="45"/>
      <c r="AM627" s="22">
        <f t="shared" si="19"/>
        <v>0</v>
      </c>
    </row>
    <row r="628" spans="2:39" x14ac:dyDescent="0.25">
      <c r="B628" s="45"/>
      <c r="AM628" s="22">
        <f t="shared" si="19"/>
        <v>0</v>
      </c>
    </row>
    <row r="629" spans="2:39" x14ac:dyDescent="0.25">
      <c r="B629" s="45"/>
      <c r="AM629" s="22">
        <f t="shared" si="19"/>
        <v>0</v>
      </c>
    </row>
    <row r="630" spans="2:39" x14ac:dyDescent="0.25">
      <c r="B630" s="45"/>
      <c r="AM630" s="22">
        <f t="shared" si="19"/>
        <v>0</v>
      </c>
    </row>
    <row r="631" spans="2:39" x14ac:dyDescent="0.25">
      <c r="B631" s="45"/>
      <c r="AM631" s="22">
        <f t="shared" si="19"/>
        <v>0</v>
      </c>
    </row>
    <row r="632" spans="2:39" x14ac:dyDescent="0.25">
      <c r="B632" s="45"/>
      <c r="AM632" s="22">
        <f t="shared" si="19"/>
        <v>0</v>
      </c>
    </row>
    <row r="633" spans="2:39" x14ac:dyDescent="0.25">
      <c r="B633" s="45"/>
      <c r="AM633" s="22">
        <f t="shared" si="19"/>
        <v>0</v>
      </c>
    </row>
    <row r="634" spans="2:39" x14ac:dyDescent="0.25">
      <c r="B634" s="45"/>
      <c r="AM634" s="22">
        <f t="shared" si="19"/>
        <v>0</v>
      </c>
    </row>
    <row r="635" spans="2:39" x14ac:dyDescent="0.25">
      <c r="B635" s="45"/>
      <c r="AM635" s="22">
        <f t="shared" si="19"/>
        <v>0</v>
      </c>
    </row>
    <row r="636" spans="2:39" x14ac:dyDescent="0.25">
      <c r="B636" s="45"/>
      <c r="AM636" s="22">
        <f t="shared" si="19"/>
        <v>0</v>
      </c>
    </row>
    <row r="637" spans="2:39" x14ac:dyDescent="0.25">
      <c r="B637" s="45"/>
    </row>
    <row r="638" spans="2:39" x14ac:dyDescent="0.25">
      <c r="B638" s="45"/>
    </row>
    <row r="639" spans="2:39" x14ac:dyDescent="0.25">
      <c r="B639" s="45"/>
    </row>
    <row r="640" spans="2:39" x14ac:dyDescent="0.25">
      <c r="B640" s="45"/>
    </row>
    <row r="641" spans="2:2" x14ac:dyDescent="0.25">
      <c r="B641" s="45"/>
    </row>
    <row r="642" spans="2:2" x14ac:dyDescent="0.25">
      <c r="B642" s="45"/>
    </row>
    <row r="643" spans="2:2" x14ac:dyDescent="0.25">
      <c r="B643" s="45"/>
    </row>
    <row r="644" spans="2:2" x14ac:dyDescent="0.25">
      <c r="B644" s="45"/>
    </row>
    <row r="645" spans="2:2" x14ac:dyDescent="0.25">
      <c r="B645" s="45"/>
    </row>
    <row r="646" spans="2:2" x14ac:dyDescent="0.25">
      <c r="B646" s="45"/>
    </row>
    <row r="647" spans="2:2" x14ac:dyDescent="0.25">
      <c r="B647" s="45"/>
    </row>
    <row r="648" spans="2:2" x14ac:dyDescent="0.25">
      <c r="B648" s="45"/>
    </row>
    <row r="649" spans="2:2" x14ac:dyDescent="0.25">
      <c r="B649" s="45"/>
    </row>
    <row r="650" spans="2:2" x14ac:dyDescent="0.25">
      <c r="B650" s="45"/>
    </row>
    <row r="651" spans="2:2" x14ac:dyDescent="0.25">
      <c r="B651" s="45"/>
    </row>
    <row r="652" spans="2:2" x14ac:dyDescent="0.25">
      <c r="B652" s="45"/>
    </row>
    <row r="653" spans="2:2" x14ac:dyDescent="0.25">
      <c r="B653" s="45"/>
    </row>
    <row r="654" spans="2:2" x14ac:dyDescent="0.25">
      <c r="B654" s="45"/>
    </row>
    <row r="655" spans="2:2" x14ac:dyDescent="0.25">
      <c r="B655" s="45"/>
    </row>
    <row r="656" spans="2:2" x14ac:dyDescent="0.25">
      <c r="B656" s="45"/>
    </row>
    <row r="657" spans="2:2" x14ac:dyDescent="0.25">
      <c r="B657" s="45"/>
    </row>
    <row r="658" spans="2:2" x14ac:dyDescent="0.25">
      <c r="B658" s="45"/>
    </row>
    <row r="659" spans="2:2" x14ac:dyDescent="0.25">
      <c r="B659" s="45"/>
    </row>
    <row r="660" spans="2:2" x14ac:dyDescent="0.25">
      <c r="B660" s="45"/>
    </row>
    <row r="661" spans="2:2" x14ac:dyDescent="0.25">
      <c r="B661" s="45"/>
    </row>
    <row r="662" spans="2:2" x14ac:dyDescent="0.25">
      <c r="B662" s="45"/>
    </row>
    <row r="663" spans="2:2" x14ac:dyDescent="0.25">
      <c r="B663" s="45"/>
    </row>
    <row r="664" spans="2:2" x14ac:dyDescent="0.25">
      <c r="B664" s="45"/>
    </row>
    <row r="665" spans="2:2" x14ac:dyDescent="0.25">
      <c r="B665" s="45"/>
    </row>
    <row r="666" spans="2:2" x14ac:dyDescent="0.25">
      <c r="B666" s="45"/>
    </row>
    <row r="667" spans="2:2" x14ac:dyDescent="0.25">
      <c r="B667" s="45"/>
    </row>
    <row r="668" spans="2:2" x14ac:dyDescent="0.25">
      <c r="B668" s="45"/>
    </row>
    <row r="669" spans="2:2" x14ac:dyDescent="0.25">
      <c r="B669" s="45"/>
    </row>
    <row r="670" spans="2:2" x14ac:dyDescent="0.25">
      <c r="B670" s="45"/>
    </row>
    <row r="671" spans="2:2" x14ac:dyDescent="0.25">
      <c r="B671" s="45"/>
    </row>
    <row r="672" spans="2:2" x14ac:dyDescent="0.25">
      <c r="B672" s="45"/>
    </row>
    <row r="673" spans="2:2" x14ac:dyDescent="0.25">
      <c r="B673" s="45"/>
    </row>
    <row r="674" spans="2:2" x14ac:dyDescent="0.25">
      <c r="B674" s="45"/>
    </row>
    <row r="675" spans="2:2" x14ac:dyDescent="0.25">
      <c r="B675" s="45"/>
    </row>
    <row r="676" spans="2:2" x14ac:dyDescent="0.25">
      <c r="B676" s="45"/>
    </row>
    <row r="677" spans="2:2" x14ac:dyDescent="0.25">
      <c r="B677" s="45"/>
    </row>
    <row r="678" spans="2:2" x14ac:dyDescent="0.25">
      <c r="B678" s="45"/>
    </row>
    <row r="679" spans="2:2" x14ac:dyDescent="0.25">
      <c r="B679" s="45"/>
    </row>
    <row r="680" spans="2:2" x14ac:dyDescent="0.25">
      <c r="B680" s="45"/>
    </row>
    <row r="681" spans="2:2" x14ac:dyDescent="0.25">
      <c r="B681" s="45"/>
    </row>
    <row r="682" spans="2:2" x14ac:dyDescent="0.25">
      <c r="B682" s="45"/>
    </row>
    <row r="683" spans="2:2" x14ac:dyDescent="0.25">
      <c r="B683" s="45"/>
    </row>
    <row r="684" spans="2:2" x14ac:dyDescent="0.25">
      <c r="B684" s="45"/>
    </row>
    <row r="685" spans="2:2" x14ac:dyDescent="0.25">
      <c r="B685" s="45"/>
    </row>
    <row r="686" spans="2:2" x14ac:dyDescent="0.25">
      <c r="B686" s="45"/>
    </row>
    <row r="687" spans="2:2" x14ac:dyDescent="0.25">
      <c r="B687" s="45"/>
    </row>
    <row r="688" spans="2:2" x14ac:dyDescent="0.25">
      <c r="B688" s="45"/>
    </row>
    <row r="689" spans="2:2" x14ac:dyDescent="0.25">
      <c r="B689" s="45"/>
    </row>
    <row r="690" spans="2:2" x14ac:dyDescent="0.25">
      <c r="B690" s="45"/>
    </row>
    <row r="691" spans="2:2" x14ac:dyDescent="0.25">
      <c r="B691" s="45"/>
    </row>
    <row r="692" spans="2:2" x14ac:dyDescent="0.25">
      <c r="B692" s="45"/>
    </row>
    <row r="693" spans="2:2" x14ac:dyDescent="0.25">
      <c r="B693" s="45"/>
    </row>
    <row r="694" spans="2:2" x14ac:dyDescent="0.25">
      <c r="B694" s="45"/>
    </row>
    <row r="695" spans="2:2" x14ac:dyDescent="0.25">
      <c r="B695" s="45"/>
    </row>
    <row r="696" spans="2:2" x14ac:dyDescent="0.25">
      <c r="B696" s="45"/>
    </row>
    <row r="697" spans="2:2" x14ac:dyDescent="0.25">
      <c r="B697" s="45"/>
    </row>
    <row r="698" spans="2:2" x14ac:dyDescent="0.25">
      <c r="B698" s="45"/>
    </row>
    <row r="699" spans="2:2" x14ac:dyDescent="0.25">
      <c r="B699" s="45"/>
    </row>
    <row r="700" spans="2:2" x14ac:dyDescent="0.25">
      <c r="B700" s="45"/>
    </row>
    <row r="701" spans="2:2" x14ac:dyDescent="0.25">
      <c r="B701" s="45"/>
    </row>
    <row r="702" spans="2:2" x14ac:dyDescent="0.25">
      <c r="B702" s="45"/>
    </row>
    <row r="703" spans="2:2" x14ac:dyDescent="0.25">
      <c r="B703" s="45"/>
    </row>
    <row r="704" spans="2:2" x14ac:dyDescent="0.25">
      <c r="B704" s="45"/>
    </row>
    <row r="705" spans="2:2" x14ac:dyDescent="0.25">
      <c r="B705" s="45"/>
    </row>
    <row r="706" spans="2:2" x14ac:dyDescent="0.25">
      <c r="B706" s="45"/>
    </row>
    <row r="707" spans="2:2" x14ac:dyDescent="0.25">
      <c r="B707" s="45"/>
    </row>
    <row r="708" spans="2:2" x14ac:dyDescent="0.25">
      <c r="B708" s="45"/>
    </row>
    <row r="709" spans="2:2" x14ac:dyDescent="0.25">
      <c r="B709" s="45"/>
    </row>
    <row r="710" spans="2:2" x14ac:dyDescent="0.25">
      <c r="B710" s="45"/>
    </row>
    <row r="711" spans="2:2" x14ac:dyDescent="0.25">
      <c r="B711" s="45"/>
    </row>
    <row r="712" spans="2:2" x14ac:dyDescent="0.25">
      <c r="B712" s="45"/>
    </row>
    <row r="713" spans="2:2" x14ac:dyDescent="0.25">
      <c r="B713" s="45"/>
    </row>
    <row r="714" spans="2:2" x14ac:dyDescent="0.25">
      <c r="B714" s="45"/>
    </row>
    <row r="715" spans="2:2" x14ac:dyDescent="0.25">
      <c r="B715" s="45"/>
    </row>
    <row r="716" spans="2:2" x14ac:dyDescent="0.25">
      <c r="B716" s="45"/>
    </row>
    <row r="717" spans="2:2" x14ac:dyDescent="0.25">
      <c r="B717" s="45"/>
    </row>
    <row r="718" spans="2:2" x14ac:dyDescent="0.25">
      <c r="B718" s="45"/>
    </row>
    <row r="719" spans="2:2" x14ac:dyDescent="0.25">
      <c r="B719" s="45"/>
    </row>
    <row r="720" spans="2:2" x14ac:dyDescent="0.25">
      <c r="B720" s="45"/>
    </row>
    <row r="721" spans="2:2" x14ac:dyDescent="0.25">
      <c r="B721" s="45"/>
    </row>
    <row r="722" spans="2:2" x14ac:dyDescent="0.25">
      <c r="B722" s="45"/>
    </row>
    <row r="723" spans="2:2" x14ac:dyDescent="0.25">
      <c r="B723" s="45"/>
    </row>
    <row r="724" spans="2:2" x14ac:dyDescent="0.25">
      <c r="B724" s="45"/>
    </row>
    <row r="725" spans="2:2" x14ac:dyDescent="0.25">
      <c r="B725" s="45"/>
    </row>
    <row r="726" spans="2:2" x14ac:dyDescent="0.25">
      <c r="B726" s="45"/>
    </row>
    <row r="727" spans="2:2" x14ac:dyDescent="0.25">
      <c r="B727" s="45"/>
    </row>
    <row r="728" spans="2:2" x14ac:dyDescent="0.25">
      <c r="B728" s="45"/>
    </row>
    <row r="729" spans="2:2" x14ac:dyDescent="0.25">
      <c r="B729" s="45"/>
    </row>
    <row r="730" spans="2:2" x14ac:dyDescent="0.25">
      <c r="B730" s="45"/>
    </row>
    <row r="731" spans="2:2" x14ac:dyDescent="0.25">
      <c r="B731" s="45"/>
    </row>
    <row r="732" spans="2:2" x14ac:dyDescent="0.25">
      <c r="B732" s="45"/>
    </row>
    <row r="733" spans="2:2" x14ac:dyDescent="0.25">
      <c r="B733" s="45"/>
    </row>
    <row r="734" spans="2:2" x14ac:dyDescent="0.25">
      <c r="B734" s="45"/>
    </row>
    <row r="735" spans="2:2" x14ac:dyDescent="0.25">
      <c r="B735" s="45"/>
    </row>
    <row r="736" spans="2:2" x14ac:dyDescent="0.25">
      <c r="B736" s="45"/>
    </row>
    <row r="737" spans="2:2" x14ac:dyDescent="0.25">
      <c r="B737" s="45"/>
    </row>
    <row r="738" spans="2:2" x14ac:dyDescent="0.25">
      <c r="B738" s="45"/>
    </row>
    <row r="739" spans="2:2" x14ac:dyDescent="0.25">
      <c r="B739" s="45"/>
    </row>
    <row r="740" spans="2:2" x14ac:dyDescent="0.25">
      <c r="B740" s="45"/>
    </row>
    <row r="741" spans="2:2" x14ac:dyDescent="0.25">
      <c r="B741" s="45"/>
    </row>
    <row r="742" spans="2:2" x14ac:dyDescent="0.25">
      <c r="B742" s="45"/>
    </row>
    <row r="743" spans="2:2" x14ac:dyDescent="0.25">
      <c r="B743" s="45"/>
    </row>
    <row r="744" spans="2:2" x14ac:dyDescent="0.25">
      <c r="B744" s="45"/>
    </row>
    <row r="745" spans="2:2" x14ac:dyDescent="0.25">
      <c r="B745" s="45"/>
    </row>
    <row r="746" spans="2:2" x14ac:dyDescent="0.25">
      <c r="B746" s="45"/>
    </row>
    <row r="747" spans="2:2" x14ac:dyDescent="0.25">
      <c r="B747" s="45"/>
    </row>
    <row r="748" spans="2:2" x14ac:dyDescent="0.25">
      <c r="B748" s="45"/>
    </row>
    <row r="749" spans="2:2" x14ac:dyDescent="0.25">
      <c r="B749" s="45"/>
    </row>
    <row r="750" spans="2:2" x14ac:dyDescent="0.25">
      <c r="B750" s="45"/>
    </row>
    <row r="751" spans="2:2" x14ac:dyDescent="0.25">
      <c r="B751" s="45"/>
    </row>
    <row r="752" spans="2:2" x14ac:dyDescent="0.25">
      <c r="B752" s="45"/>
    </row>
    <row r="753" spans="2:2" x14ac:dyDescent="0.25">
      <c r="B753" s="45"/>
    </row>
    <row r="754" spans="2:2" x14ac:dyDescent="0.25">
      <c r="B754" s="45"/>
    </row>
    <row r="755" spans="2:2" x14ac:dyDescent="0.25">
      <c r="B755" s="45"/>
    </row>
    <row r="756" spans="2:2" x14ac:dyDescent="0.25">
      <c r="B756" s="45"/>
    </row>
    <row r="757" spans="2:2" x14ac:dyDescent="0.25">
      <c r="B757" s="45"/>
    </row>
    <row r="758" spans="2:2" x14ac:dyDescent="0.25">
      <c r="B758" s="45"/>
    </row>
    <row r="759" spans="2:2" x14ac:dyDescent="0.25">
      <c r="B759" s="45"/>
    </row>
    <row r="760" spans="2:2" x14ac:dyDescent="0.25">
      <c r="B760" s="45"/>
    </row>
    <row r="761" spans="2:2" x14ac:dyDescent="0.25">
      <c r="B761" s="45"/>
    </row>
    <row r="762" spans="2:2" x14ac:dyDescent="0.25">
      <c r="B762" s="45"/>
    </row>
    <row r="763" spans="2:2" x14ac:dyDescent="0.25">
      <c r="B763" s="45"/>
    </row>
    <row r="764" spans="2:2" x14ac:dyDescent="0.25">
      <c r="B764" s="45"/>
    </row>
    <row r="765" spans="2:2" x14ac:dyDescent="0.25">
      <c r="B765" s="45"/>
    </row>
    <row r="766" spans="2:2" x14ac:dyDescent="0.25">
      <c r="B766" s="45"/>
    </row>
    <row r="767" spans="2:2" x14ac:dyDescent="0.25">
      <c r="B767" s="45"/>
    </row>
    <row r="768" spans="2:2" x14ac:dyDescent="0.25">
      <c r="B768" s="45"/>
    </row>
    <row r="769" spans="2:39" x14ac:dyDescent="0.25">
      <c r="B769" s="45"/>
    </row>
    <row r="770" spans="2:39" x14ac:dyDescent="0.25">
      <c r="B770" s="45"/>
    </row>
    <row r="771" spans="2:39" x14ac:dyDescent="0.25">
      <c r="B771" s="45"/>
    </row>
    <row r="772" spans="2:39" x14ac:dyDescent="0.25">
      <c r="B772" s="45"/>
    </row>
    <row r="773" spans="2:39" x14ac:dyDescent="0.25">
      <c r="B773" s="45"/>
    </row>
    <row r="774" spans="2:39" x14ac:dyDescent="0.25">
      <c r="B774" s="45"/>
    </row>
    <row r="775" spans="2:39" x14ac:dyDescent="0.25">
      <c r="B775" s="45"/>
    </row>
    <row r="776" spans="2:39" x14ac:dyDescent="0.25">
      <c r="B776" s="45"/>
    </row>
    <row r="777" spans="2:39" x14ac:dyDescent="0.25">
      <c r="B777" s="45"/>
    </row>
    <row r="778" spans="2:39" x14ac:dyDescent="0.25">
      <c r="B778" s="45"/>
    </row>
    <row r="779" spans="2:39" x14ac:dyDescent="0.25">
      <c r="B779" s="45"/>
    </row>
    <row r="780" spans="2:39" x14ac:dyDescent="0.25">
      <c r="B780" s="45"/>
    </row>
    <row r="781" spans="2:39" x14ac:dyDescent="0.25">
      <c r="B781" s="45"/>
    </row>
    <row r="782" spans="2:39" x14ac:dyDescent="0.25">
      <c r="B782" s="45"/>
    </row>
    <row r="783" spans="2:39" x14ac:dyDescent="0.25">
      <c r="B783" s="45"/>
    </row>
    <row r="784" spans="2:39" x14ac:dyDescent="0.25">
      <c r="B784" s="45"/>
      <c r="AM784" s="22">
        <f t="shared" ref="AM784" si="20">COUNTA(I784:AK784)-COUNTIF(I784:AK784,"CT")</f>
        <v>0</v>
      </c>
    </row>
    <row r="785" spans="2:2" x14ac:dyDescent="0.25">
      <c r="B785" s="45"/>
    </row>
    <row r="786" spans="2:2" x14ac:dyDescent="0.25">
      <c r="B786" s="45"/>
    </row>
    <row r="787" spans="2:2" x14ac:dyDescent="0.25">
      <c r="B787" s="45"/>
    </row>
    <row r="788" spans="2:2" x14ac:dyDescent="0.25">
      <c r="B788" s="45"/>
    </row>
    <row r="789" spans="2:2" x14ac:dyDescent="0.25">
      <c r="B789" s="45"/>
    </row>
    <row r="790" spans="2:2" x14ac:dyDescent="0.25">
      <c r="B790" s="45"/>
    </row>
    <row r="791" spans="2:2" x14ac:dyDescent="0.25">
      <c r="B791" s="45"/>
    </row>
    <row r="792" spans="2:2" x14ac:dyDescent="0.25">
      <c r="B792" s="45"/>
    </row>
    <row r="793" spans="2:2" x14ac:dyDescent="0.25">
      <c r="B793" s="45"/>
    </row>
    <row r="794" spans="2:2" x14ac:dyDescent="0.25">
      <c r="B794" s="45"/>
    </row>
    <row r="795" spans="2:2" x14ac:dyDescent="0.25">
      <c r="B795" s="45"/>
    </row>
    <row r="796" spans="2:2" x14ac:dyDescent="0.25">
      <c r="B796" s="45"/>
    </row>
    <row r="797" spans="2:2" x14ac:dyDescent="0.25">
      <c r="B797" s="45"/>
    </row>
    <row r="798" spans="2:2" x14ac:dyDescent="0.25">
      <c r="B798" s="45"/>
    </row>
    <row r="799" spans="2:2" x14ac:dyDescent="0.25">
      <c r="B799" s="45"/>
    </row>
    <row r="800" spans="2:2" x14ac:dyDescent="0.25">
      <c r="B800" s="45"/>
    </row>
    <row r="801" spans="2:2" x14ac:dyDescent="0.25">
      <c r="B801" s="45"/>
    </row>
    <row r="802" spans="2:2" x14ac:dyDescent="0.25">
      <c r="B802" s="45"/>
    </row>
    <row r="803" spans="2:2" x14ac:dyDescent="0.25">
      <c r="B803" s="45"/>
    </row>
    <row r="804" spans="2:2" x14ac:dyDescent="0.25">
      <c r="B804" s="45"/>
    </row>
    <row r="805" spans="2:2" x14ac:dyDescent="0.25">
      <c r="B805" s="45"/>
    </row>
    <row r="806" spans="2:2" x14ac:dyDescent="0.25">
      <c r="B806" s="45"/>
    </row>
    <row r="807" spans="2:2" x14ac:dyDescent="0.25">
      <c r="B807" s="45"/>
    </row>
    <row r="808" spans="2:2" x14ac:dyDescent="0.25">
      <c r="B808" s="45"/>
    </row>
    <row r="809" spans="2:2" x14ac:dyDescent="0.25">
      <c r="B809" s="45"/>
    </row>
    <row r="810" spans="2:2" x14ac:dyDescent="0.25">
      <c r="B810" s="45"/>
    </row>
    <row r="811" spans="2:2" x14ac:dyDescent="0.25">
      <c r="B811" s="45"/>
    </row>
    <row r="812" spans="2:2" x14ac:dyDescent="0.25">
      <c r="B812" s="45"/>
    </row>
    <row r="813" spans="2:2" x14ac:dyDescent="0.25">
      <c r="B813" s="45"/>
    </row>
    <row r="814" spans="2:2" x14ac:dyDescent="0.25">
      <c r="B814" s="45"/>
    </row>
    <row r="815" spans="2:2" x14ac:dyDescent="0.25">
      <c r="B815" s="45"/>
    </row>
    <row r="816" spans="2:2" x14ac:dyDescent="0.25">
      <c r="B816" s="45"/>
    </row>
    <row r="817" spans="2:2" x14ac:dyDescent="0.25">
      <c r="B817" s="45"/>
    </row>
    <row r="818" spans="2:2" x14ac:dyDescent="0.25">
      <c r="B818" s="45"/>
    </row>
    <row r="819" spans="2:2" x14ac:dyDescent="0.25">
      <c r="B819" s="45"/>
    </row>
    <row r="820" spans="2:2" x14ac:dyDescent="0.25">
      <c r="B820" s="45"/>
    </row>
    <row r="821" spans="2:2" x14ac:dyDescent="0.25">
      <c r="B821" s="38"/>
    </row>
    <row r="822" spans="2:2" x14ac:dyDescent="0.25">
      <c r="B822" s="38"/>
    </row>
    <row r="823" spans="2:2" x14ac:dyDescent="0.25">
      <c r="B823" s="38"/>
    </row>
    <row r="824" spans="2:2" x14ac:dyDescent="0.25">
      <c r="B824" s="38"/>
    </row>
    <row r="825" spans="2:2" x14ac:dyDescent="0.25">
      <c r="B825" s="38"/>
    </row>
    <row r="826" spans="2:2" x14ac:dyDescent="0.25">
      <c r="B826" s="38"/>
    </row>
    <row r="827" spans="2:2" x14ac:dyDescent="0.25">
      <c r="B827" s="38"/>
    </row>
    <row r="828" spans="2:2" x14ac:dyDescent="0.25">
      <c r="B828" s="38"/>
    </row>
    <row r="829" spans="2:2" x14ac:dyDescent="0.25">
      <c r="B829" s="38"/>
    </row>
    <row r="830" spans="2:2" x14ac:dyDescent="0.25">
      <c r="B830" s="38"/>
    </row>
    <row r="831" spans="2:2" x14ac:dyDescent="0.25">
      <c r="B831" s="38"/>
    </row>
    <row r="832" spans="2:2" x14ac:dyDescent="0.25">
      <c r="B832" s="38"/>
    </row>
    <row r="833" spans="2:2" x14ac:dyDescent="0.25">
      <c r="B833" s="38"/>
    </row>
    <row r="834" spans="2:2" x14ac:dyDescent="0.25">
      <c r="B834" s="38"/>
    </row>
    <row r="835" spans="2:2" x14ac:dyDescent="0.25">
      <c r="B835" s="38"/>
    </row>
    <row r="836" spans="2:2" x14ac:dyDescent="0.25">
      <c r="B836" s="38"/>
    </row>
    <row r="837" spans="2:2" x14ac:dyDescent="0.25">
      <c r="B837" s="38"/>
    </row>
    <row r="838" spans="2:2" x14ac:dyDescent="0.25">
      <c r="B838" s="38"/>
    </row>
    <row r="839" spans="2:2" x14ac:dyDescent="0.25">
      <c r="B839" s="38"/>
    </row>
    <row r="840" spans="2:2" x14ac:dyDescent="0.25">
      <c r="B840" s="38"/>
    </row>
    <row r="841" spans="2:2" x14ac:dyDescent="0.25">
      <c r="B841" s="38"/>
    </row>
    <row r="842" spans="2:2" x14ac:dyDescent="0.25">
      <c r="B842" s="38"/>
    </row>
    <row r="843" spans="2:2" x14ac:dyDescent="0.25">
      <c r="B843" s="38"/>
    </row>
    <row r="844" spans="2:2" x14ac:dyDescent="0.25">
      <c r="B844" s="38"/>
    </row>
    <row r="845" spans="2:2" x14ac:dyDescent="0.25">
      <c r="B845" s="38"/>
    </row>
    <row r="846" spans="2:2" x14ac:dyDescent="0.25">
      <c r="B846" s="38"/>
    </row>
    <row r="847" spans="2:2" x14ac:dyDescent="0.25">
      <c r="B847" s="38"/>
    </row>
    <row r="848" spans="2:2" x14ac:dyDescent="0.25">
      <c r="B848" s="38"/>
    </row>
  </sheetData>
  <autoFilter ref="A13:XEW461" xr:uid="{00000000-0001-0000-0100-000000000000}">
    <filterColumn colId="34">
      <customFilters>
        <customFilter operator="notEqual" val=" "/>
      </customFilters>
    </filterColumn>
    <filterColumn colId="37">
      <customFilters>
        <customFilter operator="notEqual" val=" "/>
      </customFilters>
    </filterColumn>
  </autoFilter>
  <conditionalFormatting sqref="B1:B1048576">
    <cfRule type="duplicateValues" dxfId="1032" priority="22"/>
    <cfRule type="duplicateValues" dxfId="1031" priority="37"/>
    <cfRule type="duplicateValues" dxfId="1030" priority="38"/>
    <cfRule type="duplicateValues" dxfId="1029" priority="94045"/>
  </conditionalFormatting>
  <conditionalFormatting sqref="C474">
    <cfRule type="duplicateValues" dxfId="1028" priority="11"/>
    <cfRule type="duplicateValues" dxfId="1027" priority="12"/>
    <cfRule type="duplicateValues" dxfId="1026" priority="13"/>
    <cfRule type="duplicateValues" dxfId="1025" priority="14"/>
  </conditionalFormatting>
  <conditionalFormatting sqref="XDX388">
    <cfRule type="duplicateValues" dxfId="1024" priority="19"/>
    <cfRule type="duplicateValues" dxfId="1023" priority="20"/>
    <cfRule type="duplicateValues" dxfId="1022" priority="21"/>
  </conditionalFormatting>
  <conditionalFormatting sqref="XEK395">
    <cfRule type="duplicateValues" dxfId="1021" priority="7"/>
    <cfRule type="duplicateValues" dxfId="1020" priority="8"/>
    <cfRule type="duplicateValues" dxfId="1019" priority="9"/>
    <cfRule type="duplicateValues" dxfId="1018" priority="10"/>
  </conditionalFormatting>
  <conditionalFormatting sqref="XEM388">
    <cfRule type="duplicateValues" dxfId="1017" priority="15"/>
    <cfRule type="duplicateValues" dxfId="1016" priority="16"/>
    <cfRule type="duplicateValues" dxfId="1015" priority="17"/>
    <cfRule type="duplicateValues" dxfId="1014" priority="18"/>
  </conditionalFormatting>
  <conditionalFormatting sqref="XEQ453">
    <cfRule type="duplicateValues" dxfId="1013" priority="1"/>
    <cfRule type="duplicateValues" dxfId="1012" priority="2"/>
    <cfRule type="duplicateValues" dxfId="1011" priority="3"/>
    <cfRule type="duplicateValues" dxfId="1010" priority="4"/>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FD571"/>
  <sheetViews>
    <sheetView zoomScale="71" zoomScaleNormal="71" workbookViewId="0">
      <selection activeCell="AR28" sqref="AR28"/>
    </sheetView>
  </sheetViews>
  <sheetFormatPr defaultColWidth="9.125" defaultRowHeight="15" x14ac:dyDescent="0.2"/>
  <cols>
    <col min="1" max="1" width="8.75" customWidth="1"/>
    <col min="2" max="2" width="11" customWidth="1"/>
    <col min="3" max="3" width="23.25" style="4" customWidth="1"/>
    <col min="4" max="4" width="20.75" customWidth="1"/>
    <col min="5" max="5" width="15.625" customWidth="1"/>
    <col min="6" max="6" width="7.625" customWidth="1"/>
    <col min="7" max="7" width="18.75" style="5" customWidth="1"/>
    <col min="8" max="8" width="15.625" style="5" customWidth="1"/>
    <col min="9" max="9" width="13.75" style="6" hidden="1" customWidth="1"/>
    <col min="10" max="15" width="13.25" style="6" hidden="1" customWidth="1"/>
    <col min="16" max="16" width="13.75" style="6" hidden="1" customWidth="1"/>
    <col min="17" max="18" width="13.25" style="6" hidden="1" customWidth="1"/>
    <col min="19" max="19" width="15.625" style="6" hidden="1" customWidth="1"/>
    <col min="20" max="31" width="13.25" style="6" hidden="1" customWidth="1"/>
    <col min="32" max="32" width="14.75" style="6" hidden="1" customWidth="1"/>
    <col min="33" max="33" width="13.25" style="6" hidden="1" customWidth="1"/>
    <col min="34" max="35" width="13.25" style="6" customWidth="1"/>
    <col min="36" max="36" width="14.25" style="6" customWidth="1"/>
    <col min="37" max="38" width="13.25" style="6" customWidth="1"/>
    <col min="39" max="16384" width="9.125" style="5"/>
  </cols>
  <sheetData>
    <row r="1" spans="1:39" ht="15.75" x14ac:dyDescent="0.2">
      <c r="I1" s="7">
        <v>46266</v>
      </c>
      <c r="J1" s="7">
        <v>46267</v>
      </c>
      <c r="K1" s="7">
        <v>46268</v>
      </c>
      <c r="L1" s="7">
        <v>46269</v>
      </c>
      <c r="M1" s="7">
        <v>46270</v>
      </c>
      <c r="N1" s="7">
        <v>46271</v>
      </c>
      <c r="O1" s="7">
        <v>46272</v>
      </c>
      <c r="P1" s="7">
        <v>46273</v>
      </c>
      <c r="Q1" s="7">
        <v>46274</v>
      </c>
      <c r="R1" s="7">
        <v>46275</v>
      </c>
      <c r="S1" s="7">
        <v>46276</v>
      </c>
      <c r="T1" s="7">
        <v>46277</v>
      </c>
      <c r="U1" s="7">
        <v>46278</v>
      </c>
      <c r="V1" s="7">
        <v>46279</v>
      </c>
      <c r="W1" s="7">
        <v>46280</v>
      </c>
      <c r="X1" s="7">
        <v>46281</v>
      </c>
      <c r="Y1" s="7">
        <v>46282</v>
      </c>
      <c r="Z1" s="7">
        <v>46283</v>
      </c>
      <c r="AA1" s="7">
        <v>46284</v>
      </c>
      <c r="AB1" s="7">
        <v>46285</v>
      </c>
      <c r="AC1" s="7">
        <v>46286</v>
      </c>
      <c r="AD1" s="7">
        <v>46287</v>
      </c>
      <c r="AE1" s="7">
        <v>46288</v>
      </c>
      <c r="AF1" s="7">
        <v>46289</v>
      </c>
      <c r="AG1" s="7">
        <v>46290</v>
      </c>
      <c r="AH1" s="7">
        <v>46291</v>
      </c>
      <c r="AI1" s="7">
        <v>46292</v>
      </c>
      <c r="AJ1" s="7">
        <v>46293</v>
      </c>
      <c r="AK1" s="7">
        <v>46294</v>
      </c>
      <c r="AL1" s="7">
        <v>46295</v>
      </c>
    </row>
    <row r="2" spans="1:39" ht="15.75" hidden="1" x14ac:dyDescent="0.25">
      <c r="C2"/>
      <c r="G2" s="8"/>
      <c r="H2" s="8"/>
      <c r="I2" s="9"/>
      <c r="J2" s="9">
        <f t="shared" ref="J2:X2" si="0">SUM(J3:J7)</f>
        <v>0</v>
      </c>
      <c r="K2" s="9">
        <f t="shared" si="0"/>
        <v>0</v>
      </c>
      <c r="L2" s="9">
        <f t="shared" si="0"/>
        <v>0</v>
      </c>
      <c r="M2" s="9"/>
      <c r="N2" s="9">
        <f>SUM(N3:N7)</f>
        <v>0</v>
      </c>
      <c r="O2" s="9">
        <f>SUM(O3:O7)</f>
        <v>0</v>
      </c>
      <c r="P2" s="9">
        <f>SUM(P3:P7)</f>
        <v>0</v>
      </c>
      <c r="Q2" s="9">
        <f>SUM(Q3:Q7)</f>
        <v>0</v>
      </c>
      <c r="R2" s="9">
        <f t="shared" si="0"/>
        <v>0</v>
      </c>
      <c r="S2" s="9">
        <f t="shared" si="0"/>
        <v>0</v>
      </c>
      <c r="T2" s="9">
        <f t="shared" si="0"/>
        <v>0</v>
      </c>
      <c r="U2" s="9">
        <f t="shared" si="0"/>
        <v>0</v>
      </c>
      <c r="V2" s="9">
        <f t="shared" si="0"/>
        <v>0</v>
      </c>
      <c r="W2" s="9">
        <f t="shared" si="0"/>
        <v>0</v>
      </c>
      <c r="X2" s="9">
        <f t="shared" si="0"/>
        <v>0</v>
      </c>
      <c r="Y2" s="9">
        <f t="shared" ref="Y2:AK2" si="1">SUM(Y3:Y7)</f>
        <v>0</v>
      </c>
      <c r="Z2" s="9">
        <f t="shared" si="1"/>
        <v>0</v>
      </c>
      <c r="AA2" s="9">
        <f t="shared" si="1"/>
        <v>0</v>
      </c>
      <c r="AB2" s="9">
        <f t="shared" si="1"/>
        <v>0</v>
      </c>
      <c r="AC2" s="9">
        <f t="shared" si="1"/>
        <v>0</v>
      </c>
      <c r="AD2" s="9">
        <f t="shared" si="1"/>
        <v>0</v>
      </c>
      <c r="AE2" s="9">
        <f t="shared" si="1"/>
        <v>0</v>
      </c>
      <c r="AF2" s="9">
        <f t="shared" si="1"/>
        <v>0</v>
      </c>
      <c r="AG2" s="9">
        <f t="shared" si="1"/>
        <v>0</v>
      </c>
      <c r="AH2" s="9">
        <f t="shared" si="1"/>
        <v>0</v>
      </c>
      <c r="AI2" s="9">
        <f t="shared" si="1"/>
        <v>0</v>
      </c>
      <c r="AJ2" s="9">
        <f t="shared" si="1"/>
        <v>0</v>
      </c>
      <c r="AK2" s="9">
        <f t="shared" si="1"/>
        <v>0</v>
      </c>
      <c r="AL2" s="9"/>
    </row>
    <row r="3" spans="1:39" hidden="1" x14ac:dyDescent="0.2">
      <c r="C3"/>
      <c r="I3" s="10">
        <f>COUNTIFS(I$15:I$101,$H3)</f>
        <v>0</v>
      </c>
      <c r="J3" s="10">
        <f>COUNTIFS(J$15:J$101,$H3)</f>
        <v>0</v>
      </c>
      <c r="K3" s="10">
        <f>COUNTIFS(K$15:K$101,$H3)</f>
        <v>0</v>
      </c>
      <c r="L3" s="10">
        <f>COUNTIFS(L$15:L$101,$H3)</f>
        <v>0</v>
      </c>
      <c r="M3" s="10"/>
      <c r="N3" s="10">
        <f t="shared" ref="N3:AK3" si="2">COUNTIFS(N$15:N$101,$H3)</f>
        <v>0</v>
      </c>
      <c r="O3" s="10">
        <f t="shared" si="2"/>
        <v>0</v>
      </c>
      <c r="P3" s="10">
        <f t="shared" si="2"/>
        <v>0</v>
      </c>
      <c r="Q3" s="10">
        <f t="shared" si="2"/>
        <v>0</v>
      </c>
      <c r="R3" s="10">
        <f t="shared" si="2"/>
        <v>0</v>
      </c>
      <c r="S3" s="10">
        <f t="shared" si="2"/>
        <v>0</v>
      </c>
      <c r="T3" s="10">
        <f t="shared" si="2"/>
        <v>0</v>
      </c>
      <c r="U3" s="10">
        <f t="shared" si="2"/>
        <v>0</v>
      </c>
      <c r="V3" s="10">
        <f t="shared" si="2"/>
        <v>0</v>
      </c>
      <c r="W3" s="10">
        <f t="shared" si="2"/>
        <v>0</v>
      </c>
      <c r="X3" s="10">
        <f t="shared" si="2"/>
        <v>0</v>
      </c>
      <c r="Y3" s="10">
        <f t="shared" si="2"/>
        <v>0</v>
      </c>
      <c r="Z3" s="10">
        <f t="shared" si="2"/>
        <v>0</v>
      </c>
      <c r="AA3" s="10">
        <f t="shared" si="2"/>
        <v>0</v>
      </c>
      <c r="AB3" s="10">
        <f t="shared" si="2"/>
        <v>0</v>
      </c>
      <c r="AC3" s="10">
        <f t="shared" si="2"/>
        <v>0</v>
      </c>
      <c r="AD3" s="10">
        <f t="shared" si="2"/>
        <v>0</v>
      </c>
      <c r="AE3" s="10">
        <f t="shared" si="2"/>
        <v>0</v>
      </c>
      <c r="AF3" s="10">
        <f t="shared" si="2"/>
        <v>0</v>
      </c>
      <c r="AG3" s="10">
        <f t="shared" si="2"/>
        <v>0</v>
      </c>
      <c r="AH3" s="10">
        <f t="shared" si="2"/>
        <v>0</v>
      </c>
      <c r="AI3" s="10">
        <f t="shared" si="2"/>
        <v>0</v>
      </c>
      <c r="AJ3" s="10">
        <f t="shared" si="2"/>
        <v>0</v>
      </c>
      <c r="AK3" s="10">
        <f t="shared" si="2"/>
        <v>0</v>
      </c>
      <c r="AL3" s="10"/>
    </row>
    <row r="4" spans="1:39" ht="15.75" hidden="1" x14ac:dyDescent="0.25">
      <c r="C4"/>
      <c r="G4" s="11"/>
      <c r="H4" s="11"/>
      <c r="I4" s="12">
        <f>COUNTIFS(I$15:I$101,$H4)-I5</f>
        <v>0</v>
      </c>
      <c r="J4" s="12">
        <f>COUNTIFS(J$15:J$101,$H4)-J5</f>
        <v>0</v>
      </c>
      <c r="K4" s="12">
        <f>COUNTIFS(K$15:K$101,$H4)-K5</f>
        <v>0</v>
      </c>
      <c r="L4" s="12">
        <f>COUNTIFS(L$15:L$101,$H4)-L5</f>
        <v>0</v>
      </c>
      <c r="M4" s="12"/>
      <c r="N4" s="12">
        <f t="shared" ref="N4:AK4" si="3">COUNTIFS(N$15:N$101,$H4)-N5</f>
        <v>0</v>
      </c>
      <c r="O4" s="12">
        <f t="shared" si="3"/>
        <v>0</v>
      </c>
      <c r="P4" s="12">
        <f t="shared" si="3"/>
        <v>0</v>
      </c>
      <c r="Q4" s="12">
        <f t="shared" si="3"/>
        <v>0</v>
      </c>
      <c r="R4" s="12">
        <f t="shared" si="3"/>
        <v>0</v>
      </c>
      <c r="S4" s="12">
        <f t="shared" si="3"/>
        <v>0</v>
      </c>
      <c r="T4" s="12">
        <f t="shared" si="3"/>
        <v>0</v>
      </c>
      <c r="U4" s="12">
        <f t="shared" si="3"/>
        <v>0</v>
      </c>
      <c r="V4" s="12">
        <f t="shared" si="3"/>
        <v>0</v>
      </c>
      <c r="W4" s="12">
        <f t="shared" si="3"/>
        <v>0</v>
      </c>
      <c r="X4" s="12">
        <f t="shared" si="3"/>
        <v>0</v>
      </c>
      <c r="Y4" s="12">
        <f t="shared" si="3"/>
        <v>0</v>
      </c>
      <c r="Z4" s="12">
        <f t="shared" si="3"/>
        <v>0</v>
      </c>
      <c r="AA4" s="12">
        <f t="shared" si="3"/>
        <v>0</v>
      </c>
      <c r="AB4" s="12">
        <f t="shared" si="3"/>
        <v>0</v>
      </c>
      <c r="AC4" s="12">
        <f t="shared" si="3"/>
        <v>0</v>
      </c>
      <c r="AD4" s="12">
        <f t="shared" si="3"/>
        <v>0</v>
      </c>
      <c r="AE4" s="12">
        <f t="shared" si="3"/>
        <v>0</v>
      </c>
      <c r="AF4" s="12">
        <f t="shared" si="3"/>
        <v>0</v>
      </c>
      <c r="AG4" s="12">
        <f t="shared" si="3"/>
        <v>0</v>
      </c>
      <c r="AH4" s="12">
        <f t="shared" si="3"/>
        <v>0</v>
      </c>
      <c r="AI4" s="12">
        <f t="shared" si="3"/>
        <v>0</v>
      </c>
      <c r="AJ4" s="12">
        <f t="shared" si="3"/>
        <v>0</v>
      </c>
      <c r="AK4" s="12">
        <f t="shared" si="3"/>
        <v>0</v>
      </c>
      <c r="AL4" s="12"/>
    </row>
    <row r="5" spans="1:39" ht="15.75" hidden="1" x14ac:dyDescent="0.25">
      <c r="C5"/>
      <c r="G5" s="11"/>
      <c r="H5" s="1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row>
    <row r="6" spans="1:39" ht="15.75" hidden="1" x14ac:dyDescent="0.25">
      <c r="C6"/>
      <c r="I6" s="10"/>
      <c r="J6" s="10"/>
      <c r="K6" s="10"/>
      <c r="L6" s="10"/>
      <c r="M6" s="13"/>
      <c r="N6" s="10"/>
      <c r="O6" s="10"/>
      <c r="P6" s="10"/>
      <c r="Q6" s="10"/>
      <c r="R6" s="10"/>
      <c r="S6" s="10"/>
      <c r="T6" s="10"/>
      <c r="U6" s="10"/>
      <c r="V6" s="10"/>
      <c r="W6" s="10"/>
      <c r="X6" s="10"/>
      <c r="Y6" s="10"/>
      <c r="Z6" s="10"/>
      <c r="AA6" s="10"/>
      <c r="AB6" s="10"/>
      <c r="AC6" s="10"/>
      <c r="AD6" s="10"/>
      <c r="AE6" s="10"/>
      <c r="AF6" s="10"/>
      <c r="AG6" s="10"/>
      <c r="AH6" s="10"/>
      <c r="AI6" s="10"/>
      <c r="AJ6" s="10"/>
      <c r="AK6" s="10"/>
      <c r="AL6" s="10"/>
    </row>
    <row r="7" spans="1:39" hidden="1" x14ac:dyDescent="0.2">
      <c r="C7"/>
      <c r="G7" s="5" t="s">
        <v>43</v>
      </c>
      <c r="H7" s="5" t="s">
        <v>868</v>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row>
    <row r="8" spans="1:39" ht="15.75" x14ac:dyDescent="0.25">
      <c r="B8" s="59"/>
      <c r="C8" s="80"/>
      <c r="G8" s="8" t="s">
        <v>869</v>
      </c>
      <c r="H8" s="8" t="s">
        <v>870</v>
      </c>
      <c r="I8" s="9">
        <f>I9+I12</f>
        <v>16</v>
      </c>
      <c r="J8" s="9">
        <f>J9+J12</f>
        <v>0</v>
      </c>
      <c r="K8" s="9">
        <f>K9+K12</f>
        <v>0</v>
      </c>
      <c r="L8" s="9">
        <f t="shared" ref="L8:AG8" si="4">L9+L12</f>
        <v>130</v>
      </c>
      <c r="M8" s="9">
        <f t="shared" si="4"/>
        <v>18</v>
      </c>
      <c r="N8" s="9">
        <f t="shared" si="4"/>
        <v>0</v>
      </c>
      <c r="O8" s="9">
        <f t="shared" si="4"/>
        <v>124</v>
      </c>
      <c r="P8" s="9">
        <f t="shared" si="4"/>
        <v>133</v>
      </c>
      <c r="Q8" s="9">
        <f t="shared" si="4"/>
        <v>142</v>
      </c>
      <c r="R8" s="9">
        <f t="shared" si="4"/>
        <v>113</v>
      </c>
      <c r="S8" s="9">
        <f t="shared" si="4"/>
        <v>115</v>
      </c>
      <c r="T8" s="9">
        <f>T9+T12</f>
        <v>28</v>
      </c>
      <c r="U8" s="9">
        <f t="shared" si="4"/>
        <v>0</v>
      </c>
      <c r="V8" s="9">
        <f t="shared" si="4"/>
        <v>119</v>
      </c>
      <c r="W8" s="9">
        <f t="shared" si="4"/>
        <v>226</v>
      </c>
      <c r="X8" s="9">
        <f>X9+X12</f>
        <v>230</v>
      </c>
      <c r="Y8" s="9">
        <f t="shared" si="4"/>
        <v>238</v>
      </c>
      <c r="Z8" s="9">
        <f t="shared" si="4"/>
        <v>137</v>
      </c>
      <c r="AA8" s="9">
        <f t="shared" si="4"/>
        <v>30</v>
      </c>
      <c r="AB8" s="9">
        <f t="shared" si="4"/>
        <v>0</v>
      </c>
      <c r="AC8" s="9">
        <f t="shared" si="4"/>
        <v>219</v>
      </c>
      <c r="AD8" s="9">
        <f t="shared" si="4"/>
        <v>245</v>
      </c>
      <c r="AE8" s="9">
        <f t="shared" si="4"/>
        <v>241</v>
      </c>
      <c r="AF8" s="9">
        <f t="shared" si="4"/>
        <v>238</v>
      </c>
      <c r="AG8" s="9">
        <f t="shared" si="4"/>
        <v>88</v>
      </c>
      <c r="AH8" s="9">
        <f t="shared" ref="AH8:AL8" si="5">AH9+AH12</f>
        <v>27</v>
      </c>
      <c r="AI8" s="9">
        <f t="shared" si="5"/>
        <v>0</v>
      </c>
      <c r="AJ8" s="9">
        <f t="shared" si="5"/>
        <v>225</v>
      </c>
      <c r="AK8" s="9">
        <f t="shared" si="5"/>
        <v>236</v>
      </c>
      <c r="AL8" s="9">
        <f t="shared" si="5"/>
        <v>151</v>
      </c>
    </row>
    <row r="9" spans="1:39" x14ac:dyDescent="0.2">
      <c r="C9" s="80"/>
      <c r="G9" s="5" t="s">
        <v>871</v>
      </c>
      <c r="H9" s="5" t="s">
        <v>872</v>
      </c>
      <c r="I9" s="10">
        <f>SUM(I10:I11)-I12</f>
        <v>16</v>
      </c>
      <c r="J9" s="10">
        <f t="shared" ref="J9:AL9" si="6">SUM(J10:J11)-J12</f>
        <v>0</v>
      </c>
      <c r="K9" s="10">
        <f t="shared" si="6"/>
        <v>0</v>
      </c>
      <c r="L9" s="10">
        <f t="shared" si="6"/>
        <v>119</v>
      </c>
      <c r="M9" s="10">
        <f t="shared" si="6"/>
        <v>18</v>
      </c>
      <c r="N9" s="10">
        <f t="shared" si="6"/>
        <v>0</v>
      </c>
      <c r="O9" s="10">
        <f t="shared" si="6"/>
        <v>115</v>
      </c>
      <c r="P9" s="10">
        <f t="shared" si="6"/>
        <v>122</v>
      </c>
      <c r="Q9" s="10">
        <f>SUM(Q10:Q11)-Q12</f>
        <v>130</v>
      </c>
      <c r="R9" s="10">
        <f t="shared" si="6"/>
        <v>109</v>
      </c>
      <c r="S9" s="10">
        <f t="shared" si="6"/>
        <v>104</v>
      </c>
      <c r="T9" s="10">
        <f t="shared" si="6"/>
        <v>28</v>
      </c>
      <c r="U9" s="10">
        <f t="shared" si="6"/>
        <v>0</v>
      </c>
      <c r="V9" s="10">
        <f t="shared" si="6"/>
        <v>111</v>
      </c>
      <c r="W9" s="10">
        <f t="shared" si="6"/>
        <v>214</v>
      </c>
      <c r="X9" s="10">
        <f>SUM(X10:X11)-X12</f>
        <v>213</v>
      </c>
      <c r="Y9" s="10">
        <f>SUM(Y10:Y11)-Y12</f>
        <v>216</v>
      </c>
      <c r="Z9" s="10">
        <f t="shared" si="6"/>
        <v>137</v>
      </c>
      <c r="AA9" s="10">
        <f>SUM(AA10:AA11)-AA12</f>
        <v>30</v>
      </c>
      <c r="AB9" s="10">
        <f t="shared" si="6"/>
        <v>0</v>
      </c>
      <c r="AC9" s="10">
        <f>SUM(AC10:AC11)-AC12</f>
        <v>195</v>
      </c>
      <c r="AD9" s="10">
        <f>SUM(AD10:AD11)-AD12</f>
        <v>223</v>
      </c>
      <c r="AE9" s="10">
        <f t="shared" si="6"/>
        <v>219</v>
      </c>
      <c r="AF9" s="10">
        <f>SUM(AF10:AF11)-AF12</f>
        <v>213</v>
      </c>
      <c r="AG9" s="10">
        <f>SUM(AG10:AG11)-AG12</f>
        <v>80</v>
      </c>
      <c r="AH9" s="10">
        <f t="shared" si="6"/>
        <v>27</v>
      </c>
      <c r="AI9" s="10">
        <f t="shared" si="6"/>
        <v>0</v>
      </c>
      <c r="AJ9" s="10">
        <f t="shared" si="6"/>
        <v>206</v>
      </c>
      <c r="AK9" s="10">
        <f t="shared" si="6"/>
        <v>211</v>
      </c>
      <c r="AL9" s="10">
        <f t="shared" si="6"/>
        <v>140</v>
      </c>
    </row>
    <row r="10" spans="1:39" hidden="1" x14ac:dyDescent="0.2">
      <c r="B10" t="s">
        <v>954</v>
      </c>
      <c r="C10" s="1" t="s">
        <v>874</v>
      </c>
      <c r="D10">
        <v>10</v>
      </c>
      <c r="F10" s="1">
        <f>SUM(I10:AK10)</f>
        <v>171</v>
      </c>
      <c r="G10" s="5" t="s">
        <v>873</v>
      </c>
      <c r="H10" s="5" t="s">
        <v>874</v>
      </c>
      <c r="I10" s="10">
        <f>COUNTIFS($I15:I$455,$H$10)</f>
        <v>3</v>
      </c>
      <c r="J10" s="10">
        <f>COUNTIFS(J16:J455,$H$10)</f>
        <v>0</v>
      </c>
      <c r="K10" s="10">
        <f>COUNTIFS(K16:K280,$H$10)</f>
        <v>0</v>
      </c>
      <c r="L10" s="10">
        <f>COUNTIFS(L16:L479,$H$10)</f>
        <v>3</v>
      </c>
      <c r="M10" s="10">
        <f>COUNTIFS(M16:M479,$H$10)</f>
        <v>3</v>
      </c>
      <c r="N10" s="10">
        <f>COUNTIFS(N16:N479,$H$10)</f>
        <v>0</v>
      </c>
      <c r="O10" s="10">
        <f>COUNTIFS(O16:O479,$H$10)</f>
        <v>3</v>
      </c>
      <c r="P10" s="10">
        <f>COUNTIFS(P16:P479,$H$10)</f>
        <v>10</v>
      </c>
      <c r="Q10" s="10">
        <f>COUNTIFS(Q16:Q552,$H$10)</f>
        <v>11</v>
      </c>
      <c r="R10" s="10">
        <f t="shared" ref="R10:AL10" si="7">COUNTIFS(R16:R479,$H$10)</f>
        <v>10</v>
      </c>
      <c r="S10" s="10">
        <f t="shared" si="7"/>
        <v>7</v>
      </c>
      <c r="T10" s="10">
        <f t="shared" si="7"/>
        <v>11</v>
      </c>
      <c r="U10" s="10">
        <f t="shared" si="7"/>
        <v>0</v>
      </c>
      <c r="V10" s="10">
        <f t="shared" si="7"/>
        <v>3</v>
      </c>
      <c r="W10" s="10">
        <f t="shared" si="7"/>
        <v>11</v>
      </c>
      <c r="X10" s="10">
        <f t="shared" si="7"/>
        <v>9</v>
      </c>
      <c r="Y10" s="10">
        <f t="shared" si="7"/>
        <v>9</v>
      </c>
      <c r="Z10" s="10">
        <f t="shared" si="7"/>
        <v>3</v>
      </c>
      <c r="AA10" s="10">
        <f t="shared" si="7"/>
        <v>3</v>
      </c>
      <c r="AB10" s="10">
        <f t="shared" si="7"/>
        <v>0</v>
      </c>
      <c r="AC10" s="10">
        <f t="shared" si="7"/>
        <v>10</v>
      </c>
      <c r="AD10" s="10">
        <f t="shared" si="7"/>
        <v>10</v>
      </c>
      <c r="AE10" s="10">
        <f t="shared" si="7"/>
        <v>10</v>
      </c>
      <c r="AF10" s="10">
        <f t="shared" si="7"/>
        <v>9</v>
      </c>
      <c r="AG10" s="10">
        <f t="shared" si="7"/>
        <v>3</v>
      </c>
      <c r="AH10" s="10">
        <f t="shared" si="7"/>
        <v>10</v>
      </c>
      <c r="AI10" s="10">
        <f t="shared" si="7"/>
        <v>0</v>
      </c>
      <c r="AJ10" s="10">
        <f t="shared" si="7"/>
        <v>10</v>
      </c>
      <c r="AK10" s="10">
        <f t="shared" si="7"/>
        <v>10</v>
      </c>
      <c r="AL10" s="10">
        <f t="shared" si="7"/>
        <v>3</v>
      </c>
    </row>
    <row r="11" spans="1:39" hidden="1" x14ac:dyDescent="0.2">
      <c r="B11" t="s">
        <v>955</v>
      </c>
      <c r="C11" t="s">
        <v>875</v>
      </c>
      <c r="D11">
        <v>95</v>
      </c>
      <c r="F11" s="1">
        <f>SUM(I11:AK11)</f>
        <v>3147</v>
      </c>
      <c r="G11" s="5" t="s">
        <v>873</v>
      </c>
      <c r="H11" s="5" t="s">
        <v>875</v>
      </c>
      <c r="I11" s="10">
        <f>COUNTIFS(I16:I455,$H$11)</f>
        <v>13</v>
      </c>
      <c r="J11" s="10">
        <f>COUNTIFS(J16:J280,$H$11)</f>
        <v>0</v>
      </c>
      <c r="K11" s="10">
        <f>COUNTIFS(K16:K280,$H$11)</f>
        <v>0</v>
      </c>
      <c r="L11" s="10">
        <f>COUNTIFS(L16:L479,$H$11)</f>
        <v>127</v>
      </c>
      <c r="M11" s="10">
        <f>COUNTIFS(M16:M479,$H$11)</f>
        <v>15</v>
      </c>
      <c r="N11" s="10">
        <f>COUNTIFS(N16:N479,$H$11)</f>
        <v>0</v>
      </c>
      <c r="O11" s="10">
        <f>COUNTIFS(O16:O479,$H$11)</f>
        <v>121</v>
      </c>
      <c r="P11" s="10">
        <f>COUNTIFS(P16:P479,$H$11)</f>
        <v>123</v>
      </c>
      <c r="Q11" s="10">
        <f>COUNTIFS(Q16:Q552,$H$11)</f>
        <v>131</v>
      </c>
      <c r="R11" s="10">
        <f t="shared" ref="R11:AL11" si="8">COUNTIFS(R16:R479,$H$11)</f>
        <v>103</v>
      </c>
      <c r="S11" s="10">
        <f t="shared" si="8"/>
        <v>108</v>
      </c>
      <c r="T11" s="10">
        <f t="shared" si="8"/>
        <v>17</v>
      </c>
      <c r="U11" s="10">
        <f t="shared" si="8"/>
        <v>0</v>
      </c>
      <c r="V11" s="10">
        <f t="shared" si="8"/>
        <v>116</v>
      </c>
      <c r="W11" s="10">
        <f t="shared" si="8"/>
        <v>215</v>
      </c>
      <c r="X11" s="10">
        <f t="shared" si="8"/>
        <v>221</v>
      </c>
      <c r="Y11" s="10">
        <f t="shared" si="8"/>
        <v>229</v>
      </c>
      <c r="Z11" s="10">
        <f t="shared" si="8"/>
        <v>134</v>
      </c>
      <c r="AA11" s="10">
        <f t="shared" si="8"/>
        <v>27</v>
      </c>
      <c r="AB11" s="10">
        <f t="shared" si="8"/>
        <v>0</v>
      </c>
      <c r="AC11" s="10">
        <f t="shared" si="8"/>
        <v>209</v>
      </c>
      <c r="AD11" s="10">
        <f t="shared" si="8"/>
        <v>235</v>
      </c>
      <c r="AE11" s="10">
        <f t="shared" si="8"/>
        <v>231</v>
      </c>
      <c r="AF11" s="10">
        <f t="shared" si="8"/>
        <v>229</v>
      </c>
      <c r="AG11" s="10">
        <f t="shared" si="8"/>
        <v>85</v>
      </c>
      <c r="AH11" s="10">
        <f t="shared" si="8"/>
        <v>17</v>
      </c>
      <c r="AI11" s="10">
        <f t="shared" si="8"/>
        <v>0</v>
      </c>
      <c r="AJ11" s="10">
        <f t="shared" si="8"/>
        <v>215</v>
      </c>
      <c r="AK11" s="10">
        <f t="shared" si="8"/>
        <v>226</v>
      </c>
      <c r="AL11" s="10">
        <f t="shared" si="8"/>
        <v>148</v>
      </c>
    </row>
    <row r="12" spans="1:39" x14ac:dyDescent="0.2">
      <c r="C12"/>
      <c r="G12" s="5" t="s">
        <v>876</v>
      </c>
      <c r="H12" s="5" t="s">
        <v>877</v>
      </c>
      <c r="I12" s="10"/>
      <c r="J12" s="10"/>
      <c r="K12" s="10"/>
      <c r="L12" s="10">
        <f>1+10</f>
        <v>11</v>
      </c>
      <c r="M12" s="10"/>
      <c r="N12" s="10"/>
      <c r="O12" s="10">
        <f>9</f>
        <v>9</v>
      </c>
      <c r="P12" s="10">
        <f>11</f>
        <v>11</v>
      </c>
      <c r="Q12" s="10">
        <f>11+1</f>
        <v>12</v>
      </c>
      <c r="R12" s="10">
        <f>4</f>
        <v>4</v>
      </c>
      <c r="S12" s="10">
        <f>11</f>
        <v>11</v>
      </c>
      <c r="T12" s="10"/>
      <c r="U12" s="10"/>
      <c r="V12" s="10">
        <f>8</f>
        <v>8</v>
      </c>
      <c r="W12" s="10">
        <f>5+7</f>
        <v>12</v>
      </c>
      <c r="X12" s="10">
        <f>11+6</f>
        <v>17</v>
      </c>
      <c r="Y12" s="10">
        <f>12+10</f>
        <v>22</v>
      </c>
      <c r="Z12" s="10"/>
      <c r="AA12" s="10"/>
      <c r="AB12" s="10"/>
      <c r="AC12" s="10">
        <f>15+9</f>
        <v>24</v>
      </c>
      <c r="AD12" s="10">
        <f>13+9</f>
        <v>22</v>
      </c>
      <c r="AE12" s="10">
        <f>14+8</f>
        <v>22</v>
      </c>
      <c r="AF12" s="10">
        <f>15+10</f>
        <v>25</v>
      </c>
      <c r="AG12" s="10">
        <f>8</f>
        <v>8</v>
      </c>
      <c r="AH12" s="10"/>
      <c r="AI12" s="10"/>
      <c r="AJ12" s="10">
        <f>12+7</f>
        <v>19</v>
      </c>
      <c r="AK12" s="10">
        <f>14+11</f>
        <v>25</v>
      </c>
      <c r="AL12" s="10">
        <f>1+10</f>
        <v>11</v>
      </c>
    </row>
    <row r="13" spans="1:39" ht="15.75" x14ac:dyDescent="0.25">
      <c r="C13"/>
      <c r="F13" s="1">
        <f>SUM(I13:AL13)</f>
        <v>3469</v>
      </c>
      <c r="G13" s="8" t="s">
        <v>878</v>
      </c>
      <c r="H13" s="8" t="s">
        <v>878</v>
      </c>
      <c r="I13" s="9">
        <f>I9+I12</f>
        <v>16</v>
      </c>
      <c r="J13" s="9">
        <f t="shared" ref="J13:AL13" si="9">J9+J12</f>
        <v>0</v>
      </c>
      <c r="K13" s="9">
        <f t="shared" si="9"/>
        <v>0</v>
      </c>
      <c r="L13" s="9">
        <f t="shared" si="9"/>
        <v>130</v>
      </c>
      <c r="M13" s="9">
        <f t="shared" si="9"/>
        <v>18</v>
      </c>
      <c r="N13" s="9">
        <f t="shared" si="9"/>
        <v>0</v>
      </c>
      <c r="O13" s="9">
        <f t="shared" si="9"/>
        <v>124</v>
      </c>
      <c r="P13" s="9">
        <f t="shared" si="9"/>
        <v>133</v>
      </c>
      <c r="Q13" s="9">
        <f t="shared" si="9"/>
        <v>142</v>
      </c>
      <c r="R13" s="9">
        <f t="shared" si="9"/>
        <v>113</v>
      </c>
      <c r="S13" s="9">
        <f t="shared" si="9"/>
        <v>115</v>
      </c>
      <c r="T13" s="9">
        <f t="shared" si="9"/>
        <v>28</v>
      </c>
      <c r="U13" s="9">
        <f t="shared" si="9"/>
        <v>0</v>
      </c>
      <c r="V13" s="9">
        <f t="shared" si="9"/>
        <v>119</v>
      </c>
      <c r="W13" s="9">
        <f t="shared" si="9"/>
        <v>226</v>
      </c>
      <c r="X13" s="9">
        <f t="shared" si="9"/>
        <v>230</v>
      </c>
      <c r="Y13" s="9">
        <f t="shared" si="9"/>
        <v>238</v>
      </c>
      <c r="Z13" s="9">
        <f t="shared" si="9"/>
        <v>137</v>
      </c>
      <c r="AA13" s="9">
        <f t="shared" si="9"/>
        <v>30</v>
      </c>
      <c r="AB13" s="9">
        <f t="shared" si="9"/>
        <v>0</v>
      </c>
      <c r="AC13" s="9">
        <f t="shared" si="9"/>
        <v>219</v>
      </c>
      <c r="AD13" s="9">
        <f t="shared" si="9"/>
        <v>245</v>
      </c>
      <c r="AE13" s="9">
        <f t="shared" si="9"/>
        <v>241</v>
      </c>
      <c r="AF13" s="9">
        <f t="shared" si="9"/>
        <v>238</v>
      </c>
      <c r="AG13" s="9">
        <f t="shared" si="9"/>
        <v>88</v>
      </c>
      <c r="AH13" s="9">
        <f t="shared" si="9"/>
        <v>27</v>
      </c>
      <c r="AI13" s="9">
        <f t="shared" si="9"/>
        <v>0</v>
      </c>
      <c r="AJ13" s="9">
        <f t="shared" si="9"/>
        <v>225</v>
      </c>
      <c r="AK13" s="9">
        <f t="shared" si="9"/>
        <v>236</v>
      </c>
      <c r="AL13" s="9">
        <f t="shared" si="9"/>
        <v>151</v>
      </c>
      <c r="AM13" s="2">
        <f>SUM(I13:AL13)</f>
        <v>3469</v>
      </c>
    </row>
    <row r="15" spans="1:39" s="3" customFormat="1" ht="15.75" x14ac:dyDescent="0.2">
      <c r="A15" s="14" t="s">
        <v>47</v>
      </c>
      <c r="B15" s="14" t="s">
        <v>48</v>
      </c>
      <c r="C15" s="15" t="s">
        <v>49</v>
      </c>
      <c r="D15" s="14" t="s">
        <v>50</v>
      </c>
      <c r="E15" s="14" t="s">
        <v>51</v>
      </c>
      <c r="F15" s="14" t="s">
        <v>52</v>
      </c>
      <c r="G15" s="16"/>
      <c r="H15" s="17"/>
      <c r="I15" s="18">
        <v>34</v>
      </c>
      <c r="J15" s="18">
        <v>35</v>
      </c>
      <c r="K15" s="18">
        <v>36</v>
      </c>
      <c r="L15" s="18">
        <v>37</v>
      </c>
      <c r="M15" s="18"/>
      <c r="N15" s="18">
        <v>40</v>
      </c>
      <c r="O15" s="18">
        <v>41</v>
      </c>
      <c r="P15" s="18">
        <v>42</v>
      </c>
      <c r="Q15" s="18">
        <v>43</v>
      </c>
      <c r="R15" s="18">
        <v>43</v>
      </c>
      <c r="S15" s="18">
        <v>44</v>
      </c>
      <c r="T15" s="18">
        <v>45</v>
      </c>
      <c r="U15" s="18">
        <v>46</v>
      </c>
      <c r="V15" s="18">
        <v>47</v>
      </c>
      <c r="W15" s="18">
        <v>48</v>
      </c>
      <c r="X15" s="18">
        <v>49</v>
      </c>
      <c r="Y15" s="18">
        <v>50</v>
      </c>
      <c r="Z15" s="18">
        <v>51</v>
      </c>
      <c r="AA15" s="18">
        <v>52</v>
      </c>
      <c r="AB15" s="18">
        <v>53</v>
      </c>
      <c r="AC15" s="18">
        <v>54</v>
      </c>
      <c r="AD15" s="18">
        <v>55</v>
      </c>
      <c r="AE15" s="18">
        <v>56</v>
      </c>
      <c r="AF15" s="18">
        <v>57</v>
      </c>
      <c r="AG15" s="18">
        <v>58</v>
      </c>
      <c r="AH15" s="18">
        <v>59</v>
      </c>
      <c r="AI15" s="18">
        <v>60</v>
      </c>
      <c r="AJ15" s="18">
        <v>61</v>
      </c>
      <c r="AK15" s="18">
        <v>62</v>
      </c>
      <c r="AL15" s="18"/>
      <c r="AM15" s="3" t="s">
        <v>54</v>
      </c>
    </row>
    <row r="16" spans="1:39" ht="15.75" x14ac:dyDescent="0.25">
      <c r="A16" s="19" t="s">
        <v>55</v>
      </c>
      <c r="B16" s="19" t="s">
        <v>67</v>
      </c>
      <c r="C16" s="20" t="s">
        <v>68</v>
      </c>
      <c r="D16" s="20" t="s">
        <v>21</v>
      </c>
      <c r="E16" s="20" t="s">
        <v>21</v>
      </c>
      <c r="F16" s="19" t="s">
        <v>58</v>
      </c>
      <c r="G16" s="21"/>
      <c r="H16" s="21"/>
      <c r="I16" s="5"/>
      <c r="J16" s="5"/>
      <c r="K16" s="5"/>
      <c r="L16" s="52" t="s">
        <v>914</v>
      </c>
      <c r="M16" s="5"/>
      <c r="O16" s="5"/>
      <c r="P16" s="54"/>
      <c r="Q16" s="5"/>
      <c r="R16" s="5"/>
      <c r="S16" s="5"/>
      <c r="T16" s="5"/>
      <c r="U16" s="5"/>
      <c r="V16" s="5"/>
      <c r="W16" s="5"/>
      <c r="X16" s="5"/>
      <c r="Y16" s="5"/>
      <c r="AA16" s="5"/>
      <c r="AD16" s="5"/>
      <c r="AH16" s="5"/>
      <c r="AM16" s="22">
        <f t="shared" ref="AM16:AM79" si="10">COUNTA(I16:AL16)</f>
        <v>1</v>
      </c>
    </row>
    <row r="17" spans="1:39" ht="15.75" x14ac:dyDescent="0.25">
      <c r="A17" s="19" t="s">
        <v>55</v>
      </c>
      <c r="B17" s="19" t="s">
        <v>77</v>
      </c>
      <c r="C17" s="20" t="s">
        <v>78</v>
      </c>
      <c r="D17" s="20" t="s">
        <v>11</v>
      </c>
      <c r="E17" s="20" t="s">
        <v>11</v>
      </c>
      <c r="F17" s="19" t="s">
        <v>58</v>
      </c>
      <c r="G17" s="21"/>
      <c r="H17" s="21"/>
      <c r="I17" s="5"/>
      <c r="J17" s="5"/>
      <c r="K17" s="5"/>
      <c r="L17" s="5"/>
      <c r="M17" s="5"/>
      <c r="O17" s="5"/>
      <c r="P17" s="54"/>
      <c r="Q17" s="5"/>
      <c r="R17" s="5"/>
      <c r="S17" s="5"/>
      <c r="T17" s="5"/>
      <c r="U17" s="5"/>
      <c r="V17" s="5"/>
      <c r="W17" s="5"/>
      <c r="X17" s="5"/>
      <c r="Y17" s="5"/>
      <c r="AH17" s="52" t="s">
        <v>914</v>
      </c>
      <c r="AM17" s="22">
        <f t="shared" si="10"/>
        <v>1</v>
      </c>
    </row>
    <row r="18" spans="1:39" ht="15.75" x14ac:dyDescent="0.25">
      <c r="A18" s="19" t="s">
        <v>55</v>
      </c>
      <c r="B18" s="19" t="s">
        <v>79</v>
      </c>
      <c r="C18" s="20" t="s">
        <v>80</v>
      </c>
      <c r="D18" s="20" t="s">
        <v>11</v>
      </c>
      <c r="E18" s="20" t="s">
        <v>11</v>
      </c>
      <c r="F18" s="19" t="s">
        <v>58</v>
      </c>
      <c r="G18" s="21"/>
      <c r="H18" s="21"/>
      <c r="I18" s="5"/>
      <c r="J18" s="5"/>
      <c r="K18" s="5"/>
      <c r="L18" s="5"/>
      <c r="M18" s="5"/>
      <c r="O18" s="5"/>
      <c r="P18" s="54"/>
      <c r="Q18" s="5"/>
      <c r="R18" s="5"/>
      <c r="S18" s="5"/>
      <c r="T18" s="5"/>
      <c r="U18" s="5"/>
      <c r="V18" s="5"/>
      <c r="W18" s="5"/>
      <c r="X18" s="5"/>
      <c r="Y18" s="5"/>
      <c r="AH18" s="52" t="s">
        <v>914</v>
      </c>
      <c r="AM18" s="22">
        <f t="shared" si="10"/>
        <v>1</v>
      </c>
    </row>
    <row r="19" spans="1:39" ht="15.75" x14ac:dyDescent="0.25">
      <c r="A19" s="19" t="s">
        <v>55</v>
      </c>
      <c r="B19" s="19" t="s">
        <v>82</v>
      </c>
      <c r="C19" s="20" t="s">
        <v>83</v>
      </c>
      <c r="D19" s="20" t="s">
        <v>22</v>
      </c>
      <c r="E19" s="20" t="s">
        <v>22</v>
      </c>
      <c r="F19" s="19" t="s">
        <v>58</v>
      </c>
      <c r="G19" s="21"/>
      <c r="H19" s="21"/>
      <c r="I19" s="5"/>
      <c r="J19" s="5"/>
      <c r="K19" s="5"/>
      <c r="L19" s="5"/>
      <c r="M19" s="5"/>
      <c r="O19" s="5"/>
      <c r="P19" s="54"/>
      <c r="Q19" s="5"/>
      <c r="R19" s="5"/>
      <c r="S19" s="5"/>
      <c r="T19" s="5"/>
      <c r="U19" s="5"/>
      <c r="V19" s="5"/>
      <c r="W19" s="5"/>
      <c r="X19" s="5"/>
      <c r="Y19" s="5"/>
      <c r="AH19" s="52" t="s">
        <v>914</v>
      </c>
      <c r="AM19" s="22">
        <f t="shared" si="10"/>
        <v>1</v>
      </c>
    </row>
    <row r="20" spans="1:39" ht="15.75" x14ac:dyDescent="0.25">
      <c r="A20" s="19" t="s">
        <v>55</v>
      </c>
      <c r="B20" s="19" t="s">
        <v>87</v>
      </c>
      <c r="C20" s="20" t="s">
        <v>88</v>
      </c>
      <c r="D20" s="20" t="s">
        <v>21</v>
      </c>
      <c r="E20" s="20" t="s">
        <v>21</v>
      </c>
      <c r="F20" s="19" t="s">
        <v>58</v>
      </c>
      <c r="G20" s="21"/>
      <c r="H20" s="21"/>
      <c r="I20" s="5"/>
      <c r="J20" s="5"/>
      <c r="K20" s="5"/>
      <c r="L20" s="52" t="s">
        <v>914</v>
      </c>
      <c r="M20" s="5"/>
      <c r="O20" s="5"/>
      <c r="P20" s="54"/>
      <c r="Q20" s="5"/>
      <c r="R20" s="5"/>
      <c r="S20" s="5"/>
      <c r="T20" s="5"/>
      <c r="U20" s="5"/>
      <c r="V20" s="5"/>
      <c r="W20" s="5"/>
      <c r="X20" s="5"/>
      <c r="Y20" s="5"/>
      <c r="AA20" s="5"/>
      <c r="AD20" s="5"/>
      <c r="AG20" s="5"/>
      <c r="AH20" s="52" t="s">
        <v>914</v>
      </c>
      <c r="AM20" s="22">
        <f t="shared" si="10"/>
        <v>2</v>
      </c>
    </row>
    <row r="21" spans="1:39" ht="15.75" x14ac:dyDescent="0.25">
      <c r="A21" s="19" t="s">
        <v>55</v>
      </c>
      <c r="B21" s="19" t="s">
        <v>89</v>
      </c>
      <c r="C21" s="20" t="s">
        <v>90</v>
      </c>
      <c r="D21" s="20" t="s">
        <v>11</v>
      </c>
      <c r="E21" s="20" t="s">
        <v>11</v>
      </c>
      <c r="F21" s="19" t="s">
        <v>58</v>
      </c>
      <c r="G21" s="21"/>
      <c r="H21" s="21"/>
      <c r="I21" s="5"/>
      <c r="J21" s="5"/>
      <c r="K21" s="5"/>
      <c r="L21" s="52" t="s">
        <v>914</v>
      </c>
      <c r="M21" s="5"/>
      <c r="O21" s="5"/>
      <c r="P21" s="54"/>
      <c r="Q21" s="5"/>
      <c r="R21" s="5"/>
      <c r="S21" s="5"/>
      <c r="T21" s="5"/>
      <c r="U21" s="5"/>
      <c r="V21" s="5"/>
      <c r="W21" s="5"/>
      <c r="X21" s="5"/>
      <c r="Y21" s="5"/>
      <c r="AA21" s="5"/>
      <c r="AD21" s="5"/>
      <c r="AG21" s="5"/>
      <c r="AH21" s="5"/>
      <c r="AM21" s="22">
        <f t="shared" si="10"/>
        <v>1</v>
      </c>
    </row>
    <row r="22" spans="1:39" ht="15.75" x14ac:dyDescent="0.25">
      <c r="A22" s="19" t="s">
        <v>55</v>
      </c>
      <c r="B22" s="19" t="s">
        <v>98</v>
      </c>
      <c r="C22" s="20" t="s">
        <v>99</v>
      </c>
      <c r="D22" s="20" t="s">
        <v>21</v>
      </c>
      <c r="E22" s="20" t="s">
        <v>21</v>
      </c>
      <c r="F22" s="19" t="s">
        <v>58</v>
      </c>
      <c r="G22" s="21"/>
      <c r="H22" s="21"/>
      <c r="I22" s="5"/>
      <c r="J22" s="5"/>
      <c r="K22" s="5"/>
      <c r="L22" s="52" t="s">
        <v>914</v>
      </c>
      <c r="M22" s="5"/>
      <c r="O22" s="5"/>
      <c r="P22" s="54"/>
      <c r="Q22" s="5"/>
      <c r="R22" s="5"/>
      <c r="S22" s="5"/>
      <c r="T22" s="5"/>
      <c r="U22" s="5"/>
      <c r="V22" s="5"/>
      <c r="W22" s="5"/>
      <c r="X22" s="5"/>
      <c r="Y22" s="5"/>
      <c r="AA22" s="5"/>
      <c r="AD22" s="5"/>
      <c r="AG22" s="5"/>
      <c r="AH22" s="5"/>
      <c r="AM22" s="22">
        <f t="shared" si="10"/>
        <v>1</v>
      </c>
    </row>
    <row r="23" spans="1:39" ht="15.75" x14ac:dyDescent="0.25">
      <c r="A23" s="19" t="s">
        <v>55</v>
      </c>
      <c r="B23" s="19" t="s">
        <v>103</v>
      </c>
      <c r="C23" s="20" t="s">
        <v>104</v>
      </c>
      <c r="D23" s="20" t="s">
        <v>21</v>
      </c>
      <c r="E23" s="20" t="s">
        <v>21</v>
      </c>
      <c r="F23" s="19" t="s">
        <v>58</v>
      </c>
      <c r="G23" s="21"/>
      <c r="H23" s="21"/>
      <c r="I23" s="5"/>
      <c r="J23" s="5"/>
      <c r="K23" s="5"/>
      <c r="L23" s="52" t="s">
        <v>914</v>
      </c>
      <c r="M23" s="5"/>
      <c r="O23" s="5"/>
      <c r="P23" s="54"/>
      <c r="Q23" s="5"/>
      <c r="R23" s="5"/>
      <c r="S23" s="5"/>
      <c r="T23" s="5"/>
      <c r="U23" s="5"/>
      <c r="V23" s="5"/>
      <c r="W23" s="5"/>
      <c r="X23" s="5"/>
      <c r="Y23" s="5"/>
      <c r="AA23" s="5"/>
      <c r="AD23" s="5"/>
      <c r="AG23" s="5"/>
      <c r="AH23" s="5"/>
      <c r="AM23" s="22">
        <f t="shared" si="10"/>
        <v>1</v>
      </c>
    </row>
    <row r="24" spans="1:39" ht="15.75" x14ac:dyDescent="0.25">
      <c r="A24" s="19" t="s">
        <v>55</v>
      </c>
      <c r="B24" s="19" t="s">
        <v>106</v>
      </c>
      <c r="C24" s="20" t="s">
        <v>107</v>
      </c>
      <c r="D24" s="20" t="s">
        <v>21</v>
      </c>
      <c r="E24" s="20" t="s">
        <v>21</v>
      </c>
      <c r="F24" s="19" t="s">
        <v>58</v>
      </c>
      <c r="G24" s="21"/>
      <c r="H24" s="21"/>
      <c r="I24" s="5"/>
      <c r="J24" s="5"/>
      <c r="K24" s="5"/>
      <c r="L24" s="52" t="s">
        <v>914</v>
      </c>
      <c r="M24" s="5"/>
      <c r="O24" s="5"/>
      <c r="P24" s="54"/>
      <c r="Q24" s="5"/>
      <c r="R24" s="5"/>
      <c r="S24" s="5"/>
      <c r="T24" s="5"/>
      <c r="U24" s="5"/>
      <c r="V24" s="5"/>
      <c r="W24" s="5"/>
      <c r="X24" s="5"/>
      <c r="Y24" s="5"/>
      <c r="AA24" s="5"/>
      <c r="AD24" s="5"/>
      <c r="AG24" s="5"/>
      <c r="AH24" s="5"/>
      <c r="AM24" s="22">
        <f t="shared" si="10"/>
        <v>1</v>
      </c>
    </row>
    <row r="25" spans="1:39" ht="15.75" x14ac:dyDescent="0.25">
      <c r="A25" s="19" t="s">
        <v>55</v>
      </c>
      <c r="B25" s="19" t="s">
        <v>108</v>
      </c>
      <c r="C25" s="20" t="s">
        <v>109</v>
      </c>
      <c r="D25" s="20" t="s">
        <v>21</v>
      </c>
      <c r="E25" s="20" t="s">
        <v>21</v>
      </c>
      <c r="F25" s="19" t="s">
        <v>58</v>
      </c>
      <c r="G25" s="21"/>
      <c r="H25" s="21"/>
      <c r="I25" s="5"/>
      <c r="J25" s="5"/>
      <c r="K25" s="5"/>
      <c r="L25" s="52" t="s">
        <v>914</v>
      </c>
      <c r="M25" s="5"/>
      <c r="N25" s="5"/>
      <c r="O25" s="5"/>
      <c r="P25" s="54"/>
      <c r="Q25" s="5"/>
      <c r="R25" s="5"/>
      <c r="S25" s="5"/>
      <c r="T25" s="5"/>
      <c r="U25" s="5"/>
      <c r="V25" s="5"/>
      <c r="W25" s="5"/>
      <c r="X25" s="5"/>
      <c r="Y25" s="5"/>
      <c r="AA25" s="5"/>
      <c r="AD25" s="5"/>
      <c r="AG25" s="5"/>
      <c r="AH25" s="5"/>
      <c r="AM25" s="22">
        <f t="shared" si="10"/>
        <v>1</v>
      </c>
    </row>
    <row r="26" spans="1:39" ht="15.75" x14ac:dyDescent="0.25">
      <c r="A26" s="19" t="s">
        <v>55</v>
      </c>
      <c r="B26" s="19" t="s">
        <v>112</v>
      </c>
      <c r="C26" s="20" t="s">
        <v>113</v>
      </c>
      <c r="D26" s="20" t="s">
        <v>21</v>
      </c>
      <c r="E26" s="20" t="s">
        <v>21</v>
      </c>
      <c r="F26" s="19" t="s">
        <v>58</v>
      </c>
      <c r="G26" s="21"/>
      <c r="H26" s="21"/>
      <c r="I26" s="5"/>
      <c r="J26" s="5"/>
      <c r="K26" s="5"/>
      <c r="L26" s="52" t="s">
        <v>914</v>
      </c>
      <c r="M26" s="5"/>
      <c r="O26" s="5"/>
      <c r="P26" s="54"/>
      <c r="Q26" s="5"/>
      <c r="R26" s="5"/>
      <c r="S26" s="5"/>
      <c r="T26" s="5"/>
      <c r="U26" s="5"/>
      <c r="V26" s="5"/>
      <c r="W26" s="5"/>
      <c r="X26" s="5"/>
      <c r="Y26" s="5"/>
      <c r="AA26" s="5"/>
      <c r="AD26" s="5"/>
      <c r="AG26" s="5"/>
      <c r="AH26" s="5"/>
      <c r="AM26" s="22">
        <f t="shared" si="10"/>
        <v>1</v>
      </c>
    </row>
    <row r="27" spans="1:39" ht="15.75" x14ac:dyDescent="0.25">
      <c r="A27" s="19" t="s">
        <v>55</v>
      </c>
      <c r="B27" s="19" t="s">
        <v>114</v>
      </c>
      <c r="C27" s="20" t="s">
        <v>115</v>
      </c>
      <c r="D27" s="20" t="s">
        <v>21</v>
      </c>
      <c r="E27" s="20" t="s">
        <v>21</v>
      </c>
      <c r="F27" s="19" t="s">
        <v>58</v>
      </c>
      <c r="G27" s="21"/>
      <c r="H27" s="21"/>
      <c r="I27" s="5"/>
      <c r="J27" s="5"/>
      <c r="K27" s="5"/>
      <c r="L27" s="52" t="s">
        <v>914</v>
      </c>
      <c r="M27" s="5"/>
      <c r="O27" s="5"/>
      <c r="P27" s="54"/>
      <c r="Q27" s="5"/>
      <c r="R27" s="5"/>
      <c r="S27" s="5"/>
      <c r="T27" s="5"/>
      <c r="U27" s="5"/>
      <c r="V27" s="5"/>
      <c r="W27" s="5"/>
      <c r="X27" s="5"/>
      <c r="Y27" s="5"/>
      <c r="AA27" s="5"/>
      <c r="AD27" s="5"/>
      <c r="AH27" s="5"/>
      <c r="AM27" s="22">
        <f t="shared" si="10"/>
        <v>1</v>
      </c>
    </row>
    <row r="28" spans="1:39" ht="15.75" x14ac:dyDescent="0.25">
      <c r="A28" s="19" t="s">
        <v>55</v>
      </c>
      <c r="B28" s="19" t="s">
        <v>936</v>
      </c>
      <c r="C28" s="20" t="s">
        <v>120</v>
      </c>
      <c r="D28" s="20" t="s">
        <v>21</v>
      </c>
      <c r="E28" s="20" t="s">
        <v>21</v>
      </c>
      <c r="F28" s="19" t="s">
        <v>58</v>
      </c>
      <c r="G28" s="21"/>
      <c r="H28" s="21"/>
      <c r="I28" s="5"/>
      <c r="J28" s="5"/>
      <c r="K28" s="5"/>
      <c r="L28" s="52" t="s">
        <v>914</v>
      </c>
      <c r="M28" s="5"/>
      <c r="O28" s="5"/>
      <c r="P28" s="54"/>
      <c r="Q28" s="52" t="s">
        <v>914</v>
      </c>
      <c r="R28" s="5"/>
      <c r="S28" s="5"/>
      <c r="T28" s="5"/>
      <c r="U28" s="5"/>
      <c r="V28" s="52" t="s">
        <v>914</v>
      </c>
      <c r="W28" s="52" t="s">
        <v>914</v>
      </c>
      <c r="X28" s="5"/>
      <c r="Y28" s="52" t="s">
        <v>914</v>
      </c>
      <c r="Z28" s="53" t="s">
        <v>914</v>
      </c>
      <c r="AA28" s="5"/>
      <c r="AC28" s="53" t="s">
        <v>914</v>
      </c>
      <c r="AD28" s="5"/>
      <c r="AG28" s="5"/>
      <c r="AH28" s="5"/>
      <c r="AK28" s="53" t="s">
        <v>914</v>
      </c>
      <c r="AL28" s="53" t="s">
        <v>914</v>
      </c>
      <c r="AM28" s="22">
        <f t="shared" si="10"/>
        <v>9</v>
      </c>
    </row>
    <row r="29" spans="1:39" ht="15.75" x14ac:dyDescent="0.25">
      <c r="A29" s="19" t="s">
        <v>55</v>
      </c>
      <c r="B29" s="19" t="s">
        <v>121</v>
      </c>
      <c r="C29" s="20" t="s">
        <v>122</v>
      </c>
      <c r="D29" s="20" t="s">
        <v>21</v>
      </c>
      <c r="E29" s="20" t="s">
        <v>21</v>
      </c>
      <c r="F29" s="19" t="s">
        <v>58</v>
      </c>
      <c r="G29" s="21"/>
      <c r="H29" s="21"/>
      <c r="I29" s="5"/>
      <c r="J29" s="5"/>
      <c r="K29" s="5"/>
      <c r="L29" s="52" t="s">
        <v>914</v>
      </c>
      <c r="M29" s="5"/>
      <c r="N29" s="5"/>
      <c r="O29" s="5"/>
      <c r="P29" s="54"/>
      <c r="Q29" s="5"/>
      <c r="R29" s="5"/>
      <c r="S29" s="5"/>
      <c r="T29" s="5"/>
      <c r="U29" s="5"/>
      <c r="V29" s="5"/>
      <c r="W29" s="5"/>
      <c r="X29" s="5"/>
      <c r="Y29" s="5"/>
      <c r="AA29" s="5"/>
      <c r="AD29" s="5"/>
      <c r="AH29" s="5"/>
      <c r="AM29" s="22">
        <f t="shared" si="10"/>
        <v>1</v>
      </c>
    </row>
    <row r="30" spans="1:39" ht="15.75" x14ac:dyDescent="0.25">
      <c r="A30" s="19" t="s">
        <v>55</v>
      </c>
      <c r="B30" s="19" t="s">
        <v>141</v>
      </c>
      <c r="C30" s="20" t="s">
        <v>142</v>
      </c>
      <c r="D30" s="20" t="s">
        <v>25</v>
      </c>
      <c r="E30" s="20" t="s">
        <v>25</v>
      </c>
      <c r="F30" s="19" t="s">
        <v>58</v>
      </c>
      <c r="G30" s="21"/>
      <c r="H30" s="21"/>
      <c r="I30" s="5"/>
      <c r="J30" s="5"/>
      <c r="K30" s="5"/>
      <c r="L30" s="52" t="s">
        <v>914</v>
      </c>
      <c r="M30" s="5"/>
      <c r="O30" s="52" t="s">
        <v>914</v>
      </c>
      <c r="P30" s="54" t="s">
        <v>914</v>
      </c>
      <c r="Q30" s="52" t="s">
        <v>914</v>
      </c>
      <c r="R30" s="52" t="s">
        <v>914</v>
      </c>
      <c r="S30" s="52" t="s">
        <v>914</v>
      </c>
      <c r="T30" s="5"/>
      <c r="U30" s="5"/>
      <c r="V30" s="52" t="s">
        <v>914</v>
      </c>
      <c r="W30" s="52" t="s">
        <v>914</v>
      </c>
      <c r="X30" s="52" t="s">
        <v>914</v>
      </c>
      <c r="Y30" s="52" t="s">
        <v>914</v>
      </c>
      <c r="Z30" s="53" t="s">
        <v>914</v>
      </c>
      <c r="AA30" s="5"/>
      <c r="AC30" s="53" t="s">
        <v>914</v>
      </c>
      <c r="AD30" s="52" t="s">
        <v>914</v>
      </c>
      <c r="AE30" s="53" t="s">
        <v>914</v>
      </c>
      <c r="AF30" s="53" t="s">
        <v>914</v>
      </c>
      <c r="AG30" s="5"/>
      <c r="AH30" s="5"/>
      <c r="AK30" s="53" t="s">
        <v>914</v>
      </c>
      <c r="AL30" s="53" t="s">
        <v>914</v>
      </c>
      <c r="AM30" s="22">
        <f t="shared" si="10"/>
        <v>17</v>
      </c>
    </row>
    <row r="31" spans="1:39" ht="15.75" x14ac:dyDescent="0.25">
      <c r="A31" s="19" t="s">
        <v>55</v>
      </c>
      <c r="B31" s="19" t="s">
        <v>148</v>
      </c>
      <c r="C31" s="20" t="s">
        <v>149</v>
      </c>
      <c r="D31" s="20" t="s">
        <v>26</v>
      </c>
      <c r="E31" s="20" t="s">
        <v>26</v>
      </c>
      <c r="F31" s="19" t="s">
        <v>58</v>
      </c>
      <c r="G31" s="21"/>
      <c r="H31" s="21"/>
      <c r="I31" s="5"/>
      <c r="J31" s="5"/>
      <c r="K31" s="5"/>
      <c r="L31" s="5"/>
      <c r="M31" s="5"/>
      <c r="N31" s="5"/>
      <c r="O31" s="5"/>
      <c r="P31" s="54" t="s">
        <v>914</v>
      </c>
      <c r="Q31" s="5"/>
      <c r="R31" s="5"/>
      <c r="S31" s="5"/>
      <c r="T31" s="5"/>
      <c r="U31" s="5"/>
      <c r="V31" s="5"/>
      <c r="W31" s="5"/>
      <c r="X31" s="52" t="s">
        <v>914</v>
      </c>
      <c r="Y31" s="52" t="s">
        <v>914</v>
      </c>
      <c r="Z31" s="53" t="s">
        <v>914</v>
      </c>
      <c r="AF31" s="53" t="s">
        <v>914</v>
      </c>
      <c r="AG31" s="53" t="s">
        <v>914</v>
      </c>
      <c r="AH31" s="5"/>
      <c r="AM31" s="22">
        <f t="shared" si="10"/>
        <v>6</v>
      </c>
    </row>
    <row r="32" spans="1:39" ht="15.75" x14ac:dyDescent="0.25">
      <c r="A32" s="19" t="s">
        <v>55</v>
      </c>
      <c r="B32" s="19" t="s">
        <v>150</v>
      </c>
      <c r="C32" s="20" t="s">
        <v>151</v>
      </c>
      <c r="D32" s="20" t="s">
        <v>23</v>
      </c>
      <c r="E32" s="20" t="s">
        <v>23</v>
      </c>
      <c r="F32" s="19" t="s">
        <v>58</v>
      </c>
      <c r="G32" s="21"/>
      <c r="H32" s="21"/>
      <c r="I32" s="5"/>
      <c r="J32" s="5"/>
      <c r="K32" s="5"/>
      <c r="L32" s="5"/>
      <c r="M32" s="5"/>
      <c r="O32" s="5"/>
      <c r="P32" s="54" t="s">
        <v>914</v>
      </c>
      <c r="Q32" s="5"/>
      <c r="R32" s="52" t="s">
        <v>914</v>
      </c>
      <c r="S32" s="52" t="s">
        <v>914</v>
      </c>
      <c r="T32" s="5"/>
      <c r="U32" s="5"/>
      <c r="V32" s="52" t="s">
        <v>914</v>
      </c>
      <c r="W32" s="5"/>
      <c r="X32" s="5"/>
      <c r="Y32" s="5"/>
      <c r="AC32" s="53" t="s">
        <v>915</v>
      </c>
      <c r="AD32" s="53" t="s">
        <v>915</v>
      </c>
      <c r="AE32" s="53" t="s">
        <v>915</v>
      </c>
      <c r="AF32" s="53" t="s">
        <v>914</v>
      </c>
      <c r="AG32" s="53" t="s">
        <v>914</v>
      </c>
      <c r="AH32" s="52" t="s">
        <v>915</v>
      </c>
      <c r="AI32" s="53"/>
      <c r="AJ32" s="53" t="s">
        <v>915</v>
      </c>
      <c r="AK32" s="53" t="s">
        <v>915</v>
      </c>
      <c r="AL32" s="53" t="s">
        <v>914</v>
      </c>
      <c r="AM32" s="22">
        <f t="shared" si="10"/>
        <v>13</v>
      </c>
    </row>
    <row r="33" spans="1:39" ht="15.75" x14ac:dyDescent="0.25">
      <c r="A33" s="19" t="s">
        <v>55</v>
      </c>
      <c r="B33" s="19" t="s">
        <v>152</v>
      </c>
      <c r="C33" s="20" t="s">
        <v>153</v>
      </c>
      <c r="D33" s="20" t="s">
        <v>21</v>
      </c>
      <c r="E33" s="20" t="s">
        <v>21</v>
      </c>
      <c r="F33" s="19" t="s">
        <v>58</v>
      </c>
      <c r="G33" s="21"/>
      <c r="H33" s="21"/>
      <c r="I33" s="5"/>
      <c r="J33" s="5"/>
      <c r="K33" s="5"/>
      <c r="L33" s="52" t="s">
        <v>914</v>
      </c>
      <c r="M33" s="5"/>
      <c r="O33" s="52" t="s">
        <v>914</v>
      </c>
      <c r="P33" s="54" t="s">
        <v>914</v>
      </c>
      <c r="Q33" s="52" t="s">
        <v>914</v>
      </c>
      <c r="R33" s="5"/>
      <c r="S33" s="52" t="s">
        <v>914</v>
      </c>
      <c r="T33" s="5"/>
      <c r="U33" s="5"/>
      <c r="V33" s="52" t="s">
        <v>914</v>
      </c>
      <c r="W33" s="52" t="s">
        <v>914</v>
      </c>
      <c r="X33" s="52" t="s">
        <v>914</v>
      </c>
      <c r="Y33" s="52" t="s">
        <v>914</v>
      </c>
      <c r="Z33" s="53" t="s">
        <v>914</v>
      </c>
      <c r="AA33" s="5"/>
      <c r="AC33" s="53" t="s">
        <v>914</v>
      </c>
      <c r="AD33" s="52" t="s">
        <v>914</v>
      </c>
      <c r="AE33" s="53" t="s">
        <v>914</v>
      </c>
      <c r="AF33" s="53" t="s">
        <v>914</v>
      </c>
      <c r="AG33" s="52" t="s">
        <v>914</v>
      </c>
      <c r="AH33" s="5"/>
      <c r="AJ33" s="53" t="s">
        <v>914</v>
      </c>
      <c r="AK33" s="53" t="s">
        <v>914</v>
      </c>
      <c r="AL33" s="53" t="s">
        <v>914</v>
      </c>
      <c r="AM33" s="22">
        <f t="shared" si="10"/>
        <v>18</v>
      </c>
    </row>
    <row r="34" spans="1:39" ht="15.75" x14ac:dyDescent="0.25">
      <c r="A34" s="19" t="s">
        <v>55</v>
      </c>
      <c r="B34" s="19" t="s">
        <v>154</v>
      </c>
      <c r="C34" s="20" t="s">
        <v>155</v>
      </c>
      <c r="D34" s="20" t="s">
        <v>11</v>
      </c>
      <c r="E34" s="20" t="s">
        <v>11</v>
      </c>
      <c r="F34" s="19" t="s">
        <v>58</v>
      </c>
      <c r="G34" s="21"/>
      <c r="H34" s="21"/>
      <c r="I34" s="5"/>
      <c r="J34" s="5"/>
      <c r="K34" s="5"/>
      <c r="L34" s="5"/>
      <c r="M34" s="5"/>
      <c r="O34" s="5"/>
      <c r="P34" s="54"/>
      <c r="Q34" s="5"/>
      <c r="R34" s="5"/>
      <c r="S34" s="5"/>
      <c r="T34" s="5"/>
      <c r="U34" s="5"/>
      <c r="V34" s="5"/>
      <c r="W34" s="52" t="s">
        <v>914</v>
      </c>
      <c r="X34" s="5"/>
      <c r="Y34" s="52" t="s">
        <v>914</v>
      </c>
      <c r="AC34" s="53" t="s">
        <v>914</v>
      </c>
      <c r="AD34" s="52" t="s">
        <v>914</v>
      </c>
      <c r="AE34" s="53" t="s">
        <v>914</v>
      </c>
      <c r="AF34" s="53" t="s">
        <v>914</v>
      </c>
      <c r="AH34" s="5"/>
      <c r="AJ34" s="53" t="s">
        <v>914</v>
      </c>
      <c r="AK34" s="53" t="s">
        <v>914</v>
      </c>
      <c r="AM34" s="22">
        <f t="shared" si="10"/>
        <v>8</v>
      </c>
    </row>
    <row r="35" spans="1:39" ht="15.75" x14ac:dyDescent="0.25">
      <c r="A35" s="19" t="s">
        <v>55</v>
      </c>
      <c r="B35" s="19" t="s">
        <v>156</v>
      </c>
      <c r="C35" s="20" t="s">
        <v>157</v>
      </c>
      <c r="D35" s="20" t="s">
        <v>11</v>
      </c>
      <c r="E35" s="20" t="s">
        <v>11</v>
      </c>
      <c r="F35" s="19" t="s">
        <v>58</v>
      </c>
      <c r="G35" s="21"/>
      <c r="H35" s="21"/>
      <c r="I35" s="5"/>
      <c r="J35" s="5"/>
      <c r="K35" s="5"/>
      <c r="L35" s="5"/>
      <c r="M35" s="5"/>
      <c r="O35" s="5"/>
      <c r="P35" s="54"/>
      <c r="Q35" s="5"/>
      <c r="R35" s="5"/>
      <c r="S35" s="5"/>
      <c r="T35" s="5"/>
      <c r="U35" s="5"/>
      <c r="V35" s="5"/>
      <c r="W35" s="52" t="s">
        <v>914</v>
      </c>
      <c r="X35" s="5"/>
      <c r="Y35" s="52" t="s">
        <v>914</v>
      </c>
      <c r="AD35" s="52" t="s">
        <v>914</v>
      </c>
      <c r="AE35" s="53" t="s">
        <v>914</v>
      </c>
      <c r="AF35" s="53" t="s">
        <v>914</v>
      </c>
      <c r="AH35" s="5"/>
      <c r="AJ35" s="53" t="s">
        <v>914</v>
      </c>
      <c r="AK35" s="53" t="s">
        <v>914</v>
      </c>
      <c r="AM35" s="22">
        <f t="shared" si="10"/>
        <v>7</v>
      </c>
    </row>
    <row r="36" spans="1:39" ht="15.75" x14ac:dyDescent="0.25">
      <c r="A36" s="19" t="s">
        <v>55</v>
      </c>
      <c r="B36" s="19" t="s">
        <v>158</v>
      </c>
      <c r="C36" s="20" t="s">
        <v>159</v>
      </c>
      <c r="D36" s="20" t="s">
        <v>11</v>
      </c>
      <c r="E36" s="20" t="s">
        <v>11</v>
      </c>
      <c r="F36" s="19" t="s">
        <v>58</v>
      </c>
      <c r="G36" s="21"/>
      <c r="H36" s="21"/>
      <c r="I36" s="5"/>
      <c r="J36" s="5"/>
      <c r="K36" s="5"/>
      <c r="L36" s="5"/>
      <c r="M36" s="5"/>
      <c r="O36" s="5"/>
      <c r="P36" s="55" t="s">
        <v>875</v>
      </c>
      <c r="Q36" s="5"/>
      <c r="R36" s="5"/>
      <c r="S36" s="5"/>
      <c r="T36" s="5"/>
      <c r="U36" s="5"/>
      <c r="V36" s="5"/>
      <c r="W36" s="52" t="s">
        <v>914</v>
      </c>
      <c r="X36" s="52" t="s">
        <v>914</v>
      </c>
      <c r="Y36" s="52" t="s">
        <v>914</v>
      </c>
      <c r="AC36" s="53" t="s">
        <v>914</v>
      </c>
      <c r="AD36" s="52" t="s">
        <v>914</v>
      </c>
      <c r="AE36" s="53" t="s">
        <v>914</v>
      </c>
      <c r="AF36" s="53" t="s">
        <v>914</v>
      </c>
      <c r="AH36" s="5"/>
      <c r="AJ36" s="53" t="s">
        <v>914</v>
      </c>
      <c r="AK36" s="53" t="s">
        <v>914</v>
      </c>
      <c r="AM36" s="22">
        <f t="shared" si="10"/>
        <v>10</v>
      </c>
    </row>
    <row r="37" spans="1:39" ht="15.75" x14ac:dyDescent="0.25">
      <c r="A37" s="19" t="s">
        <v>55</v>
      </c>
      <c r="B37" s="19" t="s">
        <v>162</v>
      </c>
      <c r="C37" s="20" t="s">
        <v>163</v>
      </c>
      <c r="D37" s="20" t="s">
        <v>18</v>
      </c>
      <c r="E37" s="20" t="s">
        <v>18</v>
      </c>
      <c r="F37" s="19" t="s">
        <v>58</v>
      </c>
      <c r="G37" s="21"/>
      <c r="H37" s="21"/>
      <c r="I37" s="5"/>
      <c r="J37" s="5"/>
      <c r="K37" s="5"/>
      <c r="L37" s="5"/>
      <c r="M37" s="5"/>
      <c r="O37" s="52" t="s">
        <v>914</v>
      </c>
      <c r="P37" s="55" t="s">
        <v>875</v>
      </c>
      <c r="Q37" s="52" t="s">
        <v>914</v>
      </c>
      <c r="R37" s="5"/>
      <c r="S37" s="52" t="s">
        <v>914</v>
      </c>
      <c r="T37" s="5"/>
      <c r="U37" s="5"/>
      <c r="V37" s="5"/>
      <c r="W37" s="52" t="s">
        <v>914</v>
      </c>
      <c r="X37" s="5"/>
      <c r="Y37" s="52" t="s">
        <v>914</v>
      </c>
      <c r="Z37" s="53" t="s">
        <v>914</v>
      </c>
      <c r="AD37" s="52" t="s">
        <v>914</v>
      </c>
      <c r="AE37" s="53" t="s">
        <v>914</v>
      </c>
      <c r="AF37" s="53" t="s">
        <v>914</v>
      </c>
      <c r="AH37" s="5"/>
      <c r="AJ37" s="53" t="s">
        <v>914</v>
      </c>
      <c r="AL37" s="53" t="s">
        <v>914</v>
      </c>
      <c r="AM37" s="22">
        <f t="shared" si="10"/>
        <v>12</v>
      </c>
    </row>
    <row r="38" spans="1:39" ht="15.75" x14ac:dyDescent="0.25">
      <c r="A38" s="19" t="s">
        <v>55</v>
      </c>
      <c r="B38" s="19" t="s">
        <v>164</v>
      </c>
      <c r="C38" s="20" t="s">
        <v>165</v>
      </c>
      <c r="D38" s="20" t="s">
        <v>11</v>
      </c>
      <c r="E38" s="20" t="s">
        <v>11</v>
      </c>
      <c r="F38" s="19" t="s">
        <v>58</v>
      </c>
      <c r="G38" s="21"/>
      <c r="H38" s="21"/>
      <c r="I38" s="5"/>
      <c r="J38" s="5"/>
      <c r="K38" s="5"/>
      <c r="L38" s="5"/>
      <c r="M38" s="5"/>
      <c r="O38" s="5"/>
      <c r="P38" s="54"/>
      <c r="Q38" s="5"/>
      <c r="R38" s="5"/>
      <c r="S38" s="5"/>
      <c r="T38" s="5"/>
      <c r="U38" s="5"/>
      <c r="V38" s="5"/>
      <c r="W38" s="52" t="s">
        <v>914</v>
      </c>
      <c r="X38" s="52" t="s">
        <v>914</v>
      </c>
      <c r="Y38" s="52" t="s">
        <v>914</v>
      </c>
      <c r="AC38" s="53" t="s">
        <v>914</v>
      </c>
      <c r="AD38" s="52" t="s">
        <v>914</v>
      </c>
      <c r="AE38" s="53" t="s">
        <v>914</v>
      </c>
      <c r="AF38" s="53" t="s">
        <v>914</v>
      </c>
      <c r="AH38" s="5"/>
      <c r="AJ38" s="53" t="s">
        <v>914</v>
      </c>
      <c r="AK38" s="53" t="s">
        <v>914</v>
      </c>
      <c r="AM38" s="22">
        <f t="shared" si="10"/>
        <v>9</v>
      </c>
    </row>
    <row r="39" spans="1:39" ht="15.75" x14ac:dyDescent="0.25">
      <c r="A39" s="19" t="s">
        <v>55</v>
      </c>
      <c r="B39" s="19" t="s">
        <v>166</v>
      </c>
      <c r="C39" s="20" t="s">
        <v>167</v>
      </c>
      <c r="D39" s="20" t="s">
        <v>11</v>
      </c>
      <c r="E39" s="20" t="s">
        <v>11</v>
      </c>
      <c r="F39" s="19" t="s">
        <v>58</v>
      </c>
      <c r="G39" s="21"/>
      <c r="H39" s="21"/>
      <c r="I39" s="5"/>
      <c r="J39" s="5"/>
      <c r="K39" s="5"/>
      <c r="L39" s="5"/>
      <c r="M39" s="5"/>
      <c r="O39" s="5"/>
      <c r="P39" s="54"/>
      <c r="Q39" s="5"/>
      <c r="R39" s="5"/>
      <c r="S39" s="5"/>
      <c r="T39" s="5"/>
      <c r="U39" s="5"/>
      <c r="V39" s="5"/>
      <c r="W39" s="52" t="s">
        <v>914</v>
      </c>
      <c r="X39" s="52" t="s">
        <v>914</v>
      </c>
      <c r="Y39" s="52" t="s">
        <v>914</v>
      </c>
      <c r="AC39" s="53" t="s">
        <v>914</v>
      </c>
      <c r="AD39" s="52" t="s">
        <v>914</v>
      </c>
      <c r="AE39" s="53" t="s">
        <v>914</v>
      </c>
      <c r="AF39" s="53" t="s">
        <v>914</v>
      </c>
      <c r="AH39" s="5"/>
      <c r="AJ39" s="53" t="s">
        <v>914</v>
      </c>
      <c r="AK39" s="53" t="s">
        <v>914</v>
      </c>
      <c r="AM39" s="22">
        <f t="shared" si="10"/>
        <v>9</v>
      </c>
    </row>
    <row r="40" spans="1:39" ht="15.75" x14ac:dyDescent="0.25">
      <c r="A40" s="19" t="s">
        <v>55</v>
      </c>
      <c r="B40" s="19" t="s">
        <v>193</v>
      </c>
      <c r="C40" s="20" t="s">
        <v>194</v>
      </c>
      <c r="D40" s="20" t="s">
        <v>14</v>
      </c>
      <c r="E40" s="20" t="s">
        <v>14</v>
      </c>
      <c r="F40" s="19" t="s">
        <v>58</v>
      </c>
      <c r="G40" s="21"/>
      <c r="H40" s="21"/>
      <c r="I40" s="5" t="s">
        <v>914</v>
      </c>
      <c r="J40" s="5"/>
      <c r="K40" s="5"/>
      <c r="L40" s="52" t="s">
        <v>914</v>
      </c>
      <c r="M40" s="52" t="s">
        <v>914</v>
      </c>
      <c r="O40" s="52" t="s">
        <v>914</v>
      </c>
      <c r="P40" s="54" t="s">
        <v>914</v>
      </c>
      <c r="Q40" s="53" t="s">
        <v>914</v>
      </c>
      <c r="R40" s="5"/>
      <c r="S40" s="52" t="s">
        <v>914</v>
      </c>
      <c r="T40" s="52" t="s">
        <v>914</v>
      </c>
      <c r="U40" s="5"/>
      <c r="V40" s="52" t="s">
        <v>914</v>
      </c>
      <c r="W40" s="52" t="s">
        <v>914</v>
      </c>
      <c r="X40" s="52" t="s">
        <v>914</v>
      </c>
      <c r="Y40" s="52" t="s">
        <v>914</v>
      </c>
      <c r="Z40" s="53" t="s">
        <v>914</v>
      </c>
      <c r="AA40" s="53" t="s">
        <v>914</v>
      </c>
      <c r="AD40" s="52" t="s">
        <v>914</v>
      </c>
      <c r="AE40" s="53" t="s">
        <v>914</v>
      </c>
      <c r="AF40" s="53" t="s">
        <v>914</v>
      </c>
      <c r="AG40" s="52" t="s">
        <v>914</v>
      </c>
      <c r="AH40" s="52" t="s">
        <v>914</v>
      </c>
      <c r="AJ40" s="53" t="s">
        <v>914</v>
      </c>
      <c r="AK40" s="53" t="s">
        <v>914</v>
      </c>
      <c r="AL40" s="53" t="s">
        <v>914</v>
      </c>
      <c r="AM40" s="22">
        <f t="shared" si="10"/>
        <v>22</v>
      </c>
    </row>
    <row r="41" spans="1:39" ht="15.75" x14ac:dyDescent="0.25">
      <c r="A41" s="19" t="s">
        <v>55</v>
      </c>
      <c r="B41" s="19" t="s">
        <v>195</v>
      </c>
      <c r="C41" s="20" t="s">
        <v>196</v>
      </c>
      <c r="D41" s="20" t="s">
        <v>8</v>
      </c>
      <c r="E41" s="20" t="s">
        <v>8</v>
      </c>
      <c r="F41" s="19" t="s">
        <v>58</v>
      </c>
      <c r="G41" s="21"/>
      <c r="H41" s="21"/>
      <c r="I41" s="5"/>
      <c r="J41" s="5"/>
      <c r="K41" s="5"/>
      <c r="L41" s="52" t="s">
        <v>914</v>
      </c>
      <c r="M41" s="5"/>
      <c r="O41" s="52" t="s">
        <v>914</v>
      </c>
      <c r="P41" s="54"/>
      <c r="Q41" s="5"/>
      <c r="R41" s="5"/>
      <c r="S41" s="5"/>
      <c r="T41" s="52" t="s">
        <v>914</v>
      </c>
      <c r="U41" s="5"/>
      <c r="V41" s="52" t="s">
        <v>914</v>
      </c>
      <c r="W41" s="5"/>
      <c r="X41" s="52" t="s">
        <v>914</v>
      </c>
      <c r="Y41" s="5"/>
      <c r="Z41" s="53" t="s">
        <v>914</v>
      </c>
      <c r="AA41" s="5"/>
      <c r="AC41" s="53" t="s">
        <v>914</v>
      </c>
      <c r="AD41" s="5"/>
      <c r="AE41" s="53" t="s">
        <v>914</v>
      </c>
      <c r="AG41" s="53" t="s">
        <v>914</v>
      </c>
      <c r="AH41" s="5"/>
      <c r="AJ41" s="53" t="s">
        <v>914</v>
      </c>
      <c r="AL41" s="53" t="s">
        <v>914</v>
      </c>
      <c r="AM41" s="22">
        <f t="shared" si="10"/>
        <v>11</v>
      </c>
    </row>
    <row r="42" spans="1:39" ht="15.75" x14ac:dyDescent="0.25">
      <c r="A42" s="19" t="s">
        <v>55</v>
      </c>
      <c r="B42" s="19" t="s">
        <v>197</v>
      </c>
      <c r="C42" s="20" t="s">
        <v>198</v>
      </c>
      <c r="D42" s="20" t="s">
        <v>29</v>
      </c>
      <c r="E42" s="20" t="s">
        <v>29</v>
      </c>
      <c r="F42" s="19" t="s">
        <v>58</v>
      </c>
      <c r="G42" s="21"/>
      <c r="H42" s="21"/>
      <c r="I42" s="5"/>
      <c r="J42" s="5"/>
      <c r="K42" s="5"/>
      <c r="L42" s="52" t="s">
        <v>914</v>
      </c>
      <c r="M42" s="5"/>
      <c r="N42" s="5"/>
      <c r="O42" s="52" t="s">
        <v>914</v>
      </c>
      <c r="P42" s="54" t="s">
        <v>914</v>
      </c>
      <c r="Q42" s="52" t="s">
        <v>914</v>
      </c>
      <c r="R42" s="52" t="s">
        <v>914</v>
      </c>
      <c r="S42" s="5"/>
      <c r="T42" s="5"/>
      <c r="U42" s="5"/>
      <c r="V42" s="52" t="s">
        <v>914</v>
      </c>
      <c r="W42" s="52" t="s">
        <v>914</v>
      </c>
      <c r="X42" s="52" t="s">
        <v>914</v>
      </c>
      <c r="Y42" s="52" t="s">
        <v>914</v>
      </c>
      <c r="Z42" s="53" t="s">
        <v>914</v>
      </c>
      <c r="AD42" s="52" t="s">
        <v>914</v>
      </c>
      <c r="AE42" s="53" t="s">
        <v>914</v>
      </c>
      <c r="AF42" s="53" t="s">
        <v>914</v>
      </c>
      <c r="AH42" s="5"/>
      <c r="AJ42" s="53" t="s">
        <v>914</v>
      </c>
      <c r="AK42" s="53" t="s">
        <v>914</v>
      </c>
      <c r="AL42" s="53" t="s">
        <v>914</v>
      </c>
      <c r="AM42" s="22">
        <f t="shared" si="10"/>
        <v>16</v>
      </c>
    </row>
    <row r="43" spans="1:39" ht="15.75" x14ac:dyDescent="0.25">
      <c r="A43" s="19" t="s">
        <v>55</v>
      </c>
      <c r="B43" s="19" t="s">
        <v>199</v>
      </c>
      <c r="C43" s="20" t="s">
        <v>200</v>
      </c>
      <c r="D43" s="20" t="s">
        <v>22</v>
      </c>
      <c r="E43" s="20" t="s">
        <v>22</v>
      </c>
      <c r="F43" s="19" t="s">
        <v>58</v>
      </c>
      <c r="G43" s="21"/>
      <c r="H43" s="21"/>
      <c r="I43" s="5"/>
      <c r="J43" s="5"/>
      <c r="K43" s="5"/>
      <c r="L43" s="52" t="s">
        <v>914</v>
      </c>
      <c r="M43" s="5"/>
      <c r="O43" s="52" t="s">
        <v>914</v>
      </c>
      <c r="P43" s="54"/>
      <c r="Q43" s="5"/>
      <c r="R43" s="5"/>
      <c r="S43" s="5"/>
      <c r="T43" s="5"/>
      <c r="U43" s="5"/>
      <c r="V43" s="5"/>
      <c r="W43" s="5"/>
      <c r="X43" s="5"/>
      <c r="Y43" s="52" t="s">
        <v>914</v>
      </c>
      <c r="Z43" s="53" t="s">
        <v>914</v>
      </c>
      <c r="AC43" s="53" t="s">
        <v>914</v>
      </c>
      <c r="AD43" s="52" t="s">
        <v>914</v>
      </c>
      <c r="AE43" s="53" t="s">
        <v>914</v>
      </c>
      <c r="AF43" s="53" t="s">
        <v>914</v>
      </c>
      <c r="AH43" s="5"/>
      <c r="AJ43" s="53" t="s">
        <v>914</v>
      </c>
      <c r="AK43" s="53" t="s">
        <v>914</v>
      </c>
      <c r="AM43" s="22">
        <f t="shared" si="10"/>
        <v>10</v>
      </c>
    </row>
    <row r="44" spans="1:39" ht="15.75" x14ac:dyDescent="0.25">
      <c r="A44" s="19" t="s">
        <v>55</v>
      </c>
      <c r="B44" s="19" t="s">
        <v>201</v>
      </c>
      <c r="C44" s="20" t="s">
        <v>202</v>
      </c>
      <c r="D44" s="20" t="s">
        <v>11</v>
      </c>
      <c r="E44" s="20" t="s">
        <v>11</v>
      </c>
      <c r="F44" s="19" t="s">
        <v>58</v>
      </c>
      <c r="G44" s="21"/>
      <c r="H44" s="21"/>
      <c r="I44" s="5"/>
      <c r="J44" s="5"/>
      <c r="K44" s="5"/>
      <c r="L44" s="5"/>
      <c r="M44" s="5"/>
      <c r="O44" s="5"/>
      <c r="P44" s="54"/>
      <c r="Q44" s="5"/>
      <c r="R44" s="5"/>
      <c r="S44" s="5"/>
      <c r="T44" s="5"/>
      <c r="U44" s="5"/>
      <c r="V44" s="5"/>
      <c r="W44" s="52" t="s">
        <v>914</v>
      </c>
      <c r="X44" s="52" t="s">
        <v>914</v>
      </c>
      <c r="Y44" s="52" t="s">
        <v>914</v>
      </c>
      <c r="AC44" s="53" t="s">
        <v>914</v>
      </c>
      <c r="AD44" s="52" t="s">
        <v>914</v>
      </c>
      <c r="AE44" s="53" t="s">
        <v>914</v>
      </c>
      <c r="AF44" s="53" t="s">
        <v>914</v>
      </c>
      <c r="AH44" s="5"/>
      <c r="AJ44" s="53" t="s">
        <v>914</v>
      </c>
      <c r="AK44" s="53" t="s">
        <v>914</v>
      </c>
      <c r="AM44" s="22">
        <f t="shared" si="10"/>
        <v>9</v>
      </c>
    </row>
    <row r="45" spans="1:39" ht="15.75" x14ac:dyDescent="0.25">
      <c r="A45" s="19" t="s">
        <v>55</v>
      </c>
      <c r="B45" s="19" t="s">
        <v>203</v>
      </c>
      <c r="C45" s="20" t="s">
        <v>204</v>
      </c>
      <c r="D45" s="20" t="s">
        <v>22</v>
      </c>
      <c r="E45" s="20" t="s">
        <v>22</v>
      </c>
      <c r="F45" s="19" t="s">
        <v>58</v>
      </c>
      <c r="G45" s="21"/>
      <c r="H45" s="21"/>
      <c r="I45" s="5"/>
      <c r="J45" s="5"/>
      <c r="K45" s="5"/>
      <c r="L45" s="52" t="s">
        <v>914</v>
      </c>
      <c r="M45" s="5"/>
      <c r="O45" s="5"/>
      <c r="P45" s="54"/>
      <c r="Q45" s="5"/>
      <c r="R45" s="5"/>
      <c r="S45" s="5"/>
      <c r="T45" s="5"/>
      <c r="U45" s="5"/>
      <c r="V45" s="5"/>
      <c r="W45" s="5"/>
      <c r="X45" s="5"/>
      <c r="Y45" s="5"/>
      <c r="AC45" s="53" t="s">
        <v>914</v>
      </c>
      <c r="AD45" s="52" t="s">
        <v>914</v>
      </c>
      <c r="AF45" s="53" t="s">
        <v>914</v>
      </c>
      <c r="AH45" s="5"/>
      <c r="AJ45" s="53" t="s">
        <v>914</v>
      </c>
      <c r="AK45" s="53" t="s">
        <v>914</v>
      </c>
      <c r="AM45" s="22">
        <f t="shared" si="10"/>
        <v>6</v>
      </c>
    </row>
    <row r="46" spans="1:39" ht="15.75" x14ac:dyDescent="0.25">
      <c r="A46" s="19" t="s">
        <v>55</v>
      </c>
      <c r="B46" s="19" t="s">
        <v>209</v>
      </c>
      <c r="C46" s="20" t="s">
        <v>210</v>
      </c>
      <c r="D46" s="20" t="s">
        <v>23</v>
      </c>
      <c r="E46" s="20" t="s">
        <v>23</v>
      </c>
      <c r="F46" s="19" t="s">
        <v>58</v>
      </c>
      <c r="G46" s="21"/>
      <c r="H46" s="21"/>
      <c r="I46" s="5"/>
      <c r="J46" s="5"/>
      <c r="K46" s="5"/>
      <c r="L46" s="5"/>
      <c r="M46" s="5"/>
      <c r="O46" s="5"/>
      <c r="P46" s="54" t="s">
        <v>914</v>
      </c>
      <c r="Q46" s="5"/>
      <c r="R46" s="5"/>
      <c r="S46" s="52" t="s">
        <v>914</v>
      </c>
      <c r="T46" s="5"/>
      <c r="U46" s="5"/>
      <c r="V46" s="52" t="s">
        <v>914</v>
      </c>
      <c r="W46" s="5"/>
      <c r="X46" s="52" t="s">
        <v>914</v>
      </c>
      <c r="Y46" s="52" t="s">
        <v>915</v>
      </c>
      <c r="AC46" s="53" t="s">
        <v>915</v>
      </c>
      <c r="AD46" s="53" t="s">
        <v>915</v>
      </c>
      <c r="AE46" s="53" t="s">
        <v>915</v>
      </c>
      <c r="AF46" s="53" t="s">
        <v>914</v>
      </c>
      <c r="AG46" s="53" t="s">
        <v>914</v>
      </c>
      <c r="AH46" s="52" t="s">
        <v>915</v>
      </c>
      <c r="AJ46" s="53" t="s">
        <v>915</v>
      </c>
      <c r="AK46" s="53" t="s">
        <v>915</v>
      </c>
      <c r="AL46" s="53" t="s">
        <v>914</v>
      </c>
      <c r="AM46" s="22">
        <f t="shared" si="10"/>
        <v>14</v>
      </c>
    </row>
    <row r="47" spans="1:39" ht="15.75" x14ac:dyDescent="0.25">
      <c r="A47" s="19" t="s">
        <v>55</v>
      </c>
      <c r="B47" s="19" t="s">
        <v>211</v>
      </c>
      <c r="C47" s="20" t="s">
        <v>212</v>
      </c>
      <c r="D47" s="20" t="s">
        <v>18</v>
      </c>
      <c r="E47" s="20" t="s">
        <v>18</v>
      </c>
      <c r="F47" s="19" t="s">
        <v>58</v>
      </c>
      <c r="G47" s="21"/>
      <c r="H47" s="21"/>
      <c r="I47" s="5"/>
      <c r="J47" s="5"/>
      <c r="K47" s="5"/>
      <c r="L47" s="52" t="s">
        <v>914</v>
      </c>
      <c r="M47" s="5"/>
      <c r="O47" s="5"/>
      <c r="P47" s="54" t="s">
        <v>914</v>
      </c>
      <c r="Q47" s="52" t="s">
        <v>914</v>
      </c>
      <c r="R47" s="52" t="s">
        <v>914</v>
      </c>
      <c r="S47" s="52" t="s">
        <v>914</v>
      </c>
      <c r="T47" s="5"/>
      <c r="U47" s="5"/>
      <c r="V47" s="52" t="s">
        <v>914</v>
      </c>
      <c r="W47" s="52" t="s">
        <v>914</v>
      </c>
      <c r="X47" s="52" t="s">
        <v>914</v>
      </c>
      <c r="Y47" s="5"/>
      <c r="Z47" s="53" t="s">
        <v>914</v>
      </c>
      <c r="AC47" s="53" t="s">
        <v>914</v>
      </c>
      <c r="AD47" s="52" t="s">
        <v>914</v>
      </c>
      <c r="AE47" s="53" t="s">
        <v>914</v>
      </c>
      <c r="AF47" s="53" t="s">
        <v>914</v>
      </c>
      <c r="AH47" s="5"/>
      <c r="AJ47" s="53" t="s">
        <v>914</v>
      </c>
      <c r="AK47" s="53" t="s">
        <v>914</v>
      </c>
      <c r="AL47" s="53" t="s">
        <v>914</v>
      </c>
      <c r="AM47" s="22">
        <f t="shared" si="10"/>
        <v>16</v>
      </c>
    </row>
    <row r="48" spans="1:39" ht="15.75" x14ac:dyDescent="0.25">
      <c r="A48" s="19" t="s">
        <v>55</v>
      </c>
      <c r="B48" s="19" t="s">
        <v>213</v>
      </c>
      <c r="C48" s="20" t="s">
        <v>214</v>
      </c>
      <c r="D48" s="20" t="s">
        <v>11</v>
      </c>
      <c r="E48" s="20" t="s">
        <v>11</v>
      </c>
      <c r="F48" s="19" t="s">
        <v>58</v>
      </c>
      <c r="G48" s="21"/>
      <c r="H48" s="21"/>
      <c r="I48" s="5"/>
      <c r="J48" s="5"/>
      <c r="K48" s="5"/>
      <c r="L48" s="5"/>
      <c r="M48" s="5"/>
      <c r="O48" s="5"/>
      <c r="P48" s="54"/>
      <c r="Q48" s="5"/>
      <c r="R48" s="5"/>
      <c r="S48" s="5"/>
      <c r="T48" s="5"/>
      <c r="U48" s="5"/>
      <c r="V48" s="5"/>
      <c r="W48" s="52" t="s">
        <v>914</v>
      </c>
      <c r="X48" s="52" t="s">
        <v>914</v>
      </c>
      <c r="Y48" s="52" t="s">
        <v>914</v>
      </c>
      <c r="AC48" s="53" t="s">
        <v>914</v>
      </c>
      <c r="AD48" s="52" t="s">
        <v>914</v>
      </c>
      <c r="AE48" s="53" t="s">
        <v>914</v>
      </c>
      <c r="AF48" s="53" t="s">
        <v>914</v>
      </c>
      <c r="AH48" s="5"/>
      <c r="AJ48" s="53" t="s">
        <v>914</v>
      </c>
      <c r="AK48" s="53" t="s">
        <v>914</v>
      </c>
      <c r="AM48" s="22">
        <f t="shared" si="10"/>
        <v>9</v>
      </c>
    </row>
    <row r="49" spans="1:39" ht="15.75" x14ac:dyDescent="0.25">
      <c r="A49" s="19" t="s">
        <v>55</v>
      </c>
      <c r="B49" s="19" t="s">
        <v>215</v>
      </c>
      <c r="C49" s="20" t="s">
        <v>216</v>
      </c>
      <c r="D49" s="20" t="s">
        <v>22</v>
      </c>
      <c r="E49" s="20" t="s">
        <v>22</v>
      </c>
      <c r="F49" s="19" t="s">
        <v>58</v>
      </c>
      <c r="G49" s="21"/>
      <c r="H49" s="21"/>
      <c r="I49" s="5"/>
      <c r="J49" s="5"/>
      <c r="K49" s="5"/>
      <c r="L49" s="52" t="s">
        <v>914</v>
      </c>
      <c r="M49" s="5"/>
      <c r="O49" s="52" t="s">
        <v>914</v>
      </c>
      <c r="P49" s="54"/>
      <c r="Q49" s="5"/>
      <c r="R49" s="5"/>
      <c r="S49" s="5"/>
      <c r="T49" s="5"/>
      <c r="U49" s="5"/>
      <c r="V49" s="5"/>
      <c r="W49" s="5"/>
      <c r="X49" s="5"/>
      <c r="Y49" s="52" t="s">
        <v>914</v>
      </c>
      <c r="Z49" s="53" t="s">
        <v>914</v>
      </c>
      <c r="AC49" s="53" t="s">
        <v>914</v>
      </c>
      <c r="AD49" s="52" t="s">
        <v>914</v>
      </c>
      <c r="AE49" s="53" t="s">
        <v>914</v>
      </c>
      <c r="AF49" s="53" t="s">
        <v>914</v>
      </c>
      <c r="AH49" s="5"/>
      <c r="AJ49" s="53" t="s">
        <v>914</v>
      </c>
      <c r="AK49" s="53" t="s">
        <v>914</v>
      </c>
      <c r="AM49" s="22">
        <f t="shared" si="10"/>
        <v>10</v>
      </c>
    </row>
    <row r="50" spans="1:39" ht="15.75" x14ac:dyDescent="0.25">
      <c r="A50" s="19" t="s">
        <v>55</v>
      </c>
      <c r="B50" s="19" t="s">
        <v>221</v>
      </c>
      <c r="C50" s="20" t="s">
        <v>75</v>
      </c>
      <c r="D50" s="20" t="s">
        <v>11</v>
      </c>
      <c r="E50" s="20" t="s">
        <v>11</v>
      </c>
      <c r="F50" s="19" t="s">
        <v>58</v>
      </c>
      <c r="G50" s="21"/>
      <c r="H50" s="21"/>
      <c r="I50" s="5"/>
      <c r="J50" s="5"/>
      <c r="K50" s="5"/>
      <c r="L50" s="5"/>
      <c r="M50" s="5"/>
      <c r="O50" s="5"/>
      <c r="P50" s="54"/>
      <c r="Q50" s="5"/>
      <c r="R50" s="5"/>
      <c r="S50" s="5"/>
      <c r="T50" s="5"/>
      <c r="U50" s="5"/>
      <c r="V50" s="5"/>
      <c r="W50" s="52" t="s">
        <v>914</v>
      </c>
      <c r="X50" s="52" t="s">
        <v>914</v>
      </c>
      <c r="Y50" s="52" t="s">
        <v>914</v>
      </c>
      <c r="AC50" s="53" t="s">
        <v>914</v>
      </c>
      <c r="AD50" s="52" t="s">
        <v>914</v>
      </c>
      <c r="AE50" s="53" t="s">
        <v>914</v>
      </c>
      <c r="AF50" s="53" t="s">
        <v>914</v>
      </c>
      <c r="AH50" s="5"/>
      <c r="AJ50" s="53" t="s">
        <v>914</v>
      </c>
      <c r="AK50" s="53" t="s">
        <v>914</v>
      </c>
      <c r="AM50" s="22">
        <f t="shared" si="10"/>
        <v>9</v>
      </c>
    </row>
    <row r="51" spans="1:39" ht="15.75" x14ac:dyDescent="0.25">
      <c r="A51" s="19" t="s">
        <v>55</v>
      </c>
      <c r="B51" s="19" t="s">
        <v>222</v>
      </c>
      <c r="C51" s="20" t="s">
        <v>223</v>
      </c>
      <c r="D51" s="20" t="s">
        <v>22</v>
      </c>
      <c r="E51" s="20" t="s">
        <v>22</v>
      </c>
      <c r="F51" s="19" t="s">
        <v>58</v>
      </c>
      <c r="G51" s="21"/>
      <c r="H51" s="21"/>
      <c r="I51" s="5"/>
      <c r="J51" s="5"/>
      <c r="K51" s="5"/>
      <c r="L51" s="5"/>
      <c r="M51" s="5"/>
      <c r="O51" s="52" t="s">
        <v>914</v>
      </c>
      <c r="P51" s="54"/>
      <c r="Q51" s="5"/>
      <c r="R51" s="5"/>
      <c r="S51" s="5"/>
      <c r="T51" s="5"/>
      <c r="U51" s="5"/>
      <c r="V51" s="5"/>
      <c r="W51" s="5"/>
      <c r="X51" s="5"/>
      <c r="Y51" s="52" t="s">
        <v>914</v>
      </c>
      <c r="Z51" s="53" t="s">
        <v>914</v>
      </c>
      <c r="AC51" s="53" t="s">
        <v>914</v>
      </c>
      <c r="AD51" s="52" t="s">
        <v>914</v>
      </c>
      <c r="AE51" s="53" t="s">
        <v>914</v>
      </c>
      <c r="AF51" s="53" t="s">
        <v>914</v>
      </c>
      <c r="AH51" s="5"/>
      <c r="AJ51" s="53" t="s">
        <v>914</v>
      </c>
      <c r="AK51" s="53" t="s">
        <v>914</v>
      </c>
      <c r="AM51" s="22">
        <f t="shared" si="10"/>
        <v>9</v>
      </c>
    </row>
    <row r="52" spans="1:39" ht="15.75" x14ac:dyDescent="0.25">
      <c r="A52" s="19" t="s">
        <v>55</v>
      </c>
      <c r="B52" s="19" t="s">
        <v>224</v>
      </c>
      <c r="C52" s="20" t="s">
        <v>225</v>
      </c>
      <c r="D52" s="20" t="s">
        <v>13</v>
      </c>
      <c r="E52" s="20" t="s">
        <v>13</v>
      </c>
      <c r="F52" s="19" t="s">
        <v>58</v>
      </c>
      <c r="G52" s="21"/>
      <c r="H52" s="21"/>
      <c r="I52" s="5"/>
      <c r="J52" s="5"/>
      <c r="K52" s="5"/>
      <c r="L52" s="52" t="s">
        <v>914</v>
      </c>
      <c r="M52" s="5"/>
      <c r="O52" s="5"/>
      <c r="P52" s="54" t="s">
        <v>914</v>
      </c>
      <c r="Q52" s="52" t="s">
        <v>914</v>
      </c>
      <c r="R52" s="52" t="s">
        <v>914</v>
      </c>
      <c r="S52" s="52" t="s">
        <v>914</v>
      </c>
      <c r="T52" s="5"/>
      <c r="U52" s="5"/>
      <c r="V52" s="5"/>
      <c r="W52" s="52" t="s">
        <v>914</v>
      </c>
      <c r="X52" s="52" t="s">
        <v>914</v>
      </c>
      <c r="Y52" s="5"/>
      <c r="AA52" s="53" t="s">
        <v>914</v>
      </c>
      <c r="AD52" s="52" t="s">
        <v>914</v>
      </c>
      <c r="AE52" s="53" t="s">
        <v>914</v>
      </c>
      <c r="AF52" s="53" t="s">
        <v>914</v>
      </c>
      <c r="AH52" s="5"/>
      <c r="AK52" s="53" t="s">
        <v>914</v>
      </c>
      <c r="AL52" s="53" t="s">
        <v>914</v>
      </c>
      <c r="AM52" s="22">
        <f t="shared" si="10"/>
        <v>13</v>
      </c>
    </row>
    <row r="53" spans="1:39" ht="15.75" x14ac:dyDescent="0.25">
      <c r="A53" s="19" t="s">
        <v>55</v>
      </c>
      <c r="B53" s="19" t="s">
        <v>228</v>
      </c>
      <c r="C53" s="20" t="s">
        <v>229</v>
      </c>
      <c r="D53" s="20" t="s">
        <v>8</v>
      </c>
      <c r="E53" s="20" t="s">
        <v>8</v>
      </c>
      <c r="F53" s="19" t="s">
        <v>58</v>
      </c>
      <c r="G53" s="21"/>
      <c r="H53" s="21"/>
      <c r="I53" s="5"/>
      <c r="J53" s="5"/>
      <c r="K53" s="5"/>
      <c r="L53" s="5"/>
      <c r="M53" s="5"/>
      <c r="O53" s="5"/>
      <c r="P53" s="54" t="s">
        <v>914</v>
      </c>
      <c r="Q53" s="52" t="s">
        <v>914</v>
      </c>
      <c r="R53" s="52" t="s">
        <v>914</v>
      </c>
      <c r="S53" s="5"/>
      <c r="T53" s="5"/>
      <c r="U53" s="5"/>
      <c r="V53" s="52" t="s">
        <v>914</v>
      </c>
      <c r="W53" s="52" t="s">
        <v>914</v>
      </c>
      <c r="X53" s="52" t="s">
        <v>914</v>
      </c>
      <c r="Y53" s="52" t="s">
        <v>914</v>
      </c>
      <c r="Z53" s="53" t="s">
        <v>914</v>
      </c>
      <c r="AA53" s="5"/>
      <c r="AC53" s="53" t="s">
        <v>914</v>
      </c>
      <c r="AD53" s="53" t="s">
        <v>914</v>
      </c>
      <c r="AE53" s="53" t="s">
        <v>914</v>
      </c>
      <c r="AF53" s="53" t="s">
        <v>914</v>
      </c>
      <c r="AG53" s="53" t="s">
        <v>914</v>
      </c>
      <c r="AH53" s="52" t="s">
        <v>914</v>
      </c>
      <c r="AJ53" s="53" t="s">
        <v>914</v>
      </c>
      <c r="AK53" s="53" t="s">
        <v>914</v>
      </c>
      <c r="AL53" s="53" t="s">
        <v>914</v>
      </c>
      <c r="AM53" s="22">
        <f t="shared" si="10"/>
        <v>17</v>
      </c>
    </row>
    <row r="54" spans="1:39" ht="15.75" x14ac:dyDescent="0.25">
      <c r="A54" s="19" t="s">
        <v>55</v>
      </c>
      <c r="B54" s="19" t="s">
        <v>230</v>
      </c>
      <c r="C54" s="20" t="s">
        <v>231</v>
      </c>
      <c r="D54" s="20" t="s">
        <v>11</v>
      </c>
      <c r="E54" s="20" t="s">
        <v>11</v>
      </c>
      <c r="F54" s="19" t="s">
        <v>58</v>
      </c>
      <c r="G54" s="21"/>
      <c r="H54" s="21"/>
      <c r="I54" s="5"/>
      <c r="J54" s="5"/>
      <c r="K54" s="5"/>
      <c r="L54" s="5"/>
      <c r="M54" s="5"/>
      <c r="O54" s="5"/>
      <c r="P54" s="54"/>
      <c r="Q54" s="5"/>
      <c r="R54" s="5"/>
      <c r="S54" s="5"/>
      <c r="T54" s="5"/>
      <c r="U54" s="5"/>
      <c r="V54" s="5"/>
      <c r="W54" s="52" t="s">
        <v>914</v>
      </c>
      <c r="X54" s="52" t="s">
        <v>914</v>
      </c>
      <c r="Y54" s="52" t="s">
        <v>914</v>
      </c>
      <c r="AC54" s="53" t="s">
        <v>914</v>
      </c>
      <c r="AD54" s="52" t="s">
        <v>914</v>
      </c>
      <c r="AE54" s="53" t="s">
        <v>914</v>
      </c>
      <c r="AF54" s="53" t="s">
        <v>914</v>
      </c>
      <c r="AH54" s="5"/>
      <c r="AJ54" s="53" t="s">
        <v>914</v>
      </c>
      <c r="AK54" s="53" t="s">
        <v>914</v>
      </c>
      <c r="AM54" s="22">
        <f t="shared" si="10"/>
        <v>9</v>
      </c>
    </row>
    <row r="55" spans="1:39" ht="15.75" x14ac:dyDescent="0.25">
      <c r="A55" s="19" t="s">
        <v>55</v>
      </c>
      <c r="B55" s="19" t="s">
        <v>232</v>
      </c>
      <c r="C55" s="20" t="s">
        <v>233</v>
      </c>
      <c r="D55" s="20" t="s">
        <v>11</v>
      </c>
      <c r="E55" s="20" t="s">
        <v>11</v>
      </c>
      <c r="F55" s="19" t="s">
        <v>58</v>
      </c>
      <c r="G55" s="21"/>
      <c r="H55" s="21"/>
      <c r="I55" s="5"/>
      <c r="J55" s="5"/>
      <c r="K55" s="5"/>
      <c r="L55" s="5"/>
      <c r="M55" s="5"/>
      <c r="O55" s="5"/>
      <c r="P55" s="54"/>
      <c r="Q55" s="5"/>
      <c r="R55" s="5"/>
      <c r="S55" s="5"/>
      <c r="T55" s="5"/>
      <c r="U55" s="5"/>
      <c r="V55" s="5"/>
      <c r="W55" s="52" t="s">
        <v>914</v>
      </c>
      <c r="X55" s="52" t="s">
        <v>914</v>
      </c>
      <c r="Y55" s="52" t="s">
        <v>914</v>
      </c>
      <c r="AC55" s="53" t="s">
        <v>914</v>
      </c>
      <c r="AD55" s="52" t="s">
        <v>914</v>
      </c>
      <c r="AF55" s="53" t="s">
        <v>914</v>
      </c>
      <c r="AH55" s="5"/>
      <c r="AJ55" s="53" t="s">
        <v>914</v>
      </c>
      <c r="AK55" s="53" t="s">
        <v>914</v>
      </c>
      <c r="AM55" s="22">
        <f t="shared" si="10"/>
        <v>8</v>
      </c>
    </row>
    <row r="56" spans="1:39" ht="15.75" x14ac:dyDescent="0.25">
      <c r="A56" s="19" t="s">
        <v>55</v>
      </c>
      <c r="B56" s="19" t="s">
        <v>234</v>
      </c>
      <c r="C56" s="20" t="s">
        <v>235</v>
      </c>
      <c r="D56" s="20" t="s">
        <v>11</v>
      </c>
      <c r="E56" s="20" t="s">
        <v>11</v>
      </c>
      <c r="F56" s="19" t="s">
        <v>58</v>
      </c>
      <c r="G56" s="21"/>
      <c r="H56" s="21"/>
      <c r="I56" s="5"/>
      <c r="J56" s="5"/>
      <c r="K56" s="5"/>
      <c r="L56" s="5"/>
      <c r="M56" s="5"/>
      <c r="O56" s="5"/>
      <c r="P56" s="54"/>
      <c r="Q56" s="5"/>
      <c r="R56" s="5"/>
      <c r="S56" s="5"/>
      <c r="T56" s="5"/>
      <c r="U56" s="5"/>
      <c r="V56" s="5"/>
      <c r="W56" s="52" t="s">
        <v>914</v>
      </c>
      <c r="X56" s="52" t="s">
        <v>914</v>
      </c>
      <c r="Y56" s="52" t="s">
        <v>914</v>
      </c>
      <c r="AC56" s="53" t="s">
        <v>914</v>
      </c>
      <c r="AD56" s="52" t="s">
        <v>914</v>
      </c>
      <c r="AE56" s="53" t="s">
        <v>914</v>
      </c>
      <c r="AF56" s="53" t="s">
        <v>914</v>
      </c>
      <c r="AH56" s="5"/>
      <c r="AJ56" s="53" t="s">
        <v>914</v>
      </c>
      <c r="AK56" s="53" t="s">
        <v>914</v>
      </c>
      <c r="AM56" s="22">
        <f t="shared" si="10"/>
        <v>9</v>
      </c>
    </row>
    <row r="57" spans="1:39" ht="15.75" x14ac:dyDescent="0.25">
      <c r="A57" s="19" t="s">
        <v>55</v>
      </c>
      <c r="B57" s="19" t="s">
        <v>236</v>
      </c>
      <c r="C57" s="20" t="s">
        <v>237</v>
      </c>
      <c r="D57" s="20" t="s">
        <v>11</v>
      </c>
      <c r="E57" s="20" t="s">
        <v>11</v>
      </c>
      <c r="F57" s="19" t="s">
        <v>58</v>
      </c>
      <c r="G57" s="21"/>
      <c r="H57" s="21"/>
      <c r="I57" s="5"/>
      <c r="J57" s="5"/>
      <c r="K57" s="5"/>
      <c r="L57" s="5"/>
      <c r="M57" s="5"/>
      <c r="O57" s="5"/>
      <c r="P57" s="54"/>
      <c r="Q57" s="5"/>
      <c r="R57" s="5"/>
      <c r="S57" s="5"/>
      <c r="T57" s="5"/>
      <c r="U57" s="5"/>
      <c r="V57" s="5"/>
      <c r="W57" s="52" t="s">
        <v>914</v>
      </c>
      <c r="X57" s="52" t="s">
        <v>914</v>
      </c>
      <c r="Y57" s="52" t="s">
        <v>914</v>
      </c>
      <c r="AC57" s="53" t="s">
        <v>914</v>
      </c>
      <c r="AD57" s="52" t="s">
        <v>914</v>
      </c>
      <c r="AE57" s="53" t="s">
        <v>914</v>
      </c>
      <c r="AF57" s="53" t="s">
        <v>914</v>
      </c>
      <c r="AH57" s="5"/>
      <c r="AJ57" s="53" t="s">
        <v>914</v>
      </c>
      <c r="AK57" s="53" t="s">
        <v>914</v>
      </c>
      <c r="AM57" s="22">
        <f t="shared" si="10"/>
        <v>9</v>
      </c>
    </row>
    <row r="58" spans="1:39" ht="15.75" x14ac:dyDescent="0.25">
      <c r="A58" s="19" t="s">
        <v>55</v>
      </c>
      <c r="B58" s="19" t="s">
        <v>238</v>
      </c>
      <c r="C58" s="20" t="s">
        <v>239</v>
      </c>
      <c r="D58" s="20" t="s">
        <v>28</v>
      </c>
      <c r="E58" s="20" t="s">
        <v>28</v>
      </c>
      <c r="F58" s="19" t="s">
        <v>58</v>
      </c>
      <c r="G58" s="21"/>
      <c r="H58" s="21"/>
      <c r="I58" s="5"/>
      <c r="J58" s="5"/>
      <c r="K58" s="5"/>
      <c r="L58" s="5"/>
      <c r="M58" s="5"/>
      <c r="O58" s="5"/>
      <c r="P58" s="54"/>
      <c r="Q58" s="5"/>
      <c r="R58" s="5"/>
      <c r="S58" s="5"/>
      <c r="T58" s="5"/>
      <c r="U58" s="5"/>
      <c r="V58" s="5"/>
      <c r="W58" s="52" t="s">
        <v>914</v>
      </c>
      <c r="X58" s="52" t="s">
        <v>914</v>
      </c>
      <c r="Y58" s="52" t="s">
        <v>914</v>
      </c>
      <c r="AC58" s="53" t="s">
        <v>914</v>
      </c>
      <c r="AD58" s="52" t="s">
        <v>914</v>
      </c>
      <c r="AE58" s="53" t="s">
        <v>914</v>
      </c>
      <c r="AF58" s="53" t="s">
        <v>914</v>
      </c>
      <c r="AH58" s="5"/>
      <c r="AJ58" s="53" t="s">
        <v>914</v>
      </c>
      <c r="AK58" s="53" t="s">
        <v>914</v>
      </c>
      <c r="AM58" s="22">
        <f t="shared" si="10"/>
        <v>9</v>
      </c>
    </row>
    <row r="59" spans="1:39" ht="15.75" x14ac:dyDescent="0.25">
      <c r="A59" s="19" t="s">
        <v>55</v>
      </c>
      <c r="B59" s="19" t="s">
        <v>240</v>
      </c>
      <c r="C59" s="20" t="s">
        <v>241</v>
      </c>
      <c r="D59" s="20" t="s">
        <v>11</v>
      </c>
      <c r="E59" s="20" t="s">
        <v>11</v>
      </c>
      <c r="F59" s="19" t="s">
        <v>58</v>
      </c>
      <c r="G59" s="21"/>
      <c r="H59" s="21"/>
      <c r="I59" s="5"/>
      <c r="J59" s="5"/>
      <c r="K59" s="5"/>
      <c r="L59" s="5"/>
      <c r="M59" s="5"/>
      <c r="O59" s="5"/>
      <c r="P59" s="54"/>
      <c r="Q59" s="5"/>
      <c r="R59" s="5"/>
      <c r="S59" s="5"/>
      <c r="T59" s="5"/>
      <c r="U59" s="5"/>
      <c r="V59" s="5"/>
      <c r="W59" s="52" t="s">
        <v>914</v>
      </c>
      <c r="X59" s="52" t="s">
        <v>914</v>
      </c>
      <c r="Y59" s="52" t="s">
        <v>914</v>
      </c>
      <c r="AC59" s="53" t="s">
        <v>914</v>
      </c>
      <c r="AD59" s="52" t="s">
        <v>914</v>
      </c>
      <c r="AE59" s="53" t="s">
        <v>914</v>
      </c>
      <c r="AF59" s="53" t="s">
        <v>914</v>
      </c>
      <c r="AH59" s="5"/>
      <c r="AJ59" s="53" t="s">
        <v>914</v>
      </c>
      <c r="AK59" s="53" t="s">
        <v>914</v>
      </c>
      <c r="AM59" s="22">
        <f t="shared" si="10"/>
        <v>9</v>
      </c>
    </row>
    <row r="60" spans="1:39" ht="15.75" x14ac:dyDescent="0.25">
      <c r="A60" s="19" t="s">
        <v>55</v>
      </c>
      <c r="B60" s="19" t="s">
        <v>242</v>
      </c>
      <c r="C60" s="20" t="s">
        <v>243</v>
      </c>
      <c r="D60" s="20" t="s">
        <v>11</v>
      </c>
      <c r="E60" s="20" t="s">
        <v>11</v>
      </c>
      <c r="F60" s="19" t="s">
        <v>58</v>
      </c>
      <c r="G60" s="21"/>
      <c r="H60" s="21"/>
      <c r="I60" s="5"/>
      <c r="J60" s="5"/>
      <c r="K60" s="5"/>
      <c r="L60" s="5"/>
      <c r="M60" s="5"/>
      <c r="O60" s="5"/>
      <c r="P60" s="54"/>
      <c r="Q60" s="5"/>
      <c r="R60" s="5"/>
      <c r="S60" s="5"/>
      <c r="T60" s="5"/>
      <c r="U60" s="5"/>
      <c r="V60" s="5"/>
      <c r="W60" s="5"/>
      <c r="X60" s="5"/>
      <c r="Y60" s="52" t="s">
        <v>914</v>
      </c>
      <c r="AC60" s="53" t="s">
        <v>914</v>
      </c>
      <c r="AD60" s="52" t="s">
        <v>914</v>
      </c>
      <c r="AE60" s="53" t="s">
        <v>914</v>
      </c>
      <c r="AF60" s="53" t="s">
        <v>914</v>
      </c>
      <c r="AH60" s="5"/>
      <c r="AJ60" s="53" t="s">
        <v>914</v>
      </c>
      <c r="AK60" s="53" t="s">
        <v>914</v>
      </c>
      <c r="AM60" s="22">
        <f t="shared" si="10"/>
        <v>7</v>
      </c>
    </row>
    <row r="61" spans="1:39" ht="15.75" x14ac:dyDescent="0.25">
      <c r="A61" s="19" t="s">
        <v>55</v>
      </c>
      <c r="B61" s="19" t="s">
        <v>244</v>
      </c>
      <c r="C61" s="20" t="s">
        <v>245</v>
      </c>
      <c r="D61" s="20" t="s">
        <v>11</v>
      </c>
      <c r="E61" s="20" t="s">
        <v>11</v>
      </c>
      <c r="F61" s="19" t="s">
        <v>58</v>
      </c>
      <c r="G61" s="21"/>
      <c r="H61" s="21"/>
      <c r="I61" s="5"/>
      <c r="J61" s="5"/>
      <c r="K61" s="5"/>
      <c r="L61" s="5"/>
      <c r="M61" s="5"/>
      <c r="O61" s="5"/>
      <c r="P61" s="54"/>
      <c r="Q61" s="5"/>
      <c r="R61" s="5"/>
      <c r="S61" s="5"/>
      <c r="T61" s="5"/>
      <c r="U61" s="5"/>
      <c r="V61" s="5"/>
      <c r="W61" s="52" t="s">
        <v>914</v>
      </c>
      <c r="X61" s="52" t="s">
        <v>914</v>
      </c>
      <c r="Y61" s="52" t="s">
        <v>914</v>
      </c>
      <c r="AC61" s="53" t="s">
        <v>914</v>
      </c>
      <c r="AD61" s="52" t="s">
        <v>914</v>
      </c>
      <c r="AE61" s="53" t="s">
        <v>914</v>
      </c>
      <c r="AF61" s="53" t="s">
        <v>914</v>
      </c>
      <c r="AH61" s="5"/>
      <c r="AJ61" s="53" t="s">
        <v>914</v>
      </c>
      <c r="AK61" s="53" t="s">
        <v>914</v>
      </c>
      <c r="AM61" s="22">
        <f t="shared" si="10"/>
        <v>9</v>
      </c>
    </row>
    <row r="62" spans="1:39" ht="15.75" x14ac:dyDescent="0.25">
      <c r="A62" s="19" t="s">
        <v>55</v>
      </c>
      <c r="B62" s="19" t="s">
        <v>250</v>
      </c>
      <c r="C62" s="20" t="s">
        <v>251</v>
      </c>
      <c r="D62" s="20" t="s">
        <v>11</v>
      </c>
      <c r="E62" s="20" t="s">
        <v>11</v>
      </c>
      <c r="F62" s="19" t="s">
        <v>58</v>
      </c>
      <c r="G62" s="21"/>
      <c r="H62" s="21"/>
      <c r="I62" s="5"/>
      <c r="J62" s="5"/>
      <c r="K62" s="5"/>
      <c r="L62" s="5"/>
      <c r="M62" s="5"/>
      <c r="O62" s="5"/>
      <c r="P62" s="54"/>
      <c r="Q62" s="5"/>
      <c r="R62" s="5"/>
      <c r="S62" s="5"/>
      <c r="T62" s="5"/>
      <c r="U62" s="5"/>
      <c r="V62" s="5"/>
      <c r="W62" s="52" t="s">
        <v>914</v>
      </c>
      <c r="X62" s="52" t="s">
        <v>914</v>
      </c>
      <c r="Y62" s="52" t="s">
        <v>914</v>
      </c>
      <c r="AC62" s="53" t="s">
        <v>914</v>
      </c>
      <c r="AF62" s="53" t="s">
        <v>914</v>
      </c>
      <c r="AH62" s="5"/>
      <c r="AJ62" s="53" t="s">
        <v>914</v>
      </c>
      <c r="AK62" s="53" t="s">
        <v>914</v>
      </c>
      <c r="AM62" s="22">
        <f t="shared" si="10"/>
        <v>7</v>
      </c>
    </row>
    <row r="63" spans="1:39" ht="15.75" x14ac:dyDescent="0.25">
      <c r="A63" s="19" t="s">
        <v>55</v>
      </c>
      <c r="B63" s="19" t="s">
        <v>254</v>
      </c>
      <c r="C63" s="20" t="s">
        <v>255</v>
      </c>
      <c r="D63" s="20" t="s">
        <v>11</v>
      </c>
      <c r="E63" s="20" t="s">
        <v>11</v>
      </c>
      <c r="F63" s="19" t="s">
        <v>58</v>
      </c>
      <c r="G63" s="21"/>
      <c r="H63" s="21"/>
      <c r="I63" s="5"/>
      <c r="J63" s="5"/>
      <c r="K63" s="5"/>
      <c r="L63" s="5"/>
      <c r="M63" s="5"/>
      <c r="O63" s="5"/>
      <c r="P63" s="54"/>
      <c r="Q63" s="5"/>
      <c r="R63" s="5"/>
      <c r="S63" s="5"/>
      <c r="T63" s="5"/>
      <c r="U63" s="5"/>
      <c r="V63" s="5"/>
      <c r="W63" s="5"/>
      <c r="X63" s="52" t="s">
        <v>914</v>
      </c>
      <c r="Y63" s="52" t="s">
        <v>914</v>
      </c>
      <c r="AC63" s="53" t="s">
        <v>914</v>
      </c>
      <c r="AD63" s="52" t="s">
        <v>914</v>
      </c>
      <c r="AE63" s="53" t="s">
        <v>914</v>
      </c>
      <c r="AF63" s="53" t="s">
        <v>914</v>
      </c>
      <c r="AH63" s="5"/>
      <c r="AJ63" s="53" t="s">
        <v>914</v>
      </c>
      <c r="AK63" s="53" t="s">
        <v>914</v>
      </c>
      <c r="AM63" s="22">
        <f t="shared" si="10"/>
        <v>8</v>
      </c>
    </row>
    <row r="64" spans="1:39" ht="15.75" x14ac:dyDescent="0.25">
      <c r="A64" s="19" t="s">
        <v>55</v>
      </c>
      <c r="B64" s="19" t="s">
        <v>256</v>
      </c>
      <c r="C64" s="20" t="s">
        <v>257</v>
      </c>
      <c r="D64" s="20" t="s">
        <v>22</v>
      </c>
      <c r="E64" s="20" t="s">
        <v>22</v>
      </c>
      <c r="F64" s="19" t="s">
        <v>58</v>
      </c>
      <c r="G64" s="21"/>
      <c r="H64" s="21"/>
      <c r="I64" s="5"/>
      <c r="J64" s="5"/>
      <c r="K64" s="5"/>
      <c r="L64" s="52" t="s">
        <v>914</v>
      </c>
      <c r="M64" s="5"/>
      <c r="O64" s="52" t="s">
        <v>914</v>
      </c>
      <c r="P64" s="54"/>
      <c r="Q64" s="5"/>
      <c r="R64" s="5"/>
      <c r="S64" s="5"/>
      <c r="T64" s="5"/>
      <c r="U64" s="5"/>
      <c r="V64" s="5"/>
      <c r="W64" s="5"/>
      <c r="X64" s="5"/>
      <c r="Y64" s="52" t="s">
        <v>914</v>
      </c>
      <c r="Z64" s="53" t="s">
        <v>914</v>
      </c>
      <c r="AC64" s="53" t="s">
        <v>914</v>
      </c>
      <c r="AD64" s="52" t="s">
        <v>914</v>
      </c>
      <c r="AE64" s="53" t="s">
        <v>914</v>
      </c>
      <c r="AF64" s="53" t="s">
        <v>914</v>
      </c>
      <c r="AH64" s="5"/>
      <c r="AJ64" s="53" t="s">
        <v>914</v>
      </c>
      <c r="AK64" s="53" t="s">
        <v>914</v>
      </c>
      <c r="AM64" s="22">
        <f t="shared" si="10"/>
        <v>10</v>
      </c>
    </row>
    <row r="65" spans="1:39" ht="15.75" x14ac:dyDescent="0.25">
      <c r="A65" s="19" t="s">
        <v>55</v>
      </c>
      <c r="B65" s="19" t="s">
        <v>258</v>
      </c>
      <c r="C65" s="20" t="s">
        <v>259</v>
      </c>
      <c r="D65" s="20" t="s">
        <v>21</v>
      </c>
      <c r="E65" s="20" t="s">
        <v>21</v>
      </c>
      <c r="F65" s="19" t="s">
        <v>58</v>
      </c>
      <c r="G65" s="21"/>
      <c r="H65" s="21"/>
      <c r="I65" s="5"/>
      <c r="J65" s="5"/>
      <c r="K65" s="5"/>
      <c r="L65" s="52" t="s">
        <v>914</v>
      </c>
      <c r="M65" s="5"/>
      <c r="O65" s="52" t="s">
        <v>914</v>
      </c>
      <c r="P65" s="54" t="s">
        <v>914</v>
      </c>
      <c r="Q65" s="52" t="s">
        <v>914</v>
      </c>
      <c r="R65" s="5"/>
      <c r="S65" s="5"/>
      <c r="T65" s="5"/>
      <c r="U65" s="5"/>
      <c r="V65" s="52" t="s">
        <v>914</v>
      </c>
      <c r="W65" s="52" t="s">
        <v>914</v>
      </c>
      <c r="X65" s="52" t="s">
        <v>914</v>
      </c>
      <c r="Y65" s="52" t="s">
        <v>914</v>
      </c>
      <c r="Z65" s="53" t="s">
        <v>914</v>
      </c>
      <c r="AA65" s="5"/>
      <c r="AC65" s="53" t="s">
        <v>914</v>
      </c>
      <c r="AD65" s="52" t="s">
        <v>914</v>
      </c>
      <c r="AF65" s="53" t="s">
        <v>914</v>
      </c>
      <c r="AG65" s="52" t="s">
        <v>914</v>
      </c>
      <c r="AH65" s="5"/>
      <c r="AJ65" s="53" t="s">
        <v>914</v>
      </c>
      <c r="AK65" s="53" t="s">
        <v>914</v>
      </c>
      <c r="AM65" s="22">
        <f t="shared" si="10"/>
        <v>15</v>
      </c>
    </row>
    <row r="66" spans="1:39" ht="15.75" x14ac:dyDescent="0.25">
      <c r="A66" s="19" t="s">
        <v>55</v>
      </c>
      <c r="B66" s="19" t="s">
        <v>260</v>
      </c>
      <c r="C66" s="20" t="s">
        <v>261</v>
      </c>
      <c r="D66" s="20" t="s">
        <v>11</v>
      </c>
      <c r="E66" s="20" t="s">
        <v>11</v>
      </c>
      <c r="F66" s="19" t="s">
        <v>58</v>
      </c>
      <c r="G66" s="21"/>
      <c r="H66" s="21"/>
      <c r="I66" s="5"/>
      <c r="J66" s="5"/>
      <c r="K66" s="5"/>
      <c r="L66" s="5"/>
      <c r="M66" s="5"/>
      <c r="O66" s="5"/>
      <c r="P66" s="54"/>
      <c r="Q66" s="5"/>
      <c r="R66" s="5"/>
      <c r="S66" s="5"/>
      <c r="T66" s="5"/>
      <c r="U66" s="5"/>
      <c r="V66" s="5"/>
      <c r="W66" s="52" t="s">
        <v>914</v>
      </c>
      <c r="X66" s="52" t="s">
        <v>914</v>
      </c>
      <c r="Y66" s="52" t="s">
        <v>914</v>
      </c>
      <c r="AC66" s="53" t="s">
        <v>914</v>
      </c>
      <c r="AD66" s="52" t="s">
        <v>914</v>
      </c>
      <c r="AE66" s="53" t="s">
        <v>914</v>
      </c>
      <c r="AF66" s="53" t="s">
        <v>914</v>
      </c>
      <c r="AH66" s="5"/>
      <c r="AJ66" s="53" t="s">
        <v>914</v>
      </c>
      <c r="AK66" s="53" t="s">
        <v>914</v>
      </c>
      <c r="AM66" s="22">
        <f t="shared" si="10"/>
        <v>9</v>
      </c>
    </row>
    <row r="67" spans="1:39" ht="15.75" x14ac:dyDescent="0.25">
      <c r="A67" s="19" t="s">
        <v>55</v>
      </c>
      <c r="B67" s="19" t="s">
        <v>262</v>
      </c>
      <c r="C67" s="20" t="s">
        <v>263</v>
      </c>
      <c r="D67" s="20" t="s">
        <v>23</v>
      </c>
      <c r="E67" s="20" t="s">
        <v>23</v>
      </c>
      <c r="F67" s="19" t="s">
        <v>58</v>
      </c>
      <c r="G67" s="21"/>
      <c r="H67" s="21"/>
      <c r="I67" s="5"/>
      <c r="J67" s="5"/>
      <c r="K67" s="5"/>
      <c r="L67" s="5"/>
      <c r="M67" s="5"/>
      <c r="O67" s="5"/>
      <c r="P67" s="54"/>
      <c r="Q67" s="5"/>
      <c r="R67" s="5"/>
      <c r="S67" s="5"/>
      <c r="T67" s="5"/>
      <c r="U67" s="5"/>
      <c r="V67" s="5"/>
      <c r="W67" s="5"/>
      <c r="X67" s="52" t="s">
        <v>914</v>
      </c>
      <c r="Y67" s="52" t="s">
        <v>914</v>
      </c>
      <c r="Z67" s="53" t="s">
        <v>914</v>
      </c>
      <c r="AC67" s="53" t="s">
        <v>915</v>
      </c>
      <c r="AD67" s="53" t="s">
        <v>915</v>
      </c>
      <c r="AE67" s="53" t="s">
        <v>915</v>
      </c>
      <c r="AF67" s="53" t="s">
        <v>914</v>
      </c>
      <c r="AG67" s="53" t="s">
        <v>914</v>
      </c>
      <c r="AH67" s="52" t="s">
        <v>915</v>
      </c>
      <c r="AJ67" s="53" t="s">
        <v>915</v>
      </c>
      <c r="AK67" s="53" t="s">
        <v>915</v>
      </c>
      <c r="AL67" s="53" t="s">
        <v>914</v>
      </c>
      <c r="AM67" s="22">
        <f t="shared" si="10"/>
        <v>12</v>
      </c>
    </row>
    <row r="68" spans="1:39" ht="15.75" x14ac:dyDescent="0.25">
      <c r="A68" s="19" t="s">
        <v>55</v>
      </c>
      <c r="B68" s="19" t="s">
        <v>266</v>
      </c>
      <c r="C68" s="20" t="s">
        <v>267</v>
      </c>
      <c r="D68" s="20" t="s">
        <v>11</v>
      </c>
      <c r="E68" s="20" t="s">
        <v>11</v>
      </c>
      <c r="F68" s="19" t="s">
        <v>58</v>
      </c>
      <c r="G68" s="21"/>
      <c r="H68" s="21"/>
      <c r="I68" s="5"/>
      <c r="J68" s="5"/>
      <c r="K68" s="5"/>
      <c r="L68" s="5"/>
      <c r="M68" s="5"/>
      <c r="O68" s="5"/>
      <c r="P68" s="54"/>
      <c r="Q68" s="5"/>
      <c r="R68" s="5"/>
      <c r="S68" s="5"/>
      <c r="T68" s="5"/>
      <c r="U68" s="5"/>
      <c r="V68" s="5"/>
      <c r="W68" s="52" t="s">
        <v>914</v>
      </c>
      <c r="X68" s="52" t="s">
        <v>914</v>
      </c>
      <c r="Y68" s="52" t="s">
        <v>914</v>
      </c>
      <c r="AC68" s="53" t="s">
        <v>914</v>
      </c>
      <c r="AD68" s="52" t="s">
        <v>914</v>
      </c>
      <c r="AE68" s="53" t="s">
        <v>914</v>
      </c>
      <c r="AF68" s="53" t="s">
        <v>914</v>
      </c>
      <c r="AH68" s="5"/>
      <c r="AJ68" s="53" t="s">
        <v>914</v>
      </c>
      <c r="AK68" s="53" t="s">
        <v>914</v>
      </c>
      <c r="AM68" s="22">
        <f t="shared" si="10"/>
        <v>9</v>
      </c>
    </row>
    <row r="69" spans="1:39" ht="15.75" x14ac:dyDescent="0.25">
      <c r="A69" s="19" t="s">
        <v>55</v>
      </c>
      <c r="B69" s="19" t="s">
        <v>268</v>
      </c>
      <c r="C69" s="20" t="s">
        <v>269</v>
      </c>
      <c r="D69" s="20" t="s">
        <v>11</v>
      </c>
      <c r="E69" s="20" t="s">
        <v>11</v>
      </c>
      <c r="F69" s="19" t="s">
        <v>58</v>
      </c>
      <c r="G69" s="21"/>
      <c r="H69" s="21"/>
      <c r="I69" s="5"/>
      <c r="J69" s="5"/>
      <c r="K69" s="5"/>
      <c r="L69" s="5"/>
      <c r="M69" s="5"/>
      <c r="O69" s="5"/>
      <c r="P69" s="54"/>
      <c r="Q69" s="5"/>
      <c r="R69" s="5"/>
      <c r="S69" s="5"/>
      <c r="T69" s="5"/>
      <c r="U69" s="5"/>
      <c r="V69" s="5"/>
      <c r="W69" s="52" t="s">
        <v>914</v>
      </c>
      <c r="X69" s="52" t="s">
        <v>914</v>
      </c>
      <c r="Y69" s="52" t="s">
        <v>914</v>
      </c>
      <c r="AC69" s="53" t="s">
        <v>914</v>
      </c>
      <c r="AD69" s="52" t="s">
        <v>914</v>
      </c>
      <c r="AE69" s="53" t="s">
        <v>914</v>
      </c>
      <c r="AF69" s="53" t="s">
        <v>914</v>
      </c>
      <c r="AH69" s="5"/>
      <c r="AJ69" s="53" t="s">
        <v>914</v>
      </c>
      <c r="AK69" s="53" t="s">
        <v>914</v>
      </c>
      <c r="AM69" s="22">
        <f t="shared" si="10"/>
        <v>9</v>
      </c>
    </row>
    <row r="70" spans="1:39" ht="15.75" x14ac:dyDescent="0.25">
      <c r="A70" s="19" t="s">
        <v>55</v>
      </c>
      <c r="B70" s="19" t="s">
        <v>270</v>
      </c>
      <c r="C70" s="20" t="s">
        <v>271</v>
      </c>
      <c r="D70" s="20" t="s">
        <v>11</v>
      </c>
      <c r="E70" s="20" t="s">
        <v>11</v>
      </c>
      <c r="F70" s="19" t="s">
        <v>58</v>
      </c>
      <c r="G70" s="21"/>
      <c r="H70" s="21"/>
      <c r="I70" s="5"/>
      <c r="J70" s="5"/>
      <c r="K70" s="5"/>
      <c r="L70" s="5"/>
      <c r="M70" s="5"/>
      <c r="O70" s="5"/>
      <c r="P70" s="54"/>
      <c r="Q70" s="5"/>
      <c r="R70" s="5"/>
      <c r="S70" s="5"/>
      <c r="T70" s="5"/>
      <c r="U70" s="5"/>
      <c r="V70" s="5"/>
      <c r="W70" s="52" t="s">
        <v>914</v>
      </c>
      <c r="X70" s="52" t="s">
        <v>914</v>
      </c>
      <c r="Y70" s="52" t="s">
        <v>914</v>
      </c>
      <c r="AC70" s="53"/>
      <c r="AD70" s="52" t="s">
        <v>914</v>
      </c>
      <c r="AE70" s="53" t="s">
        <v>914</v>
      </c>
      <c r="AF70" s="53" t="s">
        <v>914</v>
      </c>
      <c r="AH70" s="5"/>
      <c r="AJ70" s="53" t="s">
        <v>914</v>
      </c>
      <c r="AK70" s="53" t="s">
        <v>914</v>
      </c>
      <c r="AM70" s="22">
        <f t="shared" si="10"/>
        <v>8</v>
      </c>
    </row>
    <row r="71" spans="1:39" ht="15.75" x14ac:dyDescent="0.25">
      <c r="A71" s="19" t="s">
        <v>55</v>
      </c>
      <c r="B71" s="19" t="s">
        <v>272</v>
      </c>
      <c r="C71" s="20" t="s">
        <v>273</v>
      </c>
      <c r="D71" s="20" t="s">
        <v>11</v>
      </c>
      <c r="E71" s="20" t="s">
        <v>11</v>
      </c>
      <c r="F71" s="19" t="s">
        <v>58</v>
      </c>
      <c r="G71" s="21"/>
      <c r="H71" s="21"/>
      <c r="I71" s="5"/>
      <c r="J71" s="5"/>
      <c r="K71" s="5"/>
      <c r="L71" s="5"/>
      <c r="M71" s="5"/>
      <c r="O71" s="5"/>
      <c r="P71" s="54"/>
      <c r="Q71" s="5"/>
      <c r="R71" s="5"/>
      <c r="S71" s="5"/>
      <c r="T71" s="5"/>
      <c r="U71" s="5"/>
      <c r="V71" s="5"/>
      <c r="W71" s="52" t="s">
        <v>914</v>
      </c>
      <c r="X71" s="52" t="s">
        <v>914</v>
      </c>
      <c r="Y71" s="52" t="s">
        <v>914</v>
      </c>
      <c r="AC71" s="53"/>
      <c r="AD71" s="52" t="s">
        <v>914</v>
      </c>
      <c r="AE71" s="53" t="s">
        <v>914</v>
      </c>
      <c r="AF71" s="53" t="s">
        <v>914</v>
      </c>
      <c r="AH71" s="5"/>
      <c r="AJ71" s="53" t="s">
        <v>914</v>
      </c>
      <c r="AK71" s="53" t="s">
        <v>914</v>
      </c>
      <c r="AM71" s="22">
        <f t="shared" si="10"/>
        <v>8</v>
      </c>
    </row>
    <row r="72" spans="1:39" ht="15.75" x14ac:dyDescent="0.25">
      <c r="A72" s="19" t="s">
        <v>55</v>
      </c>
      <c r="B72" s="19" t="s">
        <v>274</v>
      </c>
      <c r="C72" s="20" t="s">
        <v>275</v>
      </c>
      <c r="D72" s="20" t="s">
        <v>25</v>
      </c>
      <c r="E72" s="20" t="s">
        <v>25</v>
      </c>
      <c r="F72" s="19" t="s">
        <v>58</v>
      </c>
      <c r="G72" s="21"/>
      <c r="H72" s="21"/>
      <c r="I72" s="5"/>
      <c r="J72" s="5"/>
      <c r="K72" s="5"/>
      <c r="L72" s="5"/>
      <c r="M72" s="5"/>
      <c r="O72" s="5"/>
      <c r="P72" s="54" t="s">
        <v>915</v>
      </c>
      <c r="Q72" s="52" t="s">
        <v>915</v>
      </c>
      <c r="R72" s="52" t="s">
        <v>915</v>
      </c>
      <c r="S72" s="52" t="s">
        <v>915</v>
      </c>
      <c r="T72" s="5" t="s">
        <v>874</v>
      </c>
      <c r="U72" s="5"/>
      <c r="V72" s="5"/>
      <c r="W72" s="52" t="s">
        <v>915</v>
      </c>
      <c r="X72" s="52" t="s">
        <v>915</v>
      </c>
      <c r="Y72" s="52" t="s">
        <v>915</v>
      </c>
      <c r="AC72" s="53"/>
      <c r="AD72" s="52" t="s">
        <v>914</v>
      </c>
      <c r="AH72" s="5"/>
      <c r="AM72" s="22">
        <f t="shared" si="10"/>
        <v>9</v>
      </c>
    </row>
    <row r="73" spans="1:39" ht="15.75" x14ac:dyDescent="0.25">
      <c r="A73" s="19" t="s">
        <v>55</v>
      </c>
      <c r="B73" s="19" t="s">
        <v>276</v>
      </c>
      <c r="C73" s="20" t="s">
        <v>277</v>
      </c>
      <c r="D73" s="20" t="s">
        <v>18</v>
      </c>
      <c r="E73" s="20" t="s">
        <v>18</v>
      </c>
      <c r="F73" s="19" t="s">
        <v>58</v>
      </c>
      <c r="G73" s="21"/>
      <c r="H73" s="21"/>
      <c r="I73" s="5"/>
      <c r="J73" s="5"/>
      <c r="K73" s="5"/>
      <c r="L73" s="52" t="s">
        <v>914</v>
      </c>
      <c r="M73" s="5"/>
      <c r="O73" s="52" t="s">
        <v>914</v>
      </c>
      <c r="P73" s="54" t="s">
        <v>914</v>
      </c>
      <c r="Q73" s="52" t="s">
        <v>914</v>
      </c>
      <c r="R73" s="52" t="s">
        <v>914</v>
      </c>
      <c r="S73" s="52" t="s">
        <v>914</v>
      </c>
      <c r="T73" s="5"/>
      <c r="U73" s="5"/>
      <c r="V73" s="52" t="s">
        <v>914</v>
      </c>
      <c r="W73" s="52" t="s">
        <v>914</v>
      </c>
      <c r="X73" s="52" t="s">
        <v>914</v>
      </c>
      <c r="Y73" s="52" t="s">
        <v>914</v>
      </c>
      <c r="Z73" s="53" t="s">
        <v>914</v>
      </c>
      <c r="AC73" s="53"/>
      <c r="AD73" s="52" t="s">
        <v>914</v>
      </c>
      <c r="AE73" s="53" t="s">
        <v>914</v>
      </c>
      <c r="AF73" s="53" t="s">
        <v>914</v>
      </c>
      <c r="AH73" s="5"/>
      <c r="AK73" s="53" t="s">
        <v>914</v>
      </c>
      <c r="AL73" s="53" t="s">
        <v>914</v>
      </c>
      <c r="AM73" s="22">
        <f t="shared" si="10"/>
        <v>16</v>
      </c>
    </row>
    <row r="74" spans="1:39" ht="15.75" x14ac:dyDescent="0.25">
      <c r="A74" s="19" t="s">
        <v>55</v>
      </c>
      <c r="B74" s="19" t="s">
        <v>278</v>
      </c>
      <c r="C74" s="20" t="s">
        <v>279</v>
      </c>
      <c r="D74" s="20" t="s">
        <v>18</v>
      </c>
      <c r="E74" s="20" t="s">
        <v>18</v>
      </c>
      <c r="F74" s="19" t="s">
        <v>58</v>
      </c>
      <c r="G74" s="21"/>
      <c r="H74" s="21"/>
      <c r="I74" s="5"/>
      <c r="J74" s="5"/>
      <c r="K74" s="5"/>
      <c r="L74" s="52" t="s">
        <v>914</v>
      </c>
      <c r="M74" s="5"/>
      <c r="O74" s="52" t="s">
        <v>914</v>
      </c>
      <c r="P74" s="54" t="s">
        <v>914</v>
      </c>
      <c r="Q74" s="52" t="s">
        <v>914</v>
      </c>
      <c r="R74" s="52" t="s">
        <v>914</v>
      </c>
      <c r="S74" s="5"/>
      <c r="T74" s="5"/>
      <c r="U74" s="5"/>
      <c r="V74" s="52" t="s">
        <v>914</v>
      </c>
      <c r="W74" s="52" t="s">
        <v>914</v>
      </c>
      <c r="X74" s="52" t="s">
        <v>914</v>
      </c>
      <c r="Y74" s="5"/>
      <c r="AC74" s="53" t="s">
        <v>914</v>
      </c>
      <c r="AD74" s="52" t="s">
        <v>914</v>
      </c>
      <c r="AE74" s="53" t="s">
        <v>914</v>
      </c>
      <c r="AH74" s="5"/>
      <c r="AK74" s="53" t="s">
        <v>914</v>
      </c>
      <c r="AL74" s="53" t="s">
        <v>914</v>
      </c>
      <c r="AM74" s="22">
        <f t="shared" si="10"/>
        <v>13</v>
      </c>
    </row>
    <row r="75" spans="1:39" ht="15.75" x14ac:dyDescent="0.25">
      <c r="A75" s="19" t="s">
        <v>55</v>
      </c>
      <c r="B75" s="19" t="s">
        <v>282</v>
      </c>
      <c r="C75" s="20" t="s">
        <v>283</v>
      </c>
      <c r="D75" s="20" t="s">
        <v>22</v>
      </c>
      <c r="E75" s="20" t="s">
        <v>22</v>
      </c>
      <c r="F75" s="19" t="s">
        <v>58</v>
      </c>
      <c r="G75" s="21"/>
      <c r="H75" s="21"/>
      <c r="I75" s="5"/>
      <c r="J75" s="5"/>
      <c r="K75" s="5"/>
      <c r="L75" s="52" t="s">
        <v>914</v>
      </c>
      <c r="M75" s="5"/>
      <c r="O75" s="52" t="s">
        <v>914</v>
      </c>
      <c r="P75" s="54"/>
      <c r="Q75" s="5"/>
      <c r="R75" s="5"/>
      <c r="S75" s="5"/>
      <c r="T75" s="5"/>
      <c r="U75" s="5"/>
      <c r="V75" s="5"/>
      <c r="W75" s="5"/>
      <c r="X75" s="5"/>
      <c r="Y75" s="5"/>
      <c r="Z75" s="53" t="s">
        <v>914</v>
      </c>
      <c r="AC75" s="53" t="s">
        <v>914</v>
      </c>
      <c r="AD75" s="52" t="s">
        <v>914</v>
      </c>
      <c r="AE75" s="53" t="s">
        <v>914</v>
      </c>
      <c r="AF75" s="53" t="s">
        <v>914</v>
      </c>
      <c r="AH75" s="5"/>
      <c r="AJ75" s="53" t="s">
        <v>914</v>
      </c>
      <c r="AK75" s="53" t="s">
        <v>914</v>
      </c>
      <c r="AM75" s="22">
        <f t="shared" si="10"/>
        <v>9</v>
      </c>
    </row>
    <row r="76" spans="1:39" ht="15.75" x14ac:dyDescent="0.25">
      <c r="A76" s="19" t="s">
        <v>55</v>
      </c>
      <c r="B76" s="19" t="s">
        <v>284</v>
      </c>
      <c r="C76" s="20" t="s">
        <v>285</v>
      </c>
      <c r="D76" s="20" t="s">
        <v>11</v>
      </c>
      <c r="E76" s="20" t="s">
        <v>11</v>
      </c>
      <c r="F76" s="19" t="s">
        <v>58</v>
      </c>
      <c r="G76" s="21"/>
      <c r="H76" s="21"/>
      <c r="I76" s="5"/>
      <c r="J76" s="5"/>
      <c r="K76" s="5"/>
      <c r="L76" s="5"/>
      <c r="M76" s="5"/>
      <c r="O76" s="5"/>
      <c r="P76" s="54"/>
      <c r="Q76" s="5"/>
      <c r="R76" s="5"/>
      <c r="S76" s="5"/>
      <c r="T76" s="5"/>
      <c r="U76" s="5"/>
      <c r="V76" s="5"/>
      <c r="W76" s="5"/>
      <c r="X76" s="52" t="s">
        <v>914</v>
      </c>
      <c r="Y76" s="52" t="s">
        <v>914</v>
      </c>
      <c r="AC76" s="53" t="s">
        <v>914</v>
      </c>
      <c r="AD76" s="52" t="s">
        <v>914</v>
      </c>
      <c r="AF76" s="53" t="s">
        <v>914</v>
      </c>
      <c r="AH76" s="5"/>
      <c r="AJ76" s="53" t="s">
        <v>914</v>
      </c>
      <c r="AM76" s="22">
        <f t="shared" si="10"/>
        <v>6</v>
      </c>
    </row>
    <row r="77" spans="1:39" ht="15.75" x14ac:dyDescent="0.25">
      <c r="A77" s="19" t="s">
        <v>55</v>
      </c>
      <c r="B77" s="19" t="s">
        <v>286</v>
      </c>
      <c r="C77" s="20" t="s">
        <v>287</v>
      </c>
      <c r="D77" s="20" t="s">
        <v>11</v>
      </c>
      <c r="E77" s="20" t="s">
        <v>11</v>
      </c>
      <c r="F77" s="19" t="s">
        <v>58</v>
      </c>
      <c r="G77" s="21"/>
      <c r="H77" s="21"/>
      <c r="I77" s="5"/>
      <c r="J77" s="5"/>
      <c r="K77" s="5"/>
      <c r="L77" s="5"/>
      <c r="M77" s="5"/>
      <c r="O77" s="5"/>
      <c r="P77" s="54"/>
      <c r="Q77" s="5"/>
      <c r="R77" s="5"/>
      <c r="S77" s="5"/>
      <c r="T77" s="5"/>
      <c r="U77" s="5"/>
      <c r="V77" s="5"/>
      <c r="W77" s="52" t="s">
        <v>914</v>
      </c>
      <c r="X77" s="52" t="s">
        <v>914</v>
      </c>
      <c r="Y77" s="52" t="s">
        <v>914</v>
      </c>
      <c r="AD77" s="52" t="s">
        <v>914</v>
      </c>
      <c r="AE77" s="53" t="s">
        <v>914</v>
      </c>
      <c r="AF77" s="53" t="s">
        <v>914</v>
      </c>
      <c r="AH77" s="5"/>
      <c r="AJ77" s="53" t="s">
        <v>914</v>
      </c>
      <c r="AK77" s="53" t="s">
        <v>914</v>
      </c>
      <c r="AM77" s="22">
        <f t="shared" si="10"/>
        <v>8</v>
      </c>
    </row>
    <row r="78" spans="1:39" ht="15.75" x14ac:dyDescent="0.25">
      <c r="A78" s="19" t="s">
        <v>55</v>
      </c>
      <c r="B78" s="19" t="s">
        <v>290</v>
      </c>
      <c r="C78" s="20" t="s">
        <v>291</v>
      </c>
      <c r="D78" s="20" t="s">
        <v>23</v>
      </c>
      <c r="E78" s="20" t="s">
        <v>23</v>
      </c>
      <c r="F78" s="19" t="s">
        <v>58</v>
      </c>
      <c r="G78" s="21"/>
      <c r="H78" s="21"/>
      <c r="I78" s="5"/>
      <c r="J78" s="5"/>
      <c r="K78" s="5"/>
      <c r="L78" s="5"/>
      <c r="M78" s="5"/>
      <c r="O78" s="5"/>
      <c r="P78" s="54" t="s">
        <v>915</v>
      </c>
      <c r="Q78" s="52" t="s">
        <v>915</v>
      </c>
      <c r="R78" s="52" t="s">
        <v>915</v>
      </c>
      <c r="S78" s="52" t="s">
        <v>915</v>
      </c>
      <c r="T78" s="5" t="s">
        <v>874</v>
      </c>
      <c r="U78" s="5"/>
      <c r="V78" s="5"/>
      <c r="W78" s="52" t="s">
        <v>915</v>
      </c>
      <c r="X78" s="5"/>
      <c r="Y78" s="52" t="s">
        <v>915</v>
      </c>
      <c r="AC78" s="53" t="s">
        <v>914</v>
      </c>
      <c r="AD78" s="52" t="s">
        <v>914</v>
      </c>
      <c r="AE78" s="53" t="s">
        <v>914</v>
      </c>
      <c r="AG78" s="53" t="s">
        <v>914</v>
      </c>
      <c r="AH78" s="5"/>
      <c r="AK78" s="53" t="s">
        <v>914</v>
      </c>
      <c r="AL78" s="53" t="s">
        <v>914</v>
      </c>
      <c r="AM78" s="22">
        <f t="shared" si="10"/>
        <v>13</v>
      </c>
    </row>
    <row r="79" spans="1:39" ht="15.75" x14ac:dyDescent="0.25">
      <c r="A79" s="19" t="s">
        <v>55</v>
      </c>
      <c r="B79" s="19" t="s">
        <v>292</v>
      </c>
      <c r="C79" s="20" t="s">
        <v>293</v>
      </c>
      <c r="D79" s="20" t="s">
        <v>18</v>
      </c>
      <c r="E79" s="20" t="s">
        <v>18</v>
      </c>
      <c r="F79" s="19" t="s">
        <v>58</v>
      </c>
      <c r="G79" s="21"/>
      <c r="H79" s="21"/>
      <c r="I79" s="5"/>
      <c r="J79" s="5"/>
      <c r="K79" s="5"/>
      <c r="L79" s="52" t="s">
        <v>914</v>
      </c>
      <c r="M79" s="5"/>
      <c r="O79" s="5"/>
      <c r="P79" s="54" t="s">
        <v>914</v>
      </c>
      <c r="Q79" s="5"/>
      <c r="R79" s="52" t="s">
        <v>914</v>
      </c>
      <c r="S79" s="5"/>
      <c r="T79" s="5"/>
      <c r="U79" s="5"/>
      <c r="V79" s="52" t="s">
        <v>914</v>
      </c>
      <c r="W79" s="5"/>
      <c r="X79" s="52" t="s">
        <v>914</v>
      </c>
      <c r="Y79" s="5"/>
      <c r="AC79" s="53" t="s">
        <v>914</v>
      </c>
      <c r="AH79" s="5"/>
      <c r="AK79" s="53" t="s">
        <v>914</v>
      </c>
      <c r="AM79" s="22">
        <f t="shared" si="10"/>
        <v>7</v>
      </c>
    </row>
    <row r="80" spans="1:39" ht="15.75" x14ac:dyDescent="0.25">
      <c r="A80" s="19" t="s">
        <v>55</v>
      </c>
      <c r="B80" s="19" t="s">
        <v>294</v>
      </c>
      <c r="C80" s="20" t="s">
        <v>295</v>
      </c>
      <c r="D80" s="20" t="s">
        <v>18</v>
      </c>
      <c r="E80" s="20" t="s">
        <v>18</v>
      </c>
      <c r="F80" s="19" t="s">
        <v>58</v>
      </c>
      <c r="G80" s="21"/>
      <c r="H80" s="21"/>
      <c r="I80" s="5"/>
      <c r="J80" s="5"/>
      <c r="K80" s="5"/>
      <c r="L80" s="52" t="s">
        <v>914</v>
      </c>
      <c r="M80" s="5"/>
      <c r="O80" s="5"/>
      <c r="P80" s="54"/>
      <c r="Q80" s="5"/>
      <c r="R80" s="5"/>
      <c r="S80" s="5"/>
      <c r="T80" s="5"/>
      <c r="U80" s="5"/>
      <c r="V80" s="5"/>
      <c r="W80" s="5"/>
      <c r="X80" s="52" t="s">
        <v>914</v>
      </c>
      <c r="Y80" s="5"/>
      <c r="AC80" s="53" t="s">
        <v>914</v>
      </c>
      <c r="AF80" s="53" t="s">
        <v>914</v>
      </c>
      <c r="AH80" s="5"/>
      <c r="AJ80" s="53" t="s">
        <v>914</v>
      </c>
      <c r="AK80" s="53" t="s">
        <v>914</v>
      </c>
      <c r="AL80" s="53" t="s">
        <v>914</v>
      </c>
      <c r="AM80" s="22">
        <f t="shared" ref="AM80:AM143" si="11">COUNTA(I80:AL80)</f>
        <v>7</v>
      </c>
    </row>
    <row r="81" spans="1:39" ht="15.75" x14ac:dyDescent="0.25">
      <c r="A81" s="19" t="s">
        <v>55</v>
      </c>
      <c r="B81" s="19" t="s">
        <v>300</v>
      </c>
      <c r="C81" s="20" t="s">
        <v>301</v>
      </c>
      <c r="D81" s="20" t="s">
        <v>11</v>
      </c>
      <c r="E81" s="20" t="s">
        <v>11</v>
      </c>
      <c r="F81" s="19" t="s">
        <v>58</v>
      </c>
      <c r="G81" s="21"/>
      <c r="H81" s="21"/>
      <c r="I81" s="5"/>
      <c r="J81" s="5"/>
      <c r="K81" s="5"/>
      <c r="L81" s="5"/>
      <c r="M81" s="5"/>
      <c r="O81" s="5"/>
      <c r="P81" s="54"/>
      <c r="Q81" s="5"/>
      <c r="R81" s="5"/>
      <c r="S81" s="5"/>
      <c r="T81" s="5"/>
      <c r="U81" s="5"/>
      <c r="V81" s="5"/>
      <c r="W81" s="52" t="s">
        <v>914</v>
      </c>
      <c r="X81" s="52" t="s">
        <v>914</v>
      </c>
      <c r="Y81" s="52" t="s">
        <v>914</v>
      </c>
      <c r="AD81" s="52" t="s">
        <v>914</v>
      </c>
      <c r="AE81" s="53" t="s">
        <v>914</v>
      </c>
      <c r="AF81" s="53" t="s">
        <v>914</v>
      </c>
      <c r="AH81" s="5"/>
      <c r="AJ81" s="53" t="s">
        <v>914</v>
      </c>
      <c r="AK81" s="53" t="s">
        <v>914</v>
      </c>
      <c r="AM81" s="22">
        <f t="shared" si="11"/>
        <v>8</v>
      </c>
    </row>
    <row r="82" spans="1:39" ht="15.75" x14ac:dyDescent="0.25">
      <c r="A82" s="19" t="s">
        <v>55</v>
      </c>
      <c r="B82" s="19" t="s">
        <v>302</v>
      </c>
      <c r="C82" s="20" t="s">
        <v>303</v>
      </c>
      <c r="D82" s="20" t="s">
        <v>21</v>
      </c>
      <c r="E82" s="20" t="s">
        <v>21</v>
      </c>
      <c r="F82" s="19" t="s">
        <v>58</v>
      </c>
      <c r="G82" s="21"/>
      <c r="H82" s="21"/>
      <c r="I82" s="5"/>
      <c r="J82" s="5"/>
      <c r="K82" s="5"/>
      <c r="L82" s="52" t="s">
        <v>914</v>
      </c>
      <c r="M82" s="5"/>
      <c r="O82" s="52" t="s">
        <v>914</v>
      </c>
      <c r="P82" s="54" t="s">
        <v>914</v>
      </c>
      <c r="Q82" s="52" t="s">
        <v>914</v>
      </c>
      <c r="R82" s="52" t="s">
        <v>914</v>
      </c>
      <c r="S82" s="52" t="s">
        <v>914</v>
      </c>
      <c r="T82" s="5"/>
      <c r="U82" s="5"/>
      <c r="V82" s="52" t="s">
        <v>914</v>
      </c>
      <c r="W82" s="52" t="s">
        <v>914</v>
      </c>
      <c r="X82" s="5"/>
      <c r="Y82" s="52" t="s">
        <v>914</v>
      </c>
      <c r="Z82" s="53" t="s">
        <v>914</v>
      </c>
      <c r="AA82" s="5"/>
      <c r="AD82" s="52" t="s">
        <v>914</v>
      </c>
      <c r="AE82" s="53" t="s">
        <v>914</v>
      </c>
      <c r="AF82" s="53" t="s">
        <v>914</v>
      </c>
      <c r="AG82" s="52" t="s">
        <v>914</v>
      </c>
      <c r="AH82" s="5"/>
      <c r="AJ82" s="53" t="s">
        <v>914</v>
      </c>
      <c r="AK82" s="53" t="s">
        <v>914</v>
      </c>
      <c r="AL82" s="53" t="s">
        <v>914</v>
      </c>
      <c r="AM82" s="22">
        <f t="shared" si="11"/>
        <v>17</v>
      </c>
    </row>
    <row r="83" spans="1:39" ht="15.75" x14ac:dyDescent="0.25">
      <c r="A83" s="19" t="s">
        <v>55</v>
      </c>
      <c r="B83" s="19" t="s">
        <v>304</v>
      </c>
      <c r="C83" s="20" t="s">
        <v>305</v>
      </c>
      <c r="D83" s="20" t="s">
        <v>21</v>
      </c>
      <c r="E83" s="20" t="s">
        <v>21</v>
      </c>
      <c r="F83" s="19" t="s">
        <v>58</v>
      </c>
      <c r="G83" s="21"/>
      <c r="H83" s="21"/>
      <c r="I83" s="5"/>
      <c r="J83" s="5"/>
      <c r="K83" s="5"/>
      <c r="L83" s="52" t="s">
        <v>914</v>
      </c>
      <c r="M83" s="5"/>
      <c r="O83" s="52" t="s">
        <v>914</v>
      </c>
      <c r="P83" s="54" t="s">
        <v>914</v>
      </c>
      <c r="Q83" s="52" t="s">
        <v>914</v>
      </c>
      <c r="R83" s="52" t="s">
        <v>914</v>
      </c>
      <c r="S83" s="52" t="s">
        <v>914</v>
      </c>
      <c r="T83" s="5"/>
      <c r="U83" s="5"/>
      <c r="V83" s="5"/>
      <c r="W83" s="52" t="s">
        <v>914</v>
      </c>
      <c r="X83" s="52" t="s">
        <v>914</v>
      </c>
      <c r="Y83" s="52" t="s">
        <v>914</v>
      </c>
      <c r="Z83" s="53" t="s">
        <v>914</v>
      </c>
      <c r="AA83" s="5"/>
      <c r="AC83" s="53" t="s">
        <v>914</v>
      </c>
      <c r="AD83" s="52" t="s">
        <v>914</v>
      </c>
      <c r="AE83" s="53" t="s">
        <v>914</v>
      </c>
      <c r="AF83" s="53" t="s">
        <v>914</v>
      </c>
      <c r="AG83" s="52" t="s">
        <v>914</v>
      </c>
      <c r="AH83" s="5"/>
      <c r="AJ83" s="53" t="s">
        <v>914</v>
      </c>
      <c r="AK83" s="53" t="s">
        <v>914</v>
      </c>
      <c r="AL83" s="53" t="s">
        <v>914</v>
      </c>
      <c r="AM83" s="22">
        <f t="shared" si="11"/>
        <v>18</v>
      </c>
    </row>
    <row r="84" spans="1:39" ht="15.75" x14ac:dyDescent="0.25">
      <c r="A84" s="19" t="s">
        <v>55</v>
      </c>
      <c r="B84" s="19" t="s">
        <v>306</v>
      </c>
      <c r="C84" s="20" t="s">
        <v>307</v>
      </c>
      <c r="D84" s="20" t="s">
        <v>11</v>
      </c>
      <c r="E84" s="20" t="s">
        <v>11</v>
      </c>
      <c r="F84" s="19" t="s">
        <v>58</v>
      </c>
      <c r="G84" s="21"/>
      <c r="H84" s="21"/>
      <c r="I84" s="5"/>
      <c r="J84" s="5"/>
      <c r="K84" s="5"/>
      <c r="L84" s="5"/>
      <c r="M84" s="5"/>
      <c r="O84" s="5"/>
      <c r="P84" s="54"/>
      <c r="Q84" s="5"/>
      <c r="R84" s="5"/>
      <c r="S84" s="5"/>
      <c r="T84" s="5"/>
      <c r="U84" s="5"/>
      <c r="V84" s="5"/>
      <c r="W84" s="52" t="s">
        <v>914</v>
      </c>
      <c r="X84" s="52" t="s">
        <v>914</v>
      </c>
      <c r="Y84" s="52" t="s">
        <v>914</v>
      </c>
      <c r="AC84" s="53" t="s">
        <v>914</v>
      </c>
      <c r="AD84" s="52" t="s">
        <v>914</v>
      </c>
      <c r="AE84" s="53" t="s">
        <v>914</v>
      </c>
      <c r="AF84" s="53" t="s">
        <v>914</v>
      </c>
      <c r="AH84" s="5"/>
      <c r="AJ84" s="53" t="s">
        <v>914</v>
      </c>
      <c r="AK84" s="53" t="s">
        <v>914</v>
      </c>
      <c r="AM84" s="22">
        <f t="shared" si="11"/>
        <v>9</v>
      </c>
    </row>
    <row r="85" spans="1:39" ht="15.75" x14ac:dyDescent="0.25">
      <c r="A85" s="19" t="s">
        <v>55</v>
      </c>
      <c r="B85" s="19" t="s">
        <v>308</v>
      </c>
      <c r="C85" s="20" t="s">
        <v>309</v>
      </c>
      <c r="D85" s="20" t="s">
        <v>8</v>
      </c>
      <c r="E85" s="20" t="s">
        <v>8</v>
      </c>
      <c r="F85" s="19" t="s">
        <v>58</v>
      </c>
      <c r="G85" s="21"/>
      <c r="H85" s="21"/>
      <c r="I85" s="5"/>
      <c r="J85" s="5"/>
      <c r="K85" s="5"/>
      <c r="L85" s="5"/>
      <c r="M85" s="5"/>
      <c r="O85" s="52" t="s">
        <v>914</v>
      </c>
      <c r="P85" s="54"/>
      <c r="Q85" s="5"/>
      <c r="R85" s="5"/>
      <c r="S85" s="5"/>
      <c r="T85" s="5"/>
      <c r="U85" s="5"/>
      <c r="V85" s="5"/>
      <c r="W85" s="5"/>
      <c r="X85" s="5"/>
      <c r="Y85" s="5"/>
      <c r="AA85" s="5"/>
      <c r="AC85" s="53" t="s">
        <v>914</v>
      </c>
      <c r="AD85" s="5"/>
      <c r="AE85" s="53" t="s">
        <v>914</v>
      </c>
      <c r="AH85" s="5"/>
      <c r="AJ85" s="53" t="s">
        <v>914</v>
      </c>
      <c r="AK85" s="53" t="s">
        <v>914</v>
      </c>
      <c r="AL85" s="53" t="s">
        <v>914</v>
      </c>
      <c r="AM85" s="22">
        <f t="shared" si="11"/>
        <v>6</v>
      </c>
    </row>
    <row r="86" spans="1:39" ht="15.75" x14ac:dyDescent="0.25">
      <c r="A86" s="19" t="s">
        <v>55</v>
      </c>
      <c r="B86" s="19" t="s">
        <v>312</v>
      </c>
      <c r="C86" s="20" t="s">
        <v>313</v>
      </c>
      <c r="D86" s="20" t="s">
        <v>14</v>
      </c>
      <c r="E86" s="20" t="s">
        <v>14</v>
      </c>
      <c r="F86" s="19" t="s">
        <v>58</v>
      </c>
      <c r="G86" s="21"/>
      <c r="H86" s="21"/>
      <c r="I86" s="5" t="s">
        <v>914</v>
      </c>
      <c r="J86" s="5"/>
      <c r="K86" s="5"/>
      <c r="L86" s="52" t="s">
        <v>914</v>
      </c>
      <c r="M86" s="52" t="s">
        <v>914</v>
      </c>
      <c r="O86" s="52" t="s">
        <v>914</v>
      </c>
      <c r="P86" s="54" t="s">
        <v>914</v>
      </c>
      <c r="Q86" s="53" t="s">
        <v>914</v>
      </c>
      <c r="R86" s="52" t="s">
        <v>914</v>
      </c>
      <c r="S86" s="52" t="s">
        <v>914</v>
      </c>
      <c r="T86" s="52" t="s">
        <v>914</v>
      </c>
      <c r="U86" s="5"/>
      <c r="V86" s="52" t="s">
        <v>914</v>
      </c>
      <c r="W86" s="52" t="s">
        <v>914</v>
      </c>
      <c r="X86" s="52" t="s">
        <v>914</v>
      </c>
      <c r="Y86" s="52" t="s">
        <v>914</v>
      </c>
      <c r="Z86" s="53" t="s">
        <v>914</v>
      </c>
      <c r="AA86" s="53" t="s">
        <v>914</v>
      </c>
      <c r="AD86" s="52" t="s">
        <v>914</v>
      </c>
      <c r="AE86" s="53" t="s">
        <v>914</v>
      </c>
      <c r="AF86" s="53" t="s">
        <v>914</v>
      </c>
      <c r="AG86" s="52" t="s">
        <v>914</v>
      </c>
      <c r="AH86" s="52" t="s">
        <v>914</v>
      </c>
      <c r="AJ86" s="53" t="s">
        <v>914</v>
      </c>
      <c r="AK86" s="53" t="s">
        <v>914</v>
      </c>
      <c r="AL86" s="53" t="s">
        <v>914</v>
      </c>
      <c r="AM86" s="22">
        <f t="shared" si="11"/>
        <v>23</v>
      </c>
    </row>
    <row r="87" spans="1:39" ht="15.75" x14ac:dyDescent="0.25">
      <c r="A87" s="19" t="s">
        <v>55</v>
      </c>
      <c r="B87" s="19" t="s">
        <v>314</v>
      </c>
      <c r="C87" s="20" t="s">
        <v>315</v>
      </c>
      <c r="D87" s="20" t="s">
        <v>3</v>
      </c>
      <c r="E87" s="20" t="s">
        <v>7</v>
      </c>
      <c r="F87" s="19" t="s">
        <v>58</v>
      </c>
      <c r="G87" s="21"/>
      <c r="H87" s="21"/>
      <c r="I87" s="5" t="s">
        <v>914</v>
      </c>
      <c r="J87" s="5"/>
      <c r="K87" s="5"/>
      <c r="L87" s="5"/>
      <c r="M87" s="52" t="s">
        <v>914</v>
      </c>
      <c r="N87" s="5"/>
      <c r="O87" s="52" t="s">
        <v>914</v>
      </c>
      <c r="P87" s="54" t="s">
        <v>914</v>
      </c>
      <c r="Q87" s="52" t="s">
        <v>914</v>
      </c>
      <c r="R87" s="52" t="s">
        <v>914</v>
      </c>
      <c r="S87" s="52" t="s">
        <v>914</v>
      </c>
      <c r="T87" s="52" t="s">
        <v>914</v>
      </c>
      <c r="U87" s="5"/>
      <c r="V87" s="52" t="s">
        <v>915</v>
      </c>
      <c r="W87" s="52" t="s">
        <v>915</v>
      </c>
      <c r="X87" s="52" t="s">
        <v>915</v>
      </c>
      <c r="Y87" s="52" t="s">
        <v>915</v>
      </c>
      <c r="Z87" s="53" t="s">
        <v>915</v>
      </c>
      <c r="AA87" s="53" t="s">
        <v>915</v>
      </c>
      <c r="AD87" s="5"/>
      <c r="AG87" s="5"/>
      <c r="AH87" s="5"/>
      <c r="AM87" s="22">
        <f t="shared" si="11"/>
        <v>14</v>
      </c>
    </row>
    <row r="88" spans="1:39" ht="15.75" x14ac:dyDescent="0.25">
      <c r="A88" s="19" t="s">
        <v>55</v>
      </c>
      <c r="B88" s="19" t="s">
        <v>318</v>
      </c>
      <c r="C88" s="20" t="s">
        <v>319</v>
      </c>
      <c r="D88" s="20" t="s">
        <v>8</v>
      </c>
      <c r="E88" s="20" t="s">
        <v>8</v>
      </c>
      <c r="F88" s="19" t="s">
        <v>58</v>
      </c>
      <c r="G88" s="21"/>
      <c r="H88" s="21"/>
      <c r="I88" s="5"/>
      <c r="J88" s="5"/>
      <c r="K88" s="5"/>
      <c r="L88" s="5"/>
      <c r="M88" s="5"/>
      <c r="O88" s="5"/>
      <c r="P88" s="54" t="s">
        <v>914</v>
      </c>
      <c r="Q88" s="5"/>
      <c r="R88" s="5"/>
      <c r="S88" s="5"/>
      <c r="T88" s="5"/>
      <c r="U88" s="5"/>
      <c r="V88" s="5"/>
      <c r="W88" s="52" t="s">
        <v>914</v>
      </c>
      <c r="X88" s="5"/>
      <c r="Y88" s="52" t="s">
        <v>914</v>
      </c>
      <c r="AG88" s="5"/>
      <c r="AH88" s="5"/>
      <c r="AM88" s="22">
        <f t="shared" si="11"/>
        <v>3</v>
      </c>
    </row>
    <row r="89" spans="1:39" ht="15.75" x14ac:dyDescent="0.25">
      <c r="A89" s="19" t="s">
        <v>55</v>
      </c>
      <c r="B89" s="19" t="s">
        <v>342</v>
      </c>
      <c r="C89" s="20" t="s">
        <v>343</v>
      </c>
      <c r="D89" s="20" t="s">
        <v>14</v>
      </c>
      <c r="E89" s="20" t="s">
        <v>14</v>
      </c>
      <c r="F89" s="19" t="s">
        <v>58</v>
      </c>
      <c r="G89" s="21"/>
      <c r="H89" s="21"/>
      <c r="I89" s="5" t="s">
        <v>914</v>
      </c>
      <c r="J89" s="5"/>
      <c r="K89" s="5"/>
      <c r="L89" s="52"/>
      <c r="M89" s="52" t="s">
        <v>914</v>
      </c>
      <c r="N89" s="5"/>
      <c r="O89" s="52" t="s">
        <v>914</v>
      </c>
      <c r="P89" s="54" t="s">
        <v>914</v>
      </c>
      <c r="Q89" s="53" t="s">
        <v>914</v>
      </c>
      <c r="R89" s="52" t="s">
        <v>914</v>
      </c>
      <c r="S89" s="52" t="s">
        <v>914</v>
      </c>
      <c r="T89" s="52" t="s">
        <v>914</v>
      </c>
      <c r="U89" s="5"/>
      <c r="V89" s="52" t="s">
        <v>914</v>
      </c>
      <c r="W89" s="52" t="s">
        <v>914</v>
      </c>
      <c r="X89" s="52" t="s">
        <v>914</v>
      </c>
      <c r="Y89" s="52" t="s">
        <v>914</v>
      </c>
      <c r="Z89" s="53" t="s">
        <v>914</v>
      </c>
      <c r="AA89" s="53" t="s">
        <v>914</v>
      </c>
      <c r="AB89" s="5"/>
      <c r="AD89" s="52" t="s">
        <v>914</v>
      </c>
      <c r="AE89" s="53" t="s">
        <v>914</v>
      </c>
      <c r="AF89" s="53" t="s">
        <v>914</v>
      </c>
      <c r="AG89" s="52" t="s">
        <v>914</v>
      </c>
      <c r="AH89" s="52" t="s">
        <v>914</v>
      </c>
      <c r="AJ89" s="53" t="s">
        <v>914</v>
      </c>
      <c r="AK89" s="53" t="s">
        <v>914</v>
      </c>
      <c r="AL89" s="53" t="s">
        <v>914</v>
      </c>
      <c r="AM89" s="22">
        <f t="shared" si="11"/>
        <v>22</v>
      </c>
    </row>
    <row r="90" spans="1:39" ht="15.75" x14ac:dyDescent="0.25">
      <c r="A90" s="19" t="s">
        <v>55</v>
      </c>
      <c r="B90" s="19" t="s">
        <v>344</v>
      </c>
      <c r="C90" s="20" t="s">
        <v>345</v>
      </c>
      <c r="D90" s="20" t="s">
        <v>14</v>
      </c>
      <c r="E90" s="20" t="s">
        <v>14</v>
      </c>
      <c r="F90" s="19" t="s">
        <v>58</v>
      </c>
      <c r="G90" s="21"/>
      <c r="H90" s="21"/>
      <c r="I90" s="5" t="s">
        <v>914</v>
      </c>
      <c r="J90" s="5"/>
      <c r="K90" s="5"/>
      <c r="L90" s="52" t="s">
        <v>914</v>
      </c>
      <c r="M90" s="52" t="s">
        <v>914</v>
      </c>
      <c r="O90" s="52" t="s">
        <v>914</v>
      </c>
      <c r="P90" s="54" t="s">
        <v>914</v>
      </c>
      <c r="Q90" s="53" t="s">
        <v>914</v>
      </c>
      <c r="R90" s="52" t="s">
        <v>914</v>
      </c>
      <c r="S90" s="52" t="s">
        <v>914</v>
      </c>
      <c r="T90" s="52" t="s">
        <v>914</v>
      </c>
      <c r="U90" s="5"/>
      <c r="V90" s="52" t="s">
        <v>914</v>
      </c>
      <c r="W90" s="52" t="s">
        <v>914</v>
      </c>
      <c r="X90" s="52" t="s">
        <v>914</v>
      </c>
      <c r="Y90" s="52" t="s">
        <v>914</v>
      </c>
      <c r="Z90" s="53" t="s">
        <v>914</v>
      </c>
      <c r="AA90" s="53" t="s">
        <v>914</v>
      </c>
      <c r="AD90" s="52" t="s">
        <v>914</v>
      </c>
      <c r="AE90" s="53" t="s">
        <v>914</v>
      </c>
      <c r="AF90" s="53" t="s">
        <v>914</v>
      </c>
      <c r="AG90" s="52" t="s">
        <v>914</v>
      </c>
      <c r="AH90" s="52" t="s">
        <v>914</v>
      </c>
      <c r="AJ90" s="53" t="s">
        <v>914</v>
      </c>
      <c r="AK90" s="53" t="s">
        <v>914</v>
      </c>
      <c r="AL90" s="53" t="s">
        <v>914</v>
      </c>
      <c r="AM90" s="22">
        <f t="shared" si="11"/>
        <v>23</v>
      </c>
    </row>
    <row r="91" spans="1:39" ht="15.75" x14ac:dyDescent="0.25">
      <c r="A91" s="19" t="s">
        <v>55</v>
      </c>
      <c r="B91" s="19" t="s">
        <v>346</v>
      </c>
      <c r="C91" s="20" t="s">
        <v>347</v>
      </c>
      <c r="D91" s="20" t="s">
        <v>3</v>
      </c>
      <c r="E91" s="20" t="s">
        <v>7</v>
      </c>
      <c r="F91" s="19" t="s">
        <v>58</v>
      </c>
      <c r="G91" s="21"/>
      <c r="H91" s="21"/>
      <c r="I91" s="5"/>
      <c r="J91" s="5"/>
      <c r="K91" s="5"/>
      <c r="L91" s="52" t="s">
        <v>914</v>
      </c>
      <c r="M91" s="5"/>
      <c r="O91" s="52" t="s">
        <v>915</v>
      </c>
      <c r="P91" s="54" t="s">
        <v>915</v>
      </c>
      <c r="Q91" s="53" t="s">
        <v>915</v>
      </c>
      <c r="R91" s="52" t="s">
        <v>915</v>
      </c>
      <c r="S91" s="52" t="s">
        <v>915</v>
      </c>
      <c r="T91" s="52" t="s">
        <v>915</v>
      </c>
      <c r="U91" s="5"/>
      <c r="V91" s="52" t="s">
        <v>914</v>
      </c>
      <c r="W91" s="52" t="s">
        <v>914</v>
      </c>
      <c r="X91" s="52" t="s">
        <v>914</v>
      </c>
      <c r="Y91" s="52" t="s">
        <v>914</v>
      </c>
      <c r="Z91" s="52" t="s">
        <v>914</v>
      </c>
      <c r="AA91" s="52" t="s">
        <v>914</v>
      </c>
      <c r="AB91" s="5"/>
      <c r="AC91" s="53" t="s">
        <v>914</v>
      </c>
      <c r="AD91" s="53" t="s">
        <v>914</v>
      </c>
      <c r="AE91" s="53" t="s">
        <v>914</v>
      </c>
      <c r="AF91" s="53"/>
      <c r="AH91" s="5"/>
      <c r="AJ91" s="53" t="s">
        <v>915</v>
      </c>
      <c r="AK91" s="53" t="s">
        <v>915</v>
      </c>
      <c r="AL91" s="53" t="s">
        <v>915</v>
      </c>
      <c r="AM91" s="22">
        <f t="shared" si="11"/>
        <v>19</v>
      </c>
    </row>
    <row r="92" spans="1:39" ht="15.75" x14ac:dyDescent="0.25">
      <c r="A92" s="19" t="s">
        <v>55</v>
      </c>
      <c r="B92" s="19" t="s">
        <v>352</v>
      </c>
      <c r="C92" s="20" t="s">
        <v>353</v>
      </c>
      <c r="D92" s="20" t="s">
        <v>14</v>
      </c>
      <c r="E92" s="20" t="s">
        <v>14</v>
      </c>
      <c r="F92" s="19" t="s">
        <v>58</v>
      </c>
      <c r="G92" s="21"/>
      <c r="H92" s="21"/>
      <c r="I92" s="5" t="s">
        <v>914</v>
      </c>
      <c r="J92" s="5"/>
      <c r="K92" s="5"/>
      <c r="L92" s="52" t="s">
        <v>914</v>
      </c>
      <c r="M92" s="52" t="s">
        <v>914</v>
      </c>
      <c r="N92" s="5"/>
      <c r="O92" s="52" t="s">
        <v>914</v>
      </c>
      <c r="P92" s="54" t="s">
        <v>914</v>
      </c>
      <c r="Q92" s="53" t="s">
        <v>914</v>
      </c>
      <c r="R92" s="52" t="s">
        <v>914</v>
      </c>
      <c r="S92" s="52" t="s">
        <v>914</v>
      </c>
      <c r="T92" s="52" t="s">
        <v>914</v>
      </c>
      <c r="U92" s="5"/>
      <c r="V92" s="52" t="s">
        <v>914</v>
      </c>
      <c r="W92" s="52" t="s">
        <v>914</v>
      </c>
      <c r="X92" s="52" t="s">
        <v>914</v>
      </c>
      <c r="Y92" s="52" t="s">
        <v>914</v>
      </c>
      <c r="Z92" s="53" t="s">
        <v>914</v>
      </c>
      <c r="AA92" s="53" t="s">
        <v>914</v>
      </c>
      <c r="AB92" s="5"/>
      <c r="AD92" s="52" t="s">
        <v>914</v>
      </c>
      <c r="AE92" s="53" t="s">
        <v>914</v>
      </c>
      <c r="AF92" s="53" t="s">
        <v>914</v>
      </c>
      <c r="AG92" s="52" t="s">
        <v>914</v>
      </c>
      <c r="AH92" s="52" t="s">
        <v>914</v>
      </c>
      <c r="AJ92" s="53" t="s">
        <v>914</v>
      </c>
      <c r="AK92" s="53" t="s">
        <v>914</v>
      </c>
      <c r="AL92" s="53" t="s">
        <v>914</v>
      </c>
      <c r="AM92" s="22">
        <f t="shared" si="11"/>
        <v>23</v>
      </c>
    </row>
    <row r="93" spans="1:39" ht="15.75" x14ac:dyDescent="0.25">
      <c r="A93" s="19" t="s">
        <v>55</v>
      </c>
      <c r="B93" s="19" t="s">
        <v>354</v>
      </c>
      <c r="C93" s="20" t="s">
        <v>355</v>
      </c>
      <c r="D93" s="20" t="s">
        <v>23</v>
      </c>
      <c r="E93" s="20" t="s">
        <v>23</v>
      </c>
      <c r="F93" s="19" t="s">
        <v>58</v>
      </c>
      <c r="G93" s="21"/>
      <c r="H93" s="21"/>
      <c r="I93" s="5"/>
      <c r="J93" s="5"/>
      <c r="K93" s="5"/>
      <c r="L93" s="5"/>
      <c r="M93" s="5"/>
      <c r="O93" s="5"/>
      <c r="P93" s="54"/>
      <c r="Q93" s="5"/>
      <c r="R93" s="5"/>
      <c r="S93" s="5"/>
      <c r="T93" s="5"/>
      <c r="U93" s="5"/>
      <c r="V93" s="5"/>
      <c r="W93" s="5"/>
      <c r="X93" s="5"/>
      <c r="Y93" s="5"/>
      <c r="AC93" s="53" t="s">
        <v>915</v>
      </c>
      <c r="AD93" s="53" t="s">
        <v>915</v>
      </c>
      <c r="AE93" s="53" t="s">
        <v>915</v>
      </c>
      <c r="AG93" s="53" t="s">
        <v>914</v>
      </c>
      <c r="AH93" s="52" t="s">
        <v>915</v>
      </c>
      <c r="AJ93" s="53" t="s">
        <v>915</v>
      </c>
      <c r="AK93" s="53" t="s">
        <v>915</v>
      </c>
      <c r="AL93" s="53" t="s">
        <v>914</v>
      </c>
      <c r="AM93" s="22">
        <f t="shared" si="11"/>
        <v>8</v>
      </c>
    </row>
    <row r="94" spans="1:39" ht="15.75" x14ac:dyDescent="0.25">
      <c r="A94" s="19" t="s">
        <v>55</v>
      </c>
      <c r="B94" s="19" t="s">
        <v>360</v>
      </c>
      <c r="C94" s="20" t="s">
        <v>361</v>
      </c>
      <c r="D94" s="20" t="s">
        <v>23</v>
      </c>
      <c r="E94" s="20" t="s">
        <v>23</v>
      </c>
      <c r="F94" s="19" t="s">
        <v>58</v>
      </c>
      <c r="G94" s="21"/>
      <c r="H94" s="21"/>
      <c r="I94" s="5"/>
      <c r="J94" s="5"/>
      <c r="K94" s="5"/>
      <c r="L94" s="5"/>
      <c r="M94" s="5"/>
      <c r="O94" s="5"/>
      <c r="P94" s="54" t="s">
        <v>915</v>
      </c>
      <c r="Q94" s="52" t="s">
        <v>915</v>
      </c>
      <c r="R94" s="52" t="s">
        <v>915</v>
      </c>
      <c r="S94" s="52" t="s">
        <v>915</v>
      </c>
      <c r="T94" s="5" t="s">
        <v>874</v>
      </c>
      <c r="U94" s="5"/>
      <c r="V94" s="5"/>
      <c r="W94" s="52" t="s">
        <v>915</v>
      </c>
      <c r="X94" s="52" t="s">
        <v>915</v>
      </c>
      <c r="Y94" s="52" t="s">
        <v>914</v>
      </c>
      <c r="Z94" s="53" t="s">
        <v>914</v>
      </c>
      <c r="AD94" s="52" t="s">
        <v>914</v>
      </c>
      <c r="AG94" s="53" t="s">
        <v>914</v>
      </c>
      <c r="AH94" s="5"/>
      <c r="AL94" s="53" t="s">
        <v>914</v>
      </c>
      <c r="AM94" s="22">
        <f t="shared" si="11"/>
        <v>12</v>
      </c>
    </row>
    <row r="95" spans="1:39" ht="15.75" x14ac:dyDescent="0.25">
      <c r="A95" s="19" t="s">
        <v>55</v>
      </c>
      <c r="B95" s="19" t="s">
        <v>362</v>
      </c>
      <c r="C95" s="20" t="s">
        <v>363</v>
      </c>
      <c r="D95" s="20" t="s">
        <v>8</v>
      </c>
      <c r="E95" s="20" t="s">
        <v>8</v>
      </c>
      <c r="F95" s="19" t="s">
        <v>58</v>
      </c>
      <c r="G95" s="21"/>
      <c r="H95" s="21"/>
      <c r="I95" s="5"/>
      <c r="J95" s="5"/>
      <c r="K95" s="5"/>
      <c r="L95" s="52" t="s">
        <v>914</v>
      </c>
      <c r="M95" s="5"/>
      <c r="O95" s="5"/>
      <c r="P95" s="54" t="s">
        <v>914</v>
      </c>
      <c r="R95" s="5"/>
      <c r="S95" s="5"/>
      <c r="T95" s="5"/>
      <c r="U95" s="5"/>
      <c r="V95" s="52" t="s">
        <v>914</v>
      </c>
      <c r="W95" s="5"/>
      <c r="X95" s="52" t="s">
        <v>914</v>
      </c>
      <c r="Y95" s="52" t="s">
        <v>914</v>
      </c>
      <c r="Z95" s="53" t="s">
        <v>914</v>
      </c>
      <c r="AD95" s="53" t="s">
        <v>914</v>
      </c>
      <c r="AE95" s="53" t="s">
        <v>914</v>
      </c>
      <c r="AF95" s="53" t="s">
        <v>914</v>
      </c>
      <c r="AG95" s="5"/>
      <c r="AH95" s="5"/>
      <c r="AI95" s="53"/>
      <c r="AL95" s="53" t="s">
        <v>914</v>
      </c>
      <c r="AM95" s="22">
        <f t="shared" si="11"/>
        <v>10</v>
      </c>
    </row>
    <row r="96" spans="1:39" ht="15.75" x14ac:dyDescent="0.25">
      <c r="A96" s="19" t="s">
        <v>55</v>
      </c>
      <c r="B96" s="19" t="s">
        <v>366</v>
      </c>
      <c r="C96" s="20" t="s">
        <v>367</v>
      </c>
      <c r="D96" s="20" t="s">
        <v>8</v>
      </c>
      <c r="E96" s="20" t="s">
        <v>8</v>
      </c>
      <c r="F96" s="19" t="s">
        <v>58</v>
      </c>
      <c r="G96" s="21"/>
      <c r="H96" s="21"/>
      <c r="I96" s="5"/>
      <c r="J96" s="5"/>
      <c r="K96" s="5"/>
      <c r="L96" s="52" t="s">
        <v>914</v>
      </c>
      <c r="M96" s="5"/>
      <c r="O96" s="5"/>
      <c r="P96" s="54" t="s">
        <v>914</v>
      </c>
      <c r="Q96" s="52" t="s">
        <v>914</v>
      </c>
      <c r="R96" s="52" t="s">
        <v>914</v>
      </c>
      <c r="S96" s="5"/>
      <c r="T96" s="52" t="s">
        <v>914</v>
      </c>
      <c r="U96" s="5"/>
      <c r="V96" s="52" t="s">
        <v>914</v>
      </c>
      <c r="W96" s="52" t="s">
        <v>914</v>
      </c>
      <c r="X96" s="52" t="s">
        <v>914</v>
      </c>
      <c r="Y96" s="5"/>
      <c r="AA96" s="53" t="s">
        <v>914</v>
      </c>
      <c r="AC96" s="53" t="s">
        <v>914</v>
      </c>
      <c r="AD96" s="53" t="s">
        <v>914</v>
      </c>
      <c r="AE96" s="53" t="s">
        <v>914</v>
      </c>
      <c r="AF96" s="53" t="s">
        <v>914</v>
      </c>
      <c r="AG96" s="53" t="s">
        <v>914</v>
      </c>
      <c r="AH96" s="52" t="s">
        <v>914</v>
      </c>
      <c r="AJ96" s="53" t="s">
        <v>914</v>
      </c>
      <c r="AK96" s="53" t="s">
        <v>914</v>
      </c>
      <c r="AL96" s="53" t="s">
        <v>914</v>
      </c>
      <c r="AM96" s="22">
        <f t="shared" si="11"/>
        <v>18</v>
      </c>
    </row>
    <row r="97" spans="1:39" ht="15.75" x14ac:dyDescent="0.25">
      <c r="A97" s="19" t="s">
        <v>55</v>
      </c>
      <c r="B97" s="19" t="s">
        <v>368</v>
      </c>
      <c r="C97" s="20" t="s">
        <v>369</v>
      </c>
      <c r="D97" s="20" t="s">
        <v>11</v>
      </c>
      <c r="E97" s="20" t="s">
        <v>11</v>
      </c>
      <c r="F97" s="19" t="s">
        <v>58</v>
      </c>
      <c r="G97" s="21"/>
      <c r="H97" s="21"/>
      <c r="I97" s="5"/>
      <c r="J97" s="5"/>
      <c r="K97" s="5"/>
      <c r="L97" s="5"/>
      <c r="M97" s="5"/>
      <c r="O97" s="5"/>
      <c r="P97" s="54"/>
      <c r="Q97" s="5"/>
      <c r="R97" s="5"/>
      <c r="S97" s="5"/>
      <c r="T97" s="5"/>
      <c r="U97" s="5"/>
      <c r="V97" s="5"/>
      <c r="W97" s="52" t="s">
        <v>914</v>
      </c>
      <c r="X97" s="52" t="s">
        <v>914</v>
      </c>
      <c r="Y97" s="52" t="s">
        <v>914</v>
      </c>
      <c r="AC97" s="53" t="s">
        <v>914</v>
      </c>
      <c r="AD97" s="52" t="s">
        <v>914</v>
      </c>
      <c r="AE97" s="53" t="s">
        <v>914</v>
      </c>
      <c r="AF97" s="53" t="s">
        <v>914</v>
      </c>
      <c r="AH97" s="5"/>
      <c r="AJ97" s="53" t="s">
        <v>914</v>
      </c>
      <c r="AK97" s="53" t="s">
        <v>914</v>
      </c>
      <c r="AM97" s="22">
        <f t="shared" si="11"/>
        <v>9</v>
      </c>
    </row>
    <row r="98" spans="1:39" ht="15.75" x14ac:dyDescent="0.25">
      <c r="A98" s="19" t="s">
        <v>55</v>
      </c>
      <c r="B98" s="19" t="s">
        <v>372</v>
      </c>
      <c r="C98" s="20" t="s">
        <v>373</v>
      </c>
      <c r="D98" s="20" t="s">
        <v>23</v>
      </c>
      <c r="E98" s="20" t="s">
        <v>23</v>
      </c>
      <c r="F98" s="19" t="s">
        <v>58</v>
      </c>
      <c r="G98" s="21"/>
      <c r="H98" s="21"/>
      <c r="I98" s="5"/>
      <c r="J98" s="5"/>
      <c r="K98" s="5"/>
      <c r="L98" s="5"/>
      <c r="M98" s="5"/>
      <c r="O98" s="5"/>
      <c r="P98" s="54" t="s">
        <v>914</v>
      </c>
      <c r="Q98" s="5"/>
      <c r="R98" s="52" t="s">
        <v>914</v>
      </c>
      <c r="S98" s="52" t="s">
        <v>914</v>
      </c>
      <c r="T98" s="5"/>
      <c r="U98" s="5"/>
      <c r="V98" s="52" t="s">
        <v>914</v>
      </c>
      <c r="W98" s="5"/>
      <c r="X98" s="5"/>
      <c r="Y98" s="5"/>
      <c r="AC98" s="53" t="s">
        <v>915</v>
      </c>
      <c r="AD98" s="53" t="s">
        <v>915</v>
      </c>
      <c r="AE98" s="53" t="s">
        <v>915</v>
      </c>
      <c r="AF98" s="53" t="s">
        <v>915</v>
      </c>
      <c r="AG98" s="53" t="s">
        <v>914</v>
      </c>
      <c r="AH98" s="52" t="s">
        <v>915</v>
      </c>
      <c r="AJ98" s="53" t="s">
        <v>915</v>
      </c>
      <c r="AK98" s="53" t="s">
        <v>915</v>
      </c>
      <c r="AL98" s="53" t="s">
        <v>914</v>
      </c>
      <c r="AM98" s="22">
        <f t="shared" si="11"/>
        <v>13</v>
      </c>
    </row>
    <row r="99" spans="1:39" ht="15.75" x14ac:dyDescent="0.25">
      <c r="A99" s="19" t="s">
        <v>55</v>
      </c>
      <c r="B99" s="19" t="s">
        <v>391</v>
      </c>
      <c r="C99" s="20" t="s">
        <v>392</v>
      </c>
      <c r="D99" s="20" t="s">
        <v>11</v>
      </c>
      <c r="E99" s="20" t="s">
        <v>11</v>
      </c>
      <c r="F99" s="19" t="s">
        <v>58</v>
      </c>
      <c r="G99" s="21"/>
      <c r="H99" s="21"/>
      <c r="I99" s="5"/>
      <c r="J99" s="5"/>
      <c r="K99" s="5"/>
      <c r="L99" s="5"/>
      <c r="M99" s="5"/>
      <c r="O99" s="5"/>
      <c r="P99" s="54"/>
      <c r="Q99" s="5"/>
      <c r="R99" s="5"/>
      <c r="S99" s="5"/>
      <c r="T99" s="5"/>
      <c r="U99" s="5"/>
      <c r="V99" s="5"/>
      <c r="W99" s="52" t="s">
        <v>914</v>
      </c>
      <c r="X99" s="52" t="s">
        <v>914</v>
      </c>
      <c r="Y99" s="52" t="s">
        <v>914</v>
      </c>
      <c r="AC99" s="53" t="s">
        <v>914</v>
      </c>
      <c r="AD99" s="52" t="s">
        <v>914</v>
      </c>
      <c r="AE99" s="53" t="s">
        <v>914</v>
      </c>
      <c r="AF99" s="53" t="s">
        <v>914</v>
      </c>
      <c r="AH99" s="5"/>
      <c r="AJ99" s="53" t="s">
        <v>914</v>
      </c>
      <c r="AK99" s="53" t="s">
        <v>914</v>
      </c>
      <c r="AM99" s="22">
        <f t="shared" si="11"/>
        <v>9</v>
      </c>
    </row>
    <row r="100" spans="1:39" ht="15.75" x14ac:dyDescent="0.25">
      <c r="A100" s="19" t="s">
        <v>55</v>
      </c>
      <c r="B100" s="19" t="s">
        <v>393</v>
      </c>
      <c r="C100" s="20" t="s">
        <v>394</v>
      </c>
      <c r="D100" s="20" t="s">
        <v>11</v>
      </c>
      <c r="E100" s="20" t="s">
        <v>11</v>
      </c>
      <c r="F100" s="19" t="s">
        <v>58</v>
      </c>
      <c r="G100" s="21"/>
      <c r="H100" s="21"/>
      <c r="I100" s="5"/>
      <c r="J100" s="5"/>
      <c r="K100" s="5"/>
      <c r="L100" s="5"/>
      <c r="M100" s="5"/>
      <c r="O100" s="5"/>
      <c r="P100" s="54"/>
      <c r="Q100" s="5"/>
      <c r="R100" s="5"/>
      <c r="S100" s="5"/>
      <c r="T100" s="5"/>
      <c r="U100" s="5"/>
      <c r="V100" s="5"/>
      <c r="W100" s="52" t="s">
        <v>914</v>
      </c>
      <c r="X100" s="52" t="s">
        <v>914</v>
      </c>
      <c r="Y100" s="52" t="s">
        <v>914</v>
      </c>
      <c r="AC100" s="53" t="s">
        <v>914</v>
      </c>
      <c r="AD100" s="52" t="s">
        <v>914</v>
      </c>
      <c r="AE100" s="53" t="s">
        <v>914</v>
      </c>
      <c r="AF100" s="53" t="s">
        <v>914</v>
      </c>
      <c r="AH100" s="5"/>
      <c r="AJ100" s="53" t="s">
        <v>914</v>
      </c>
      <c r="AK100" s="53" t="s">
        <v>914</v>
      </c>
      <c r="AM100" s="22">
        <f t="shared" si="11"/>
        <v>9</v>
      </c>
    </row>
    <row r="101" spans="1:39" ht="15.75" x14ac:dyDescent="0.25">
      <c r="A101" s="19" t="s">
        <v>55</v>
      </c>
      <c r="B101" s="19" t="s">
        <v>397</v>
      </c>
      <c r="C101" s="20" t="s">
        <v>398</v>
      </c>
      <c r="D101" s="20" t="s">
        <v>11</v>
      </c>
      <c r="E101" s="20" t="s">
        <v>11</v>
      </c>
      <c r="F101" s="19" t="s">
        <v>58</v>
      </c>
      <c r="G101" s="21"/>
      <c r="H101" s="21"/>
      <c r="I101" s="5"/>
      <c r="J101" s="5"/>
      <c r="K101" s="5"/>
      <c r="L101" s="5"/>
      <c r="M101" s="5"/>
      <c r="O101" s="5"/>
      <c r="P101" s="54"/>
      <c r="Q101" s="5"/>
      <c r="R101" s="5"/>
      <c r="S101" s="5"/>
      <c r="T101" s="5"/>
      <c r="U101" s="5"/>
      <c r="V101" s="5"/>
      <c r="W101" s="52" t="s">
        <v>914</v>
      </c>
      <c r="X101" s="52" t="s">
        <v>914</v>
      </c>
      <c r="Y101" s="52" t="s">
        <v>914</v>
      </c>
      <c r="AC101" s="53" t="s">
        <v>914</v>
      </c>
      <c r="AD101" s="52" t="s">
        <v>914</v>
      </c>
      <c r="AE101" s="53" t="s">
        <v>914</v>
      </c>
      <c r="AF101" s="53" t="s">
        <v>914</v>
      </c>
      <c r="AH101" s="5"/>
      <c r="AJ101" s="53" t="s">
        <v>914</v>
      </c>
      <c r="AK101" s="53" t="s">
        <v>914</v>
      </c>
      <c r="AM101" s="22">
        <f t="shared" si="11"/>
        <v>9</v>
      </c>
    </row>
    <row r="102" spans="1:39" ht="15.75" x14ac:dyDescent="0.25">
      <c r="A102" s="19" t="s">
        <v>55</v>
      </c>
      <c r="B102" s="19" t="s">
        <v>399</v>
      </c>
      <c r="C102" s="20" t="s">
        <v>400</v>
      </c>
      <c r="D102" s="20" t="s">
        <v>11</v>
      </c>
      <c r="E102" s="20" t="s">
        <v>11</v>
      </c>
      <c r="F102" s="19" t="s">
        <v>58</v>
      </c>
      <c r="G102" s="21"/>
      <c r="H102" s="21"/>
      <c r="I102" s="5"/>
      <c r="J102" s="5"/>
      <c r="K102" s="5"/>
      <c r="L102" s="5"/>
      <c r="M102" s="5"/>
      <c r="O102" s="5"/>
      <c r="P102" s="54"/>
      <c r="Q102" s="5"/>
      <c r="R102" s="5"/>
      <c r="S102" s="5"/>
      <c r="T102" s="5"/>
      <c r="U102" s="5"/>
      <c r="V102" s="5"/>
      <c r="W102" s="52" t="s">
        <v>914</v>
      </c>
      <c r="X102" s="52" t="s">
        <v>914</v>
      </c>
      <c r="Y102" s="52" t="s">
        <v>914</v>
      </c>
      <c r="AD102" s="52" t="s">
        <v>914</v>
      </c>
      <c r="AE102" s="53" t="s">
        <v>914</v>
      </c>
      <c r="AF102" s="53" t="s">
        <v>914</v>
      </c>
      <c r="AH102" s="5"/>
      <c r="AJ102" s="53" t="s">
        <v>914</v>
      </c>
      <c r="AK102" s="53" t="s">
        <v>914</v>
      </c>
      <c r="AM102" s="22">
        <f t="shared" si="11"/>
        <v>8</v>
      </c>
    </row>
    <row r="103" spans="1:39" ht="15.75" x14ac:dyDescent="0.25">
      <c r="A103" s="19" t="s">
        <v>55</v>
      </c>
      <c r="B103" s="19" t="s">
        <v>401</v>
      </c>
      <c r="C103" s="20" t="s">
        <v>402</v>
      </c>
      <c r="D103" s="20" t="s">
        <v>11</v>
      </c>
      <c r="E103" s="20" t="s">
        <v>11</v>
      </c>
      <c r="F103" s="19" t="s">
        <v>58</v>
      </c>
      <c r="G103" s="21"/>
      <c r="H103" s="21"/>
      <c r="I103" s="5"/>
      <c r="J103" s="5"/>
      <c r="K103" s="5"/>
      <c r="L103" s="5"/>
      <c r="M103" s="5"/>
      <c r="O103" s="5"/>
      <c r="P103" s="54"/>
      <c r="Q103" s="5"/>
      <c r="R103" s="5"/>
      <c r="S103" s="5"/>
      <c r="T103" s="5"/>
      <c r="U103" s="5"/>
      <c r="V103" s="5"/>
      <c r="W103" s="52" t="s">
        <v>914</v>
      </c>
      <c r="X103" s="52" t="s">
        <v>914</v>
      </c>
      <c r="Y103" s="52" t="s">
        <v>914</v>
      </c>
      <c r="AC103" s="53" t="s">
        <v>914</v>
      </c>
      <c r="AD103" s="52" t="s">
        <v>914</v>
      </c>
      <c r="AE103" s="53" t="s">
        <v>914</v>
      </c>
      <c r="AF103" s="53" t="s">
        <v>914</v>
      </c>
      <c r="AH103" s="5"/>
      <c r="AJ103" s="53" t="s">
        <v>914</v>
      </c>
      <c r="AK103" s="53" t="s">
        <v>914</v>
      </c>
      <c r="AM103" s="22">
        <f t="shared" si="11"/>
        <v>9</v>
      </c>
    </row>
    <row r="104" spans="1:39" ht="15.75" x14ac:dyDescent="0.25">
      <c r="A104" s="19" t="s">
        <v>55</v>
      </c>
      <c r="B104" s="19" t="s">
        <v>403</v>
      </c>
      <c r="C104" s="20" t="s">
        <v>404</v>
      </c>
      <c r="D104" s="20" t="s">
        <v>28</v>
      </c>
      <c r="E104" s="20" t="s">
        <v>28</v>
      </c>
      <c r="F104" s="19" t="s">
        <v>58</v>
      </c>
      <c r="G104" s="21"/>
      <c r="H104" s="21"/>
      <c r="I104" s="5"/>
      <c r="J104" s="5"/>
      <c r="K104" s="5"/>
      <c r="L104" s="52" t="s">
        <v>914</v>
      </c>
      <c r="M104" s="5"/>
      <c r="O104" s="5"/>
      <c r="P104" s="54" t="s">
        <v>914</v>
      </c>
      <c r="Q104" s="52" t="s">
        <v>914</v>
      </c>
      <c r="R104" s="52" t="s">
        <v>914</v>
      </c>
      <c r="S104" s="5"/>
      <c r="T104" s="5"/>
      <c r="U104" s="5"/>
      <c r="V104" s="5"/>
      <c r="W104" s="5"/>
      <c r="X104" s="5"/>
      <c r="Y104" s="5"/>
      <c r="AD104" s="52" t="s">
        <v>914</v>
      </c>
      <c r="AE104" s="53" t="s">
        <v>914</v>
      </c>
      <c r="AF104" s="53" t="s">
        <v>914</v>
      </c>
      <c r="AH104" s="5"/>
      <c r="AJ104" s="53" t="s">
        <v>914</v>
      </c>
      <c r="AL104" s="53" t="s">
        <v>914</v>
      </c>
      <c r="AM104" s="22">
        <f t="shared" si="11"/>
        <v>9</v>
      </c>
    </row>
    <row r="105" spans="1:39" ht="15.75" x14ac:dyDescent="0.25">
      <c r="A105" s="19" t="s">
        <v>55</v>
      </c>
      <c r="B105" s="19" t="s">
        <v>407</v>
      </c>
      <c r="C105" s="20" t="s">
        <v>408</v>
      </c>
      <c r="D105" s="20" t="s">
        <v>10</v>
      </c>
      <c r="E105" s="20" t="s">
        <v>10</v>
      </c>
      <c r="F105" s="19" t="s">
        <v>58</v>
      </c>
      <c r="G105" s="21"/>
      <c r="H105" s="21"/>
      <c r="I105" s="5"/>
      <c r="J105" s="5"/>
      <c r="K105" s="5"/>
      <c r="L105" s="52" t="s">
        <v>914</v>
      </c>
      <c r="M105" s="5"/>
      <c r="O105" s="52" t="s">
        <v>914</v>
      </c>
      <c r="P105" s="54"/>
      <c r="Q105" s="5"/>
      <c r="R105" s="5"/>
      <c r="S105" s="5"/>
      <c r="T105" s="5"/>
      <c r="U105" s="5"/>
      <c r="V105" s="5"/>
      <c r="W105" s="52" t="s">
        <v>914</v>
      </c>
      <c r="X105" s="5"/>
      <c r="Y105" s="5"/>
      <c r="AC105" s="53" t="s">
        <v>914</v>
      </c>
      <c r="AD105" s="5"/>
      <c r="AH105" s="5"/>
      <c r="AL105" s="53" t="s">
        <v>914</v>
      </c>
      <c r="AM105" s="22">
        <f t="shared" si="11"/>
        <v>5</v>
      </c>
    </row>
    <row r="106" spans="1:39" ht="15.75" x14ac:dyDescent="0.25">
      <c r="A106" s="19" t="s">
        <v>55</v>
      </c>
      <c r="B106" s="19" t="s">
        <v>411</v>
      </c>
      <c r="C106" s="20" t="s">
        <v>412</v>
      </c>
      <c r="D106" s="20" t="s">
        <v>25</v>
      </c>
      <c r="E106" s="20" t="s">
        <v>25</v>
      </c>
      <c r="F106" s="19" t="s">
        <v>58</v>
      </c>
      <c r="G106" s="21"/>
      <c r="H106" s="21"/>
      <c r="I106" s="5"/>
      <c r="J106" s="5"/>
      <c r="K106" s="5"/>
      <c r="L106" s="52" t="s">
        <v>914</v>
      </c>
      <c r="M106" s="5"/>
      <c r="O106" s="52" t="s">
        <v>914</v>
      </c>
      <c r="P106" s="54" t="s">
        <v>914</v>
      </c>
      <c r="Q106" s="52" t="s">
        <v>914</v>
      </c>
      <c r="R106" s="52" t="s">
        <v>914</v>
      </c>
      <c r="S106" s="52" t="s">
        <v>914</v>
      </c>
      <c r="T106" s="5"/>
      <c r="U106" s="5"/>
      <c r="V106" s="52" t="s">
        <v>914</v>
      </c>
      <c r="W106" s="52" t="s">
        <v>914</v>
      </c>
      <c r="X106" s="52" t="s">
        <v>914</v>
      </c>
      <c r="Y106" s="52" t="s">
        <v>914</v>
      </c>
      <c r="Z106" s="53" t="s">
        <v>914</v>
      </c>
      <c r="AA106" s="5"/>
      <c r="AD106" s="5"/>
      <c r="AE106" s="53" t="s">
        <v>914</v>
      </c>
      <c r="AF106" s="53" t="s">
        <v>914</v>
      </c>
      <c r="AG106" s="5"/>
      <c r="AH106" s="5"/>
      <c r="AK106" s="53" t="s">
        <v>914</v>
      </c>
      <c r="AL106" s="53" t="s">
        <v>914</v>
      </c>
      <c r="AM106" s="22">
        <f t="shared" si="11"/>
        <v>15</v>
      </c>
    </row>
    <row r="107" spans="1:39" ht="15.75" x14ac:dyDescent="0.25">
      <c r="A107" s="19" t="s">
        <v>55</v>
      </c>
      <c r="B107" s="19" t="s">
        <v>423</v>
      </c>
      <c r="C107" s="20" t="s">
        <v>424</v>
      </c>
      <c r="D107" s="20" t="s">
        <v>8</v>
      </c>
      <c r="E107" s="20" t="s">
        <v>8</v>
      </c>
      <c r="F107" s="19" t="s">
        <v>58</v>
      </c>
      <c r="G107" s="21"/>
      <c r="H107" s="21"/>
      <c r="I107" s="5"/>
      <c r="J107" s="5"/>
      <c r="K107" s="5"/>
      <c r="L107" s="52" t="s">
        <v>914</v>
      </c>
      <c r="M107" s="5"/>
      <c r="N107" s="5"/>
      <c r="O107" s="52" t="s">
        <v>914</v>
      </c>
      <c r="P107" s="54"/>
      <c r="Q107" s="52" t="s">
        <v>914</v>
      </c>
      <c r="R107" s="5"/>
      <c r="S107" s="5"/>
      <c r="T107" s="5"/>
      <c r="U107" s="5"/>
      <c r="V107" s="52" t="s">
        <v>914</v>
      </c>
      <c r="W107" s="52" t="s">
        <v>914</v>
      </c>
      <c r="X107" s="52" t="s">
        <v>914</v>
      </c>
      <c r="Y107" s="5"/>
      <c r="Z107" s="53" t="s">
        <v>914</v>
      </c>
      <c r="AA107" s="5"/>
      <c r="AD107" s="53" t="s">
        <v>914</v>
      </c>
      <c r="AE107" s="53" t="s">
        <v>914</v>
      </c>
      <c r="AG107" s="53" t="s">
        <v>914</v>
      </c>
      <c r="AH107" s="5"/>
      <c r="AI107" s="53"/>
      <c r="AJ107" s="53" t="s">
        <v>914</v>
      </c>
      <c r="AK107" s="53" t="s">
        <v>914</v>
      </c>
      <c r="AL107" s="53" t="s">
        <v>914</v>
      </c>
      <c r="AM107" s="22">
        <f t="shared" si="11"/>
        <v>13</v>
      </c>
    </row>
    <row r="108" spans="1:39" ht="15.75" x14ac:dyDescent="0.25">
      <c r="A108" s="19" t="s">
        <v>55</v>
      </c>
      <c r="B108" s="19" t="s">
        <v>425</v>
      </c>
      <c r="C108" s="20" t="s">
        <v>426</v>
      </c>
      <c r="D108" s="20" t="s">
        <v>10</v>
      </c>
      <c r="E108" s="20" t="s">
        <v>10</v>
      </c>
      <c r="F108" s="19" t="s">
        <v>58</v>
      </c>
      <c r="G108" s="21"/>
      <c r="H108" s="21"/>
      <c r="I108" s="5"/>
      <c r="J108" s="5"/>
      <c r="K108" s="5"/>
      <c r="L108" s="52" t="s">
        <v>914</v>
      </c>
      <c r="M108" s="5"/>
      <c r="O108" s="5"/>
      <c r="P108" s="54" t="s">
        <v>914</v>
      </c>
      <c r="Q108" s="54" t="s">
        <v>914</v>
      </c>
      <c r="R108" s="5"/>
      <c r="S108" s="52" t="s">
        <v>914</v>
      </c>
      <c r="T108" s="5"/>
      <c r="U108" s="5"/>
      <c r="V108" s="5"/>
      <c r="W108" s="5"/>
      <c r="X108" s="52" t="s">
        <v>914</v>
      </c>
      <c r="Y108" s="5"/>
      <c r="AH108" s="5"/>
      <c r="AM108" s="22">
        <f t="shared" si="11"/>
        <v>5</v>
      </c>
    </row>
    <row r="109" spans="1:39" ht="15.75" x14ac:dyDescent="0.25">
      <c r="A109" s="19" t="s">
        <v>55</v>
      </c>
      <c r="B109" s="19" t="s">
        <v>427</v>
      </c>
      <c r="C109" s="20" t="s">
        <v>428</v>
      </c>
      <c r="D109" s="20" t="s">
        <v>10</v>
      </c>
      <c r="E109" s="20" t="s">
        <v>10</v>
      </c>
      <c r="F109" s="19" t="s">
        <v>58</v>
      </c>
      <c r="G109" s="21"/>
      <c r="H109" s="21"/>
      <c r="I109" s="5"/>
      <c r="J109" s="5"/>
      <c r="K109" s="5"/>
      <c r="L109" s="5"/>
      <c r="M109" s="5"/>
      <c r="O109" s="5"/>
      <c r="P109" s="54"/>
      <c r="Q109" s="5"/>
      <c r="R109" s="5"/>
      <c r="S109" s="5"/>
      <c r="T109" s="5"/>
      <c r="U109" s="5"/>
      <c r="V109" s="5"/>
      <c r="W109" s="52" t="s">
        <v>914</v>
      </c>
      <c r="X109" s="5"/>
      <c r="Y109" s="5"/>
      <c r="AH109" s="5"/>
      <c r="AM109" s="22">
        <f t="shared" si="11"/>
        <v>1</v>
      </c>
    </row>
    <row r="110" spans="1:39" ht="15.75" x14ac:dyDescent="0.25">
      <c r="A110" s="19" t="s">
        <v>55</v>
      </c>
      <c r="B110" s="19" t="s">
        <v>429</v>
      </c>
      <c r="C110" s="20" t="s">
        <v>430</v>
      </c>
      <c r="D110" s="20" t="s">
        <v>3</v>
      </c>
      <c r="E110" s="20" t="s">
        <v>7</v>
      </c>
      <c r="F110" s="19" t="s">
        <v>58</v>
      </c>
      <c r="G110" s="21"/>
      <c r="H110" s="21"/>
      <c r="I110" s="5" t="s">
        <v>915</v>
      </c>
      <c r="J110" s="5"/>
      <c r="K110" s="5"/>
      <c r="L110" s="52" t="s">
        <v>915</v>
      </c>
      <c r="M110" s="52" t="s">
        <v>915</v>
      </c>
      <c r="O110" s="52" t="s">
        <v>914</v>
      </c>
      <c r="P110" s="54" t="s">
        <v>914</v>
      </c>
      <c r="Q110" s="53" t="s">
        <v>914</v>
      </c>
      <c r="R110" s="5"/>
      <c r="S110" s="5"/>
      <c r="T110" s="5"/>
      <c r="U110" s="5"/>
      <c r="V110" s="52" t="s">
        <v>914</v>
      </c>
      <c r="W110" s="5"/>
      <c r="X110" s="52" t="s">
        <v>914</v>
      </c>
      <c r="Y110" s="52" t="s">
        <v>914</v>
      </c>
      <c r="AC110" s="53" t="s">
        <v>915</v>
      </c>
      <c r="AD110" s="52" t="s">
        <v>915</v>
      </c>
      <c r="AE110" s="53" t="s">
        <v>915</v>
      </c>
      <c r="AF110" s="53" t="s">
        <v>915</v>
      </c>
      <c r="AG110" s="52" t="s">
        <v>915</v>
      </c>
      <c r="AH110" s="5"/>
      <c r="AJ110" s="53" t="s">
        <v>914</v>
      </c>
      <c r="AK110" s="53" t="s">
        <v>914</v>
      </c>
      <c r="AL110" s="53" t="s">
        <v>914</v>
      </c>
      <c r="AM110" s="22">
        <f t="shared" si="11"/>
        <v>17</v>
      </c>
    </row>
    <row r="111" spans="1:39" ht="15.75" x14ac:dyDescent="0.25">
      <c r="A111" s="19" t="s">
        <v>55</v>
      </c>
      <c r="B111" s="19" t="s">
        <v>431</v>
      </c>
      <c r="C111" s="20" t="s">
        <v>432</v>
      </c>
      <c r="D111" s="20" t="s">
        <v>8</v>
      </c>
      <c r="E111" s="20" t="s">
        <v>8</v>
      </c>
      <c r="F111" s="19" t="s">
        <v>58</v>
      </c>
      <c r="G111" s="21"/>
      <c r="H111" s="21"/>
      <c r="I111" s="5"/>
      <c r="J111" s="5"/>
      <c r="K111" s="5"/>
      <c r="L111" s="5"/>
      <c r="M111" s="5"/>
      <c r="O111" s="5"/>
      <c r="P111" s="54"/>
      <c r="Q111" s="5"/>
      <c r="R111" s="5"/>
      <c r="S111" s="5"/>
      <c r="T111" s="5"/>
      <c r="U111" s="5"/>
      <c r="V111" s="5"/>
      <c r="W111" s="5"/>
      <c r="X111" s="52" t="s">
        <v>914</v>
      </c>
      <c r="Y111" s="52" t="s">
        <v>914</v>
      </c>
      <c r="AC111" s="53" t="s">
        <v>914</v>
      </c>
      <c r="AE111" s="53" t="s">
        <v>914</v>
      </c>
      <c r="AF111" s="53" t="s">
        <v>914</v>
      </c>
      <c r="AH111" s="5"/>
      <c r="AJ111" s="53" t="s">
        <v>914</v>
      </c>
      <c r="AM111" s="22">
        <f t="shared" si="11"/>
        <v>6</v>
      </c>
    </row>
    <row r="112" spans="1:39" ht="15.75" x14ac:dyDescent="0.25">
      <c r="A112" s="19" t="s">
        <v>55</v>
      </c>
      <c r="B112" s="19" t="s">
        <v>433</v>
      </c>
      <c r="C112" s="20" t="s">
        <v>434</v>
      </c>
      <c r="D112" s="20" t="s">
        <v>25</v>
      </c>
      <c r="E112" s="20" t="s">
        <v>25</v>
      </c>
      <c r="F112" s="19" t="s">
        <v>58</v>
      </c>
      <c r="G112" s="21"/>
      <c r="H112" s="21"/>
      <c r="I112" s="5"/>
      <c r="J112" s="5"/>
      <c r="K112" s="5"/>
      <c r="L112" s="52" t="s">
        <v>914</v>
      </c>
      <c r="M112" s="5"/>
      <c r="O112" s="52" t="s">
        <v>914</v>
      </c>
      <c r="P112" s="54" t="s">
        <v>914</v>
      </c>
      <c r="Q112" s="52" t="s">
        <v>914</v>
      </c>
      <c r="R112" s="52" t="s">
        <v>914</v>
      </c>
      <c r="S112" s="52" t="s">
        <v>914</v>
      </c>
      <c r="T112" s="5"/>
      <c r="U112" s="5"/>
      <c r="V112" s="52" t="s">
        <v>914</v>
      </c>
      <c r="W112" s="52" t="s">
        <v>914</v>
      </c>
      <c r="X112" s="52" t="s">
        <v>914</v>
      </c>
      <c r="Y112" s="5"/>
      <c r="Z112" s="53" t="s">
        <v>914</v>
      </c>
      <c r="AA112" s="5"/>
      <c r="AC112" s="53" t="s">
        <v>914</v>
      </c>
      <c r="AD112" s="52" t="s">
        <v>914</v>
      </c>
      <c r="AE112" s="53" t="s">
        <v>914</v>
      </c>
      <c r="AF112" s="53" t="s">
        <v>914</v>
      </c>
      <c r="AG112" s="5"/>
      <c r="AH112" s="5"/>
      <c r="AK112" s="53" t="s">
        <v>914</v>
      </c>
      <c r="AL112" s="53" t="s">
        <v>914</v>
      </c>
      <c r="AM112" s="22">
        <f t="shared" si="11"/>
        <v>16</v>
      </c>
    </row>
    <row r="113" spans="1:39" ht="15.75" x14ac:dyDescent="0.25">
      <c r="A113" s="19" t="s">
        <v>55</v>
      </c>
      <c r="B113" s="19" t="s">
        <v>437</v>
      </c>
      <c r="C113" s="20" t="s">
        <v>438</v>
      </c>
      <c r="D113" s="20" t="s">
        <v>25</v>
      </c>
      <c r="E113" s="20" t="s">
        <v>25</v>
      </c>
      <c r="F113" s="19" t="s">
        <v>58</v>
      </c>
      <c r="G113" s="21"/>
      <c r="H113" s="21"/>
      <c r="I113" s="5"/>
      <c r="J113" s="5"/>
      <c r="K113" s="5"/>
      <c r="L113" s="5"/>
      <c r="M113" s="5"/>
      <c r="O113" s="5"/>
      <c r="P113" s="54"/>
      <c r="Q113" s="5"/>
      <c r="R113" s="5"/>
      <c r="S113" s="5"/>
      <c r="T113" s="5"/>
      <c r="U113" s="5"/>
      <c r="V113" s="5"/>
      <c r="W113" s="5"/>
      <c r="X113" s="52" t="s">
        <v>914</v>
      </c>
      <c r="Y113" s="52" t="s">
        <v>914</v>
      </c>
      <c r="Z113" s="53" t="s">
        <v>914</v>
      </c>
      <c r="AC113" s="53" t="s">
        <v>914</v>
      </c>
      <c r="AD113" s="52" t="s">
        <v>914</v>
      </c>
      <c r="AE113" s="53" t="s">
        <v>914</v>
      </c>
      <c r="AF113" s="53" t="s">
        <v>914</v>
      </c>
      <c r="AH113" s="5"/>
      <c r="AK113" s="53" t="s">
        <v>914</v>
      </c>
      <c r="AL113" s="53" t="s">
        <v>914</v>
      </c>
      <c r="AM113" s="22">
        <f t="shared" si="11"/>
        <v>9</v>
      </c>
    </row>
    <row r="114" spans="1:39" ht="15.75" x14ac:dyDescent="0.25">
      <c r="A114" s="19" t="s">
        <v>55</v>
      </c>
      <c r="B114" s="19" t="s">
        <v>445</v>
      </c>
      <c r="C114" s="20" t="s">
        <v>446</v>
      </c>
      <c r="D114" s="20" t="s">
        <v>22</v>
      </c>
      <c r="E114" s="20" t="s">
        <v>22</v>
      </c>
      <c r="F114" s="19" t="s">
        <v>58</v>
      </c>
      <c r="G114" s="21"/>
      <c r="H114" s="21"/>
      <c r="I114" s="5"/>
      <c r="J114" s="5"/>
      <c r="K114" s="5"/>
      <c r="L114" s="5"/>
      <c r="M114" s="5"/>
      <c r="O114" s="5"/>
      <c r="P114" s="54"/>
      <c r="Q114" s="5"/>
      <c r="R114" s="5"/>
      <c r="S114" s="5"/>
      <c r="T114" s="5"/>
      <c r="U114" s="5"/>
      <c r="V114" s="5"/>
      <c r="W114" s="5"/>
      <c r="X114" s="5"/>
      <c r="Y114" s="5"/>
      <c r="AC114" s="53" t="s">
        <v>914</v>
      </c>
      <c r="AD114" s="52" t="s">
        <v>914</v>
      </c>
      <c r="AE114" s="53" t="s">
        <v>914</v>
      </c>
      <c r="AF114" s="53" t="s">
        <v>914</v>
      </c>
      <c r="AH114" s="5"/>
      <c r="AK114" s="53" t="s">
        <v>914</v>
      </c>
      <c r="AM114" s="22">
        <f t="shared" si="11"/>
        <v>5</v>
      </c>
    </row>
    <row r="115" spans="1:39" ht="15.75" x14ac:dyDescent="0.25">
      <c r="A115" s="19" t="s">
        <v>55</v>
      </c>
      <c r="B115" s="19" t="s">
        <v>447</v>
      </c>
      <c r="C115" s="20" t="s">
        <v>448</v>
      </c>
      <c r="D115" s="20" t="s">
        <v>21</v>
      </c>
      <c r="E115" s="20" t="s">
        <v>21</v>
      </c>
      <c r="F115" s="19" t="s">
        <v>58</v>
      </c>
      <c r="G115" s="21"/>
      <c r="H115" s="21"/>
      <c r="I115" s="5"/>
      <c r="J115" s="5"/>
      <c r="K115" s="5"/>
      <c r="L115" s="52" t="s">
        <v>914</v>
      </c>
      <c r="M115" s="5"/>
      <c r="O115" s="52" t="s">
        <v>914</v>
      </c>
      <c r="P115" s="54" t="s">
        <v>914</v>
      </c>
      <c r="Q115" s="52" t="s">
        <v>914</v>
      </c>
      <c r="R115" s="52" t="s">
        <v>914</v>
      </c>
      <c r="S115" s="52" t="s">
        <v>914</v>
      </c>
      <c r="T115" s="5"/>
      <c r="U115" s="5"/>
      <c r="V115" s="52" t="s">
        <v>914</v>
      </c>
      <c r="W115" s="52" t="s">
        <v>914</v>
      </c>
      <c r="X115" s="52" t="s">
        <v>914</v>
      </c>
      <c r="Y115" s="52" t="s">
        <v>914</v>
      </c>
      <c r="Z115" s="53" t="s">
        <v>914</v>
      </c>
      <c r="AA115" s="5"/>
      <c r="AC115" s="53" t="s">
        <v>914</v>
      </c>
      <c r="AD115" s="52" t="s">
        <v>914</v>
      </c>
      <c r="AE115" s="53" t="s">
        <v>914</v>
      </c>
      <c r="AF115" s="53" t="s">
        <v>914</v>
      </c>
      <c r="AG115" s="52" t="s">
        <v>914</v>
      </c>
      <c r="AH115" s="5"/>
      <c r="AJ115" s="53" t="s">
        <v>914</v>
      </c>
      <c r="AK115" s="53" t="s">
        <v>914</v>
      </c>
      <c r="AL115" s="53" t="s">
        <v>914</v>
      </c>
      <c r="AM115" s="22">
        <f t="shared" si="11"/>
        <v>19</v>
      </c>
    </row>
    <row r="116" spans="1:39" ht="15.75" x14ac:dyDescent="0.25">
      <c r="A116" s="19" t="s">
        <v>55</v>
      </c>
      <c r="B116" s="19" t="s">
        <v>449</v>
      </c>
      <c r="C116" s="20" t="s">
        <v>450</v>
      </c>
      <c r="D116" s="20" t="s">
        <v>21</v>
      </c>
      <c r="E116" s="20" t="s">
        <v>21</v>
      </c>
      <c r="F116" s="19" t="s">
        <v>58</v>
      </c>
      <c r="G116" s="21"/>
      <c r="H116" s="21"/>
      <c r="I116" s="5"/>
      <c r="J116" s="5"/>
      <c r="K116" s="5"/>
      <c r="L116" s="52" t="s">
        <v>914</v>
      </c>
      <c r="M116" s="5"/>
      <c r="O116" s="52" t="s">
        <v>914</v>
      </c>
      <c r="P116" s="54" t="s">
        <v>914</v>
      </c>
      <c r="Q116" s="52" t="s">
        <v>914</v>
      </c>
      <c r="R116" s="5"/>
      <c r="S116" s="5"/>
      <c r="T116" s="5"/>
      <c r="U116" s="5"/>
      <c r="V116" s="5"/>
      <c r="W116" s="5"/>
      <c r="X116" s="52" t="s">
        <v>914</v>
      </c>
      <c r="Y116" s="52" t="s">
        <v>914</v>
      </c>
      <c r="AA116" s="5"/>
      <c r="AD116" s="5"/>
      <c r="AG116" s="5"/>
      <c r="AH116" s="5"/>
      <c r="AM116" s="22">
        <f t="shared" si="11"/>
        <v>6</v>
      </c>
    </row>
    <row r="117" spans="1:39" ht="15.75" x14ac:dyDescent="0.25">
      <c r="A117" s="19" t="s">
        <v>55</v>
      </c>
      <c r="B117" s="19" t="s">
        <v>451</v>
      </c>
      <c r="C117" s="20" t="s">
        <v>452</v>
      </c>
      <c r="D117" s="20" t="s">
        <v>21</v>
      </c>
      <c r="E117" s="20" t="s">
        <v>21</v>
      </c>
      <c r="F117" s="19" t="s">
        <v>58</v>
      </c>
      <c r="G117" s="21"/>
      <c r="H117" s="21"/>
      <c r="I117" s="5"/>
      <c r="J117" s="5"/>
      <c r="K117" s="5"/>
      <c r="L117" s="52" t="s">
        <v>914</v>
      </c>
      <c r="M117" s="5"/>
      <c r="O117" s="52" t="s">
        <v>914</v>
      </c>
      <c r="P117" s="54" t="s">
        <v>914</v>
      </c>
      <c r="Q117" s="52" t="s">
        <v>914</v>
      </c>
      <c r="R117" s="52" t="s">
        <v>914</v>
      </c>
      <c r="S117" s="52" t="s">
        <v>914</v>
      </c>
      <c r="T117" s="5"/>
      <c r="U117" s="5"/>
      <c r="V117" s="52" t="s">
        <v>914</v>
      </c>
      <c r="W117" s="52" t="s">
        <v>914</v>
      </c>
      <c r="X117" s="52" t="s">
        <v>914</v>
      </c>
      <c r="Y117" s="52" t="s">
        <v>914</v>
      </c>
      <c r="Z117" s="53" t="s">
        <v>914</v>
      </c>
      <c r="AA117" s="5"/>
      <c r="AC117" s="53" t="s">
        <v>914</v>
      </c>
      <c r="AD117" s="52" t="s">
        <v>914</v>
      </c>
      <c r="AE117" s="53" t="s">
        <v>914</v>
      </c>
      <c r="AF117" s="53" t="s">
        <v>914</v>
      </c>
      <c r="AG117" s="52" t="s">
        <v>914</v>
      </c>
      <c r="AH117" s="5"/>
      <c r="AJ117" s="53" t="s">
        <v>914</v>
      </c>
      <c r="AK117" s="53" t="s">
        <v>914</v>
      </c>
      <c r="AL117" s="53" t="s">
        <v>914</v>
      </c>
      <c r="AM117" s="22">
        <f t="shared" si="11"/>
        <v>19</v>
      </c>
    </row>
    <row r="118" spans="1:39" ht="15.75" x14ac:dyDescent="0.25">
      <c r="A118" s="19" t="s">
        <v>55</v>
      </c>
      <c r="B118" s="19" t="s">
        <v>455</v>
      </c>
      <c r="C118" s="20" t="s">
        <v>456</v>
      </c>
      <c r="D118" s="20" t="s">
        <v>23</v>
      </c>
      <c r="E118" s="20" t="s">
        <v>23</v>
      </c>
      <c r="F118" s="19" t="s">
        <v>58</v>
      </c>
      <c r="G118" s="21"/>
      <c r="H118" s="21"/>
      <c r="I118" s="5"/>
      <c r="J118" s="5"/>
      <c r="K118" s="5"/>
      <c r="L118" s="5"/>
      <c r="M118" s="5"/>
      <c r="N118" s="5"/>
      <c r="O118" s="5"/>
      <c r="P118" s="54"/>
      <c r="Q118" s="5"/>
      <c r="R118" s="5"/>
      <c r="S118" s="5"/>
      <c r="T118" s="5"/>
      <c r="U118" s="5"/>
      <c r="V118" s="5"/>
      <c r="W118" s="5"/>
      <c r="X118" s="52" t="s">
        <v>914</v>
      </c>
      <c r="Y118" s="52" t="s">
        <v>914</v>
      </c>
      <c r="Z118" s="53" t="s">
        <v>914</v>
      </c>
      <c r="AC118" s="53" t="s">
        <v>915</v>
      </c>
      <c r="AD118" s="53" t="s">
        <v>915</v>
      </c>
      <c r="AE118" s="53" t="s">
        <v>915</v>
      </c>
      <c r="AF118" s="53" t="s">
        <v>915</v>
      </c>
      <c r="AG118" s="53" t="s">
        <v>914</v>
      </c>
      <c r="AH118" s="52" t="s">
        <v>915</v>
      </c>
      <c r="AJ118" s="53" t="s">
        <v>915</v>
      </c>
      <c r="AK118" s="53" t="s">
        <v>915</v>
      </c>
      <c r="AL118" s="53" t="s">
        <v>914</v>
      </c>
      <c r="AM118" s="22">
        <f t="shared" si="11"/>
        <v>12</v>
      </c>
    </row>
    <row r="119" spans="1:39" ht="15.75" x14ac:dyDescent="0.25">
      <c r="A119" s="19" t="s">
        <v>55</v>
      </c>
      <c r="B119" s="19" t="s">
        <v>461</v>
      </c>
      <c r="C119" s="20" t="s">
        <v>462</v>
      </c>
      <c r="D119" s="20" t="s">
        <v>19</v>
      </c>
      <c r="E119" s="20" t="s">
        <v>19</v>
      </c>
      <c r="F119" s="19" t="s">
        <v>58</v>
      </c>
      <c r="G119" s="21"/>
      <c r="H119" s="21"/>
      <c r="I119" s="5"/>
      <c r="J119" s="5"/>
      <c r="K119" s="5"/>
      <c r="L119" s="52" t="s">
        <v>914</v>
      </c>
      <c r="M119" s="5"/>
      <c r="O119" s="52" t="s">
        <v>914</v>
      </c>
      <c r="P119" s="54"/>
      <c r="Q119" s="5"/>
      <c r="R119" s="5"/>
      <c r="S119" s="5"/>
      <c r="T119" s="5"/>
      <c r="U119" s="5"/>
      <c r="V119" s="5"/>
      <c r="W119" s="5"/>
      <c r="X119" s="52" t="s">
        <v>914</v>
      </c>
      <c r="Y119" s="52" t="s">
        <v>914</v>
      </c>
      <c r="Z119" s="53" t="s">
        <v>914</v>
      </c>
      <c r="AA119" s="53" t="s">
        <v>914</v>
      </c>
      <c r="AC119" s="53" t="s">
        <v>914</v>
      </c>
      <c r="AD119" s="52" t="s">
        <v>914</v>
      </c>
      <c r="AE119" s="53" t="s">
        <v>914</v>
      </c>
      <c r="AF119" s="53" t="s">
        <v>914</v>
      </c>
      <c r="AH119" s="5"/>
      <c r="AJ119" s="53" t="s">
        <v>914</v>
      </c>
      <c r="AK119" s="53" t="s">
        <v>914</v>
      </c>
      <c r="AM119" s="22">
        <f t="shared" si="11"/>
        <v>12</v>
      </c>
    </row>
    <row r="120" spans="1:39" ht="15.75" x14ac:dyDescent="0.25">
      <c r="A120" s="19" t="s">
        <v>55</v>
      </c>
      <c r="B120" s="19" t="s">
        <v>473</v>
      </c>
      <c r="C120" s="20" t="s">
        <v>474</v>
      </c>
      <c r="D120" s="20" t="s">
        <v>21</v>
      </c>
      <c r="E120" s="20" t="s">
        <v>21</v>
      </c>
      <c r="F120" s="19" t="s">
        <v>58</v>
      </c>
      <c r="G120" s="21"/>
      <c r="H120" s="21"/>
      <c r="I120" s="5"/>
      <c r="J120" s="5"/>
      <c r="K120" s="5"/>
      <c r="L120" s="52" t="s">
        <v>914</v>
      </c>
      <c r="M120" s="5"/>
      <c r="N120" s="5"/>
      <c r="O120" s="5"/>
      <c r="P120" s="54" t="s">
        <v>914</v>
      </c>
      <c r="Q120" s="52" t="s">
        <v>914</v>
      </c>
      <c r="R120" s="5"/>
      <c r="S120" s="52" t="s">
        <v>914</v>
      </c>
      <c r="T120" s="5"/>
      <c r="U120" s="5"/>
      <c r="V120" s="52" t="s">
        <v>914</v>
      </c>
      <c r="W120" s="5"/>
      <c r="X120" s="5"/>
      <c r="Y120" s="52" t="s">
        <v>914</v>
      </c>
      <c r="Z120" s="53" t="s">
        <v>914</v>
      </c>
      <c r="AA120" s="5"/>
      <c r="AC120" s="53" t="s">
        <v>914</v>
      </c>
      <c r="AD120" s="52" t="s">
        <v>914</v>
      </c>
      <c r="AE120" s="53" t="s">
        <v>914</v>
      </c>
      <c r="AF120" s="53" t="s">
        <v>914</v>
      </c>
      <c r="AG120" s="52" t="s">
        <v>914</v>
      </c>
      <c r="AH120" s="5"/>
      <c r="AJ120" s="53" t="s">
        <v>914</v>
      </c>
      <c r="AM120" s="22">
        <f t="shared" si="11"/>
        <v>13</v>
      </c>
    </row>
    <row r="121" spans="1:39" ht="15.75" x14ac:dyDescent="0.25">
      <c r="A121" s="19" t="s">
        <v>55</v>
      </c>
      <c r="B121" s="19" t="s">
        <v>475</v>
      </c>
      <c r="C121" s="20" t="s">
        <v>476</v>
      </c>
      <c r="D121" s="20" t="s">
        <v>10</v>
      </c>
      <c r="E121" s="20" t="s">
        <v>10</v>
      </c>
      <c r="F121" s="19" t="s">
        <v>58</v>
      </c>
      <c r="G121" s="21"/>
      <c r="H121" s="21"/>
      <c r="I121" s="5"/>
      <c r="J121" s="5"/>
      <c r="K121" s="5"/>
      <c r="L121" s="5"/>
      <c r="M121" s="5"/>
      <c r="O121" s="52" t="s">
        <v>914</v>
      </c>
      <c r="P121" s="54" t="s">
        <v>914</v>
      </c>
      <c r="Q121" s="54" t="s">
        <v>914</v>
      </c>
      <c r="R121" s="52" t="s">
        <v>914</v>
      </c>
      <c r="S121" s="52" t="s">
        <v>914</v>
      </c>
      <c r="T121" s="5"/>
      <c r="U121" s="5"/>
      <c r="V121" s="5"/>
      <c r="W121" s="52" t="s">
        <v>914</v>
      </c>
      <c r="X121" s="5"/>
      <c r="Y121" s="5"/>
      <c r="AD121" s="5"/>
      <c r="AF121" s="53" t="s">
        <v>914</v>
      </c>
      <c r="AG121" s="5"/>
      <c r="AH121" s="5"/>
      <c r="AM121" s="22">
        <f t="shared" si="11"/>
        <v>7</v>
      </c>
    </row>
    <row r="122" spans="1:39" ht="15.75" x14ac:dyDescent="0.25">
      <c r="A122" s="19" t="s">
        <v>55</v>
      </c>
      <c r="B122" s="19" t="s">
        <v>479</v>
      </c>
      <c r="C122" s="20" t="s">
        <v>480</v>
      </c>
      <c r="D122" s="20" t="s">
        <v>8</v>
      </c>
      <c r="E122" s="20" t="s">
        <v>8</v>
      </c>
      <c r="F122" s="19" t="s">
        <v>58</v>
      </c>
      <c r="G122" s="21"/>
      <c r="H122" s="21"/>
      <c r="I122" s="5"/>
      <c r="J122" s="5"/>
      <c r="K122" s="5"/>
      <c r="L122" s="5"/>
      <c r="M122" s="5"/>
      <c r="O122" s="5"/>
      <c r="P122" s="54"/>
      <c r="Q122" s="5"/>
      <c r="R122" s="5"/>
      <c r="S122" s="5"/>
      <c r="T122" s="5"/>
      <c r="U122" s="5"/>
      <c r="V122" s="5"/>
      <c r="W122" s="52" t="s">
        <v>914</v>
      </c>
      <c r="X122" s="5"/>
      <c r="Y122" s="5"/>
      <c r="AD122" s="53" t="s">
        <v>914</v>
      </c>
      <c r="AF122" s="53" t="s">
        <v>914</v>
      </c>
      <c r="AH122" s="5"/>
      <c r="AK122" s="53" t="s">
        <v>914</v>
      </c>
      <c r="AM122" s="22">
        <f t="shared" si="11"/>
        <v>4</v>
      </c>
    </row>
    <row r="123" spans="1:39" ht="15.75" x14ac:dyDescent="0.25">
      <c r="A123" s="19" t="s">
        <v>55</v>
      </c>
      <c r="B123" s="19" t="s">
        <v>483</v>
      </c>
      <c r="C123" s="20" t="s">
        <v>879</v>
      </c>
      <c r="D123" s="20" t="s">
        <v>23</v>
      </c>
      <c r="E123" s="20" t="s">
        <v>23</v>
      </c>
      <c r="F123" s="19" t="s">
        <v>58</v>
      </c>
      <c r="G123" s="21"/>
      <c r="H123" s="21"/>
      <c r="I123" s="5"/>
      <c r="J123" s="5"/>
      <c r="K123" s="5"/>
      <c r="L123" s="5"/>
      <c r="M123" s="5"/>
      <c r="O123" s="5"/>
      <c r="P123" s="54" t="s">
        <v>915</v>
      </c>
      <c r="Q123" s="52" t="s">
        <v>915</v>
      </c>
      <c r="R123" s="52" t="s">
        <v>915</v>
      </c>
      <c r="S123" s="52" t="s">
        <v>915</v>
      </c>
      <c r="T123" s="5" t="s">
        <v>874</v>
      </c>
      <c r="U123" s="5"/>
      <c r="V123" s="5"/>
      <c r="W123" s="52" t="s">
        <v>915</v>
      </c>
      <c r="X123" s="52" t="s">
        <v>915</v>
      </c>
      <c r="Y123" s="52" t="s">
        <v>914</v>
      </c>
      <c r="Z123" s="53" t="s">
        <v>914</v>
      </c>
      <c r="AC123" s="53" t="s">
        <v>914</v>
      </c>
      <c r="AD123" s="52" t="s">
        <v>914</v>
      </c>
      <c r="AE123" s="53" t="s">
        <v>914</v>
      </c>
      <c r="AF123" s="53" t="s">
        <v>915</v>
      </c>
      <c r="AG123" s="53" t="s">
        <v>914</v>
      </c>
      <c r="AH123" s="5"/>
      <c r="AJ123" s="53" t="s">
        <v>914</v>
      </c>
      <c r="AK123" s="53" t="s">
        <v>914</v>
      </c>
      <c r="AL123" s="53" t="s">
        <v>914</v>
      </c>
      <c r="AM123" s="22">
        <f t="shared" si="11"/>
        <v>17</v>
      </c>
    </row>
    <row r="124" spans="1:39" ht="15.75" x14ac:dyDescent="0.25">
      <c r="A124" s="19" t="s">
        <v>55</v>
      </c>
      <c r="B124" s="19" t="s">
        <v>485</v>
      </c>
      <c r="C124" s="20" t="s">
        <v>486</v>
      </c>
      <c r="D124" s="20" t="s">
        <v>23</v>
      </c>
      <c r="E124" s="20" t="s">
        <v>23</v>
      </c>
      <c r="F124" s="19" t="s">
        <v>58</v>
      </c>
      <c r="G124" s="21"/>
      <c r="H124" s="21"/>
      <c r="I124" s="5"/>
      <c r="J124" s="5"/>
      <c r="K124" s="5"/>
      <c r="L124" s="5"/>
      <c r="M124" s="5"/>
      <c r="O124" s="5"/>
      <c r="P124" s="54" t="s">
        <v>915</v>
      </c>
      <c r="Q124" s="52" t="s">
        <v>915</v>
      </c>
      <c r="R124" s="52" t="s">
        <v>915</v>
      </c>
      <c r="S124" s="52"/>
      <c r="T124" s="5" t="s">
        <v>874</v>
      </c>
      <c r="U124" s="5"/>
      <c r="V124" s="5"/>
      <c r="W124" s="52" t="s">
        <v>915</v>
      </c>
      <c r="X124" s="52" t="s">
        <v>915</v>
      </c>
      <c r="Y124" s="52" t="s">
        <v>915</v>
      </c>
      <c r="AF124" s="53" t="s">
        <v>915</v>
      </c>
      <c r="AH124" s="5"/>
      <c r="AK124" s="53" t="s">
        <v>914</v>
      </c>
      <c r="AM124" s="22">
        <f t="shared" si="11"/>
        <v>9</v>
      </c>
    </row>
    <row r="125" spans="1:39" ht="15.75" x14ac:dyDescent="0.25">
      <c r="A125" s="19" t="s">
        <v>55</v>
      </c>
      <c r="B125" s="19" t="s">
        <v>487</v>
      </c>
      <c r="C125" s="20" t="s">
        <v>488</v>
      </c>
      <c r="D125" s="20" t="s">
        <v>21</v>
      </c>
      <c r="E125" s="20" t="s">
        <v>21</v>
      </c>
      <c r="F125" s="19" t="s">
        <v>58</v>
      </c>
      <c r="G125" s="21"/>
      <c r="H125" s="21"/>
      <c r="I125" s="5"/>
      <c r="J125" s="5"/>
      <c r="K125" s="5"/>
      <c r="L125" s="52" t="s">
        <v>914</v>
      </c>
      <c r="M125" s="5"/>
      <c r="O125" s="52" t="s">
        <v>914</v>
      </c>
      <c r="P125" s="54"/>
      <c r="Q125" s="52" t="s">
        <v>914</v>
      </c>
      <c r="R125" s="5"/>
      <c r="S125" s="52" t="s">
        <v>914</v>
      </c>
      <c r="T125" s="5"/>
      <c r="U125" s="5"/>
      <c r="V125" s="52" t="s">
        <v>914</v>
      </c>
      <c r="W125" s="52" t="s">
        <v>914</v>
      </c>
      <c r="X125" s="52" t="s">
        <v>914</v>
      </c>
      <c r="Y125" s="52" t="s">
        <v>914</v>
      </c>
      <c r="Z125" s="53" t="s">
        <v>914</v>
      </c>
      <c r="AA125" s="5"/>
      <c r="AD125" s="52" t="s">
        <v>914</v>
      </c>
      <c r="AE125" s="53" t="s">
        <v>914</v>
      </c>
      <c r="AF125" s="53" t="s">
        <v>914</v>
      </c>
      <c r="AG125" s="52" t="s">
        <v>914</v>
      </c>
      <c r="AH125" s="5"/>
      <c r="AJ125" s="53" t="s">
        <v>914</v>
      </c>
      <c r="AK125" s="53" t="s">
        <v>914</v>
      </c>
      <c r="AL125" s="53" t="s">
        <v>914</v>
      </c>
      <c r="AM125" s="22">
        <f t="shared" si="11"/>
        <v>16</v>
      </c>
    </row>
    <row r="126" spans="1:39" ht="15.75" x14ac:dyDescent="0.25">
      <c r="A126" s="19" t="s">
        <v>55</v>
      </c>
      <c r="B126" s="19" t="s">
        <v>489</v>
      </c>
      <c r="C126" s="20" t="s">
        <v>490</v>
      </c>
      <c r="D126" s="20" t="s">
        <v>21</v>
      </c>
      <c r="E126" s="20" t="s">
        <v>21</v>
      </c>
      <c r="F126" s="19" t="s">
        <v>58</v>
      </c>
      <c r="G126" s="21"/>
      <c r="H126" s="21"/>
      <c r="I126" s="5"/>
      <c r="J126" s="5"/>
      <c r="K126" s="5"/>
      <c r="L126" s="52" t="s">
        <v>914</v>
      </c>
      <c r="M126" s="5"/>
      <c r="O126" s="52" t="s">
        <v>914</v>
      </c>
      <c r="P126" s="54"/>
      <c r="Q126" s="52" t="s">
        <v>914</v>
      </c>
      <c r="R126" s="52" t="s">
        <v>914</v>
      </c>
      <c r="S126" s="52" t="s">
        <v>914</v>
      </c>
      <c r="T126" s="5"/>
      <c r="U126" s="5"/>
      <c r="V126" s="52" t="s">
        <v>914</v>
      </c>
      <c r="W126" s="52" t="s">
        <v>914</v>
      </c>
      <c r="X126" s="52" t="s">
        <v>914</v>
      </c>
      <c r="Y126" s="52" t="s">
        <v>914</v>
      </c>
      <c r="AA126" s="5"/>
      <c r="AC126" s="53" t="s">
        <v>914</v>
      </c>
      <c r="AD126" s="52" t="s">
        <v>914</v>
      </c>
      <c r="AE126" s="53" t="s">
        <v>914</v>
      </c>
      <c r="AF126" s="53" t="s">
        <v>914</v>
      </c>
      <c r="AH126" s="5"/>
      <c r="AJ126" s="53" t="s">
        <v>914</v>
      </c>
      <c r="AK126" s="53" t="s">
        <v>914</v>
      </c>
      <c r="AL126" s="53" t="s">
        <v>914</v>
      </c>
      <c r="AM126" s="22">
        <f t="shared" si="11"/>
        <v>16</v>
      </c>
    </row>
    <row r="127" spans="1:39" ht="15.75" x14ac:dyDescent="0.25">
      <c r="A127" s="19" t="s">
        <v>55</v>
      </c>
      <c r="B127" s="19" t="s">
        <v>491</v>
      </c>
      <c r="C127" s="20" t="s">
        <v>492</v>
      </c>
      <c r="D127" s="20" t="s">
        <v>21</v>
      </c>
      <c r="E127" s="20" t="s">
        <v>21</v>
      </c>
      <c r="F127" s="19" t="s">
        <v>58</v>
      </c>
      <c r="G127" s="21"/>
      <c r="H127" s="21"/>
      <c r="I127" s="5"/>
      <c r="J127" s="5"/>
      <c r="K127" s="5"/>
      <c r="L127" s="52" t="s">
        <v>914</v>
      </c>
      <c r="M127" s="5"/>
      <c r="O127" s="52" t="s">
        <v>914</v>
      </c>
      <c r="P127" s="54" t="s">
        <v>914</v>
      </c>
      <c r="Q127" s="52" t="s">
        <v>914</v>
      </c>
      <c r="R127" s="52" t="s">
        <v>914</v>
      </c>
      <c r="S127" s="52" t="s">
        <v>914</v>
      </c>
      <c r="T127" s="5"/>
      <c r="U127" s="5"/>
      <c r="V127" s="52" t="s">
        <v>914</v>
      </c>
      <c r="W127" s="52" t="s">
        <v>914</v>
      </c>
      <c r="X127" s="52" t="s">
        <v>914</v>
      </c>
      <c r="Y127" s="52" t="s">
        <v>914</v>
      </c>
      <c r="Z127" s="53" t="s">
        <v>914</v>
      </c>
      <c r="AA127" s="5"/>
      <c r="AC127" s="53" t="s">
        <v>914</v>
      </c>
      <c r="AD127" s="52" t="s">
        <v>914</v>
      </c>
      <c r="AE127" s="53" t="s">
        <v>914</v>
      </c>
      <c r="AF127" s="53" t="s">
        <v>914</v>
      </c>
      <c r="AG127" s="52" t="s">
        <v>914</v>
      </c>
      <c r="AH127" s="5"/>
      <c r="AJ127" s="53" t="s">
        <v>914</v>
      </c>
      <c r="AK127" s="53" t="s">
        <v>914</v>
      </c>
      <c r="AL127" s="53" t="s">
        <v>914</v>
      </c>
      <c r="AM127" s="22">
        <f t="shared" si="11"/>
        <v>19</v>
      </c>
    </row>
    <row r="128" spans="1:39" ht="15.75" x14ac:dyDescent="0.25">
      <c r="A128" s="19" t="s">
        <v>55</v>
      </c>
      <c r="B128" s="19" t="s">
        <v>493</v>
      </c>
      <c r="C128" s="20" t="s">
        <v>494</v>
      </c>
      <c r="D128" s="20" t="s">
        <v>21</v>
      </c>
      <c r="E128" s="20" t="s">
        <v>21</v>
      </c>
      <c r="F128" s="19" t="s">
        <v>58</v>
      </c>
      <c r="G128" s="21"/>
      <c r="H128" s="21"/>
      <c r="I128" s="5"/>
      <c r="J128" s="5"/>
      <c r="K128" s="5"/>
      <c r="L128" s="5"/>
      <c r="M128" s="5"/>
      <c r="O128" s="52" t="s">
        <v>914</v>
      </c>
      <c r="P128" s="54" t="s">
        <v>914</v>
      </c>
      <c r="Q128" s="52" t="s">
        <v>914</v>
      </c>
      <c r="R128" s="52" t="s">
        <v>914</v>
      </c>
      <c r="S128" s="52" t="s">
        <v>914</v>
      </c>
      <c r="T128" s="5"/>
      <c r="U128" s="5"/>
      <c r="V128" s="52" t="s">
        <v>914</v>
      </c>
      <c r="W128" s="52" t="s">
        <v>914</v>
      </c>
      <c r="X128" s="52" t="s">
        <v>914</v>
      </c>
      <c r="Y128" s="52" t="s">
        <v>914</v>
      </c>
      <c r="Z128" s="53" t="s">
        <v>914</v>
      </c>
      <c r="AA128" s="5"/>
      <c r="AC128" s="53" t="s">
        <v>914</v>
      </c>
      <c r="AD128" s="52" t="s">
        <v>914</v>
      </c>
      <c r="AE128" s="53" t="s">
        <v>914</v>
      </c>
      <c r="AF128" s="53" t="s">
        <v>914</v>
      </c>
      <c r="AG128" s="5"/>
      <c r="AH128" s="5"/>
      <c r="AL128" s="53" t="s">
        <v>914</v>
      </c>
      <c r="AM128" s="22">
        <f t="shared" si="11"/>
        <v>15</v>
      </c>
    </row>
    <row r="129" spans="1:39" ht="15.75" x14ac:dyDescent="0.25">
      <c r="A129" s="19" t="s">
        <v>55</v>
      </c>
      <c r="B129" s="19" t="s">
        <v>495</v>
      </c>
      <c r="C129" s="20" t="s">
        <v>496</v>
      </c>
      <c r="D129" s="20" t="s">
        <v>21</v>
      </c>
      <c r="E129" s="20" t="s">
        <v>21</v>
      </c>
      <c r="F129" s="19" t="s">
        <v>58</v>
      </c>
      <c r="G129" s="21"/>
      <c r="H129" s="21"/>
      <c r="I129" s="5"/>
      <c r="J129" s="5"/>
      <c r="K129" s="5"/>
      <c r="L129" s="52" t="s">
        <v>914</v>
      </c>
      <c r="M129" s="5"/>
      <c r="O129" s="52" t="s">
        <v>914</v>
      </c>
      <c r="P129" s="54" t="s">
        <v>914</v>
      </c>
      <c r="Q129" s="52" t="s">
        <v>914</v>
      </c>
      <c r="R129" s="52" t="s">
        <v>914</v>
      </c>
      <c r="S129" s="52" t="s">
        <v>914</v>
      </c>
      <c r="T129" s="5"/>
      <c r="U129" s="5"/>
      <c r="V129" s="52" t="s">
        <v>914</v>
      </c>
      <c r="W129" s="52" t="s">
        <v>914</v>
      </c>
      <c r="X129" s="52" t="s">
        <v>914</v>
      </c>
      <c r="Y129" s="52" t="s">
        <v>914</v>
      </c>
      <c r="Z129" s="53" t="s">
        <v>914</v>
      </c>
      <c r="AA129" s="5"/>
      <c r="AC129" s="53" t="s">
        <v>914</v>
      </c>
      <c r="AD129" s="52" t="s">
        <v>914</v>
      </c>
      <c r="AE129" s="53" t="s">
        <v>914</v>
      </c>
      <c r="AG129" s="52" t="s">
        <v>914</v>
      </c>
      <c r="AH129" s="5"/>
      <c r="AJ129" s="53" t="s">
        <v>914</v>
      </c>
      <c r="AK129" s="53" t="s">
        <v>914</v>
      </c>
      <c r="AL129" s="53" t="s">
        <v>914</v>
      </c>
      <c r="AM129" s="22">
        <f t="shared" si="11"/>
        <v>18</v>
      </c>
    </row>
    <row r="130" spans="1:39" ht="15.75" x14ac:dyDescent="0.25">
      <c r="A130" s="19" t="s">
        <v>55</v>
      </c>
      <c r="B130" s="19" t="s">
        <v>497</v>
      </c>
      <c r="C130" s="20" t="s">
        <v>374</v>
      </c>
      <c r="D130" s="20" t="s">
        <v>23</v>
      </c>
      <c r="E130" s="20" t="s">
        <v>23</v>
      </c>
      <c r="F130" s="19" t="s">
        <v>58</v>
      </c>
      <c r="G130" s="21"/>
      <c r="H130" s="21"/>
      <c r="I130" s="5"/>
      <c r="J130" s="5"/>
      <c r="K130" s="5"/>
      <c r="L130" s="5"/>
      <c r="M130" s="5"/>
      <c r="O130" s="5"/>
      <c r="P130" s="54"/>
      <c r="Q130" s="5"/>
      <c r="R130" s="5"/>
      <c r="S130" s="5"/>
      <c r="T130" s="5"/>
      <c r="U130" s="5"/>
      <c r="V130" s="5"/>
      <c r="W130" s="5"/>
      <c r="X130" s="5"/>
      <c r="Y130" s="5"/>
      <c r="AC130" s="53" t="s">
        <v>915</v>
      </c>
      <c r="AD130" s="53" t="s">
        <v>915</v>
      </c>
      <c r="AE130" s="53" t="s">
        <v>915</v>
      </c>
      <c r="AF130" s="53" t="s">
        <v>915</v>
      </c>
      <c r="AH130" s="52" t="s">
        <v>915</v>
      </c>
      <c r="AJ130" s="53" t="s">
        <v>915</v>
      </c>
      <c r="AK130" s="53" t="s">
        <v>915</v>
      </c>
      <c r="AL130" s="53" t="s">
        <v>914</v>
      </c>
      <c r="AM130" s="22">
        <f t="shared" si="11"/>
        <v>8</v>
      </c>
    </row>
    <row r="131" spans="1:39" ht="15.75" x14ac:dyDescent="0.25">
      <c r="A131" s="19" t="s">
        <v>55</v>
      </c>
      <c r="B131" s="19" t="s">
        <v>498</v>
      </c>
      <c r="C131" s="20" t="s">
        <v>499</v>
      </c>
      <c r="D131" s="20" t="s">
        <v>21</v>
      </c>
      <c r="E131" s="20" t="s">
        <v>21</v>
      </c>
      <c r="F131" s="19" t="s">
        <v>58</v>
      </c>
      <c r="G131" s="21"/>
      <c r="H131" s="21"/>
      <c r="I131" s="5"/>
      <c r="J131" s="5"/>
      <c r="K131" s="5"/>
      <c r="L131" s="52" t="s">
        <v>914</v>
      </c>
      <c r="M131" s="5"/>
      <c r="O131" s="52" t="s">
        <v>914</v>
      </c>
      <c r="P131" s="54"/>
      <c r="Q131" s="5"/>
      <c r="R131" s="5"/>
      <c r="S131" s="5"/>
      <c r="T131" s="5"/>
      <c r="U131" s="5"/>
      <c r="V131" s="5"/>
      <c r="W131" s="5"/>
      <c r="X131" s="5"/>
      <c r="Y131" s="52" t="s">
        <v>914</v>
      </c>
      <c r="AA131" s="5"/>
      <c r="AD131" s="5"/>
      <c r="AF131" s="53" t="s">
        <v>914</v>
      </c>
      <c r="AG131" s="5"/>
      <c r="AH131" s="5"/>
      <c r="AM131" s="22">
        <f t="shared" si="11"/>
        <v>4</v>
      </c>
    </row>
    <row r="132" spans="1:39" ht="15.75" x14ac:dyDescent="0.25">
      <c r="A132" s="19" t="s">
        <v>55</v>
      </c>
      <c r="B132" s="19" t="s">
        <v>780</v>
      </c>
      <c r="C132" s="20" t="s">
        <v>781</v>
      </c>
      <c r="D132" s="20" t="s">
        <v>21</v>
      </c>
      <c r="E132" s="20" t="s">
        <v>21</v>
      </c>
      <c r="F132" s="19" t="s">
        <v>58</v>
      </c>
      <c r="G132" s="21"/>
      <c r="H132" s="21"/>
      <c r="I132" s="5"/>
      <c r="J132" s="5"/>
      <c r="K132" s="5"/>
      <c r="L132" s="52" t="s">
        <v>914</v>
      </c>
      <c r="M132" s="5"/>
      <c r="N132" s="5"/>
      <c r="O132" s="52" t="s">
        <v>914</v>
      </c>
      <c r="P132" s="54" t="s">
        <v>914</v>
      </c>
      <c r="Q132" s="52" t="s">
        <v>914</v>
      </c>
      <c r="R132" s="52" t="s">
        <v>914</v>
      </c>
      <c r="S132" s="5"/>
      <c r="T132" s="5"/>
      <c r="U132" s="5"/>
      <c r="V132" s="52" t="s">
        <v>914</v>
      </c>
      <c r="W132" s="52" t="s">
        <v>914</v>
      </c>
      <c r="X132" s="52" t="s">
        <v>914</v>
      </c>
      <c r="Y132" s="52" t="s">
        <v>914</v>
      </c>
      <c r="Z132" s="53" t="s">
        <v>914</v>
      </c>
      <c r="AA132" s="5"/>
      <c r="AC132" s="53" t="s">
        <v>914</v>
      </c>
      <c r="AD132" s="52" t="s">
        <v>914</v>
      </c>
      <c r="AE132" s="53" t="s">
        <v>914</v>
      </c>
      <c r="AF132" s="53" t="s">
        <v>914</v>
      </c>
      <c r="AG132" s="52" t="s">
        <v>914</v>
      </c>
      <c r="AH132" s="5"/>
      <c r="AJ132" s="53" t="s">
        <v>914</v>
      </c>
      <c r="AK132" s="53" t="s">
        <v>914</v>
      </c>
      <c r="AL132" s="53" t="s">
        <v>914</v>
      </c>
      <c r="AM132" s="22">
        <f t="shared" si="11"/>
        <v>18</v>
      </c>
    </row>
    <row r="133" spans="1:39" ht="15.75" x14ac:dyDescent="0.25">
      <c r="A133" s="19" t="s">
        <v>55</v>
      </c>
      <c r="B133" s="19" t="s">
        <v>500</v>
      </c>
      <c r="C133" s="20" t="s">
        <v>501</v>
      </c>
      <c r="D133" s="20" t="s">
        <v>8</v>
      </c>
      <c r="E133" s="20" t="s">
        <v>8</v>
      </c>
      <c r="F133" s="19" t="s">
        <v>58</v>
      </c>
      <c r="G133" s="21"/>
      <c r="H133" s="21"/>
      <c r="I133" s="5"/>
      <c r="J133" s="5"/>
      <c r="K133" s="5"/>
      <c r="L133" s="5"/>
      <c r="M133" s="52" t="s">
        <v>914</v>
      </c>
      <c r="O133" s="5"/>
      <c r="P133" s="54" t="s">
        <v>914</v>
      </c>
      <c r="Q133" s="52" t="s">
        <v>914</v>
      </c>
      <c r="R133" s="52" t="s">
        <v>914</v>
      </c>
      <c r="S133" s="5"/>
      <c r="T133" s="5"/>
      <c r="U133" s="5"/>
      <c r="V133" s="5"/>
      <c r="W133" s="52" t="s">
        <v>914</v>
      </c>
      <c r="X133" s="5"/>
      <c r="Y133" s="5"/>
      <c r="AA133" s="53" t="s">
        <v>914</v>
      </c>
      <c r="AD133" s="53" t="s">
        <v>914</v>
      </c>
      <c r="AF133" s="53" t="s">
        <v>914</v>
      </c>
      <c r="AG133" s="5"/>
      <c r="AH133" s="52" t="s">
        <v>914</v>
      </c>
      <c r="AK133" s="53" t="s">
        <v>914</v>
      </c>
      <c r="AM133" s="22">
        <f t="shared" si="11"/>
        <v>10</v>
      </c>
    </row>
    <row r="134" spans="1:39" ht="15.75" x14ac:dyDescent="0.25">
      <c r="A134" s="19" t="s">
        <v>55</v>
      </c>
      <c r="B134" s="19" t="s">
        <v>502</v>
      </c>
      <c r="C134" s="20" t="s">
        <v>503</v>
      </c>
      <c r="D134" s="20" t="s">
        <v>14</v>
      </c>
      <c r="E134" s="20" t="s">
        <v>14</v>
      </c>
      <c r="F134" s="19" t="s">
        <v>58</v>
      </c>
      <c r="G134" s="21"/>
      <c r="H134" s="21"/>
      <c r="I134" s="5" t="s">
        <v>914</v>
      </c>
      <c r="J134" s="5"/>
      <c r="K134" s="5"/>
      <c r="L134" s="52" t="s">
        <v>914</v>
      </c>
      <c r="M134" s="52" t="s">
        <v>914</v>
      </c>
      <c r="O134" s="52" t="s">
        <v>914</v>
      </c>
      <c r="P134" s="54" t="s">
        <v>914</v>
      </c>
      <c r="Q134" s="53" t="s">
        <v>914</v>
      </c>
      <c r="R134" s="52" t="s">
        <v>914</v>
      </c>
      <c r="S134" s="52" t="s">
        <v>914</v>
      </c>
      <c r="T134" s="52" t="s">
        <v>914</v>
      </c>
      <c r="U134" s="5"/>
      <c r="V134" s="52" t="s">
        <v>914</v>
      </c>
      <c r="W134" s="52" t="s">
        <v>914</v>
      </c>
      <c r="X134" s="52" t="s">
        <v>914</v>
      </c>
      <c r="Y134" s="52" t="s">
        <v>914</v>
      </c>
      <c r="Z134" s="53" t="s">
        <v>914</v>
      </c>
      <c r="AA134" s="53" t="s">
        <v>914</v>
      </c>
      <c r="AD134" s="52" t="s">
        <v>914</v>
      </c>
      <c r="AE134" s="53" t="s">
        <v>914</v>
      </c>
      <c r="AF134" s="53" t="s">
        <v>914</v>
      </c>
      <c r="AG134" s="52" t="s">
        <v>914</v>
      </c>
      <c r="AH134" s="52" t="s">
        <v>914</v>
      </c>
      <c r="AJ134" s="53" t="s">
        <v>914</v>
      </c>
      <c r="AK134" s="53" t="s">
        <v>914</v>
      </c>
      <c r="AL134" s="53" t="s">
        <v>914</v>
      </c>
      <c r="AM134" s="22">
        <f t="shared" si="11"/>
        <v>23</v>
      </c>
    </row>
    <row r="135" spans="1:39" ht="15.75" x14ac:dyDescent="0.25">
      <c r="A135" s="19" t="s">
        <v>55</v>
      </c>
      <c r="B135" s="19" t="s">
        <v>504</v>
      </c>
      <c r="C135" s="20" t="s">
        <v>505</v>
      </c>
      <c r="D135" s="20" t="s">
        <v>8</v>
      </c>
      <c r="E135" s="20" t="s">
        <v>8</v>
      </c>
      <c r="F135" s="19" t="s">
        <v>58</v>
      </c>
      <c r="G135" s="21"/>
      <c r="H135" s="21"/>
      <c r="I135" s="5"/>
      <c r="J135" s="5"/>
      <c r="K135" s="5"/>
      <c r="L135" s="5"/>
      <c r="M135" s="5"/>
      <c r="O135" s="5"/>
      <c r="P135" s="54"/>
      <c r="Q135" s="5"/>
      <c r="R135" s="5"/>
      <c r="S135" s="5"/>
      <c r="T135" s="5"/>
      <c r="U135" s="5"/>
      <c r="V135" s="5"/>
      <c r="W135" s="5"/>
      <c r="X135" s="52" t="s">
        <v>914</v>
      </c>
      <c r="Y135" s="5"/>
      <c r="AA135" s="5"/>
      <c r="AD135" s="5"/>
      <c r="AH135" s="5"/>
      <c r="AI135" s="53"/>
      <c r="AM135" s="22">
        <f t="shared" si="11"/>
        <v>1</v>
      </c>
    </row>
    <row r="136" spans="1:39" ht="15.75" x14ac:dyDescent="0.25">
      <c r="A136" s="19" t="s">
        <v>55</v>
      </c>
      <c r="B136" s="19" t="s">
        <v>506</v>
      </c>
      <c r="C136" s="20" t="s">
        <v>507</v>
      </c>
      <c r="D136" s="20" t="s">
        <v>10</v>
      </c>
      <c r="E136" s="20" t="s">
        <v>10</v>
      </c>
      <c r="F136" s="19" t="s">
        <v>58</v>
      </c>
      <c r="G136" s="21"/>
      <c r="H136" s="21"/>
      <c r="I136" s="5"/>
      <c r="J136" s="5"/>
      <c r="K136" s="5"/>
      <c r="L136" s="52" t="s">
        <v>914</v>
      </c>
      <c r="M136" s="5"/>
      <c r="O136" s="5"/>
      <c r="P136" s="54"/>
      <c r="Q136" s="5"/>
      <c r="R136" s="5"/>
      <c r="S136" s="5"/>
      <c r="T136" s="5"/>
      <c r="U136" s="5"/>
      <c r="V136" s="5"/>
      <c r="W136" s="5"/>
      <c r="X136" s="5"/>
      <c r="Y136" s="5"/>
      <c r="AA136" s="5"/>
      <c r="AD136" s="53" t="s">
        <v>914</v>
      </c>
      <c r="AH136" s="5"/>
      <c r="AM136" s="22">
        <f t="shared" si="11"/>
        <v>2</v>
      </c>
    </row>
    <row r="137" spans="1:39" ht="15.75" x14ac:dyDescent="0.25">
      <c r="A137" s="19" t="s">
        <v>55</v>
      </c>
      <c r="B137" s="19" t="s">
        <v>510</v>
      </c>
      <c r="C137" s="20" t="s">
        <v>514</v>
      </c>
      <c r="D137" s="20" t="s">
        <v>10</v>
      </c>
      <c r="E137" s="20" t="s">
        <v>10</v>
      </c>
      <c r="F137" s="19" t="s">
        <v>58</v>
      </c>
      <c r="G137" s="21"/>
      <c r="H137" s="21"/>
      <c r="I137" s="5"/>
      <c r="J137" s="5"/>
      <c r="K137" s="5"/>
      <c r="L137" s="5"/>
      <c r="M137" s="5"/>
      <c r="O137" s="5"/>
      <c r="P137" s="54"/>
      <c r="Q137" s="54" t="s">
        <v>914</v>
      </c>
      <c r="R137" s="52" t="s">
        <v>914</v>
      </c>
      <c r="S137" s="52" t="s">
        <v>914</v>
      </c>
      <c r="T137" s="5"/>
      <c r="U137" s="5"/>
      <c r="V137" s="5"/>
      <c r="W137" s="52" t="s">
        <v>914</v>
      </c>
      <c r="X137" s="52" t="s">
        <v>914</v>
      </c>
      <c r="Y137" s="5"/>
      <c r="AD137" s="52" t="s">
        <v>914</v>
      </c>
      <c r="AH137" s="5"/>
      <c r="AJ137" s="53" t="s">
        <v>914</v>
      </c>
      <c r="AL137" s="53" t="s">
        <v>914</v>
      </c>
      <c r="AM137" s="22">
        <f t="shared" si="11"/>
        <v>8</v>
      </c>
    </row>
    <row r="138" spans="1:39" ht="15.75" x14ac:dyDescent="0.25">
      <c r="A138" s="19" t="s">
        <v>55</v>
      </c>
      <c r="B138" s="19" t="s">
        <v>511</v>
      </c>
      <c r="C138" s="20" t="s">
        <v>512</v>
      </c>
      <c r="D138" s="20" t="s">
        <v>10</v>
      </c>
      <c r="E138" s="20" t="s">
        <v>10</v>
      </c>
      <c r="F138" s="19" t="s">
        <v>58</v>
      </c>
      <c r="G138" s="21"/>
      <c r="H138" s="21"/>
      <c r="I138" s="5"/>
      <c r="J138" s="5"/>
      <c r="K138" s="5"/>
      <c r="L138" s="52" t="s">
        <v>914</v>
      </c>
      <c r="M138" s="5"/>
      <c r="O138" s="52" t="s">
        <v>914</v>
      </c>
      <c r="P138" s="54"/>
      <c r="Q138" s="54" t="s">
        <v>914</v>
      </c>
      <c r="R138" s="52" t="s">
        <v>914</v>
      </c>
      <c r="S138" s="52" t="s">
        <v>914</v>
      </c>
      <c r="T138" s="5"/>
      <c r="U138" s="5"/>
      <c r="V138" s="5"/>
      <c r="W138" s="52" t="s">
        <v>914</v>
      </c>
      <c r="X138" s="52" t="s">
        <v>914</v>
      </c>
      <c r="Y138" s="5"/>
      <c r="AD138" s="5"/>
      <c r="AG138" s="5"/>
      <c r="AH138" s="5"/>
      <c r="AJ138" s="53" t="s">
        <v>914</v>
      </c>
      <c r="AM138" s="22">
        <f t="shared" si="11"/>
        <v>8</v>
      </c>
    </row>
    <row r="139" spans="1:39" ht="15.75" x14ac:dyDescent="0.25">
      <c r="A139" s="19" t="s">
        <v>55</v>
      </c>
      <c r="B139" s="19" t="s">
        <v>513</v>
      </c>
      <c r="C139" s="20" t="s">
        <v>880</v>
      </c>
      <c r="D139" s="20" t="s">
        <v>10</v>
      </c>
      <c r="E139" s="20" t="s">
        <v>10</v>
      </c>
      <c r="F139" s="19" t="s">
        <v>58</v>
      </c>
      <c r="G139" s="21"/>
      <c r="H139" s="21"/>
      <c r="I139" s="5"/>
      <c r="J139" s="5"/>
      <c r="K139" s="5"/>
      <c r="L139" s="52" t="s">
        <v>914</v>
      </c>
      <c r="M139" s="5"/>
      <c r="O139" s="52" t="s">
        <v>914</v>
      </c>
      <c r="P139" s="54" t="s">
        <v>914</v>
      </c>
      <c r="Q139" s="54" t="s">
        <v>914</v>
      </c>
      <c r="R139" s="52" t="s">
        <v>914</v>
      </c>
      <c r="S139" s="5"/>
      <c r="T139" s="5"/>
      <c r="U139" s="5"/>
      <c r="V139" s="5"/>
      <c r="W139" s="5"/>
      <c r="X139" s="52" t="s">
        <v>914</v>
      </c>
      <c r="Y139" s="5"/>
      <c r="AD139" s="5"/>
      <c r="AF139" s="53" t="s">
        <v>914</v>
      </c>
      <c r="AH139" s="5"/>
      <c r="AM139" s="22">
        <f t="shared" si="11"/>
        <v>7</v>
      </c>
    </row>
    <row r="140" spans="1:39" ht="15.75" x14ac:dyDescent="0.25">
      <c r="A140" s="19" t="s">
        <v>55</v>
      </c>
      <c r="B140" s="19" t="s">
        <v>515</v>
      </c>
      <c r="C140" s="20" t="s">
        <v>516</v>
      </c>
      <c r="D140" s="20" t="s">
        <v>10</v>
      </c>
      <c r="E140" s="20" t="s">
        <v>10</v>
      </c>
      <c r="F140" s="19" t="s">
        <v>58</v>
      </c>
      <c r="G140" s="21"/>
      <c r="H140" s="21"/>
      <c r="I140" s="5"/>
      <c r="J140" s="5"/>
      <c r="K140" s="5"/>
      <c r="L140" s="5"/>
      <c r="M140" s="5"/>
      <c r="O140" s="52" t="s">
        <v>914</v>
      </c>
      <c r="P140" s="54"/>
      <c r="Q140" s="5"/>
      <c r="R140" s="5"/>
      <c r="S140" s="5"/>
      <c r="T140" s="5"/>
      <c r="U140" s="5"/>
      <c r="V140" s="5"/>
      <c r="W140" s="5"/>
      <c r="X140" s="5"/>
      <c r="Y140" s="5"/>
      <c r="AG140" s="5"/>
      <c r="AH140" s="5"/>
      <c r="AM140" s="22">
        <f t="shared" si="11"/>
        <v>1</v>
      </c>
    </row>
    <row r="141" spans="1:39" ht="15.75" x14ac:dyDescent="0.25">
      <c r="A141" s="19" t="s">
        <v>55</v>
      </c>
      <c r="B141" s="19" t="s">
        <v>517</v>
      </c>
      <c r="C141" s="20" t="s">
        <v>518</v>
      </c>
      <c r="D141" s="20" t="s">
        <v>10</v>
      </c>
      <c r="E141" s="20" t="s">
        <v>10</v>
      </c>
      <c r="F141" s="19" t="s">
        <v>58</v>
      </c>
      <c r="G141" s="21"/>
      <c r="H141" s="21"/>
      <c r="I141" s="5"/>
      <c r="J141" s="5"/>
      <c r="K141" s="5"/>
      <c r="L141" s="52" t="s">
        <v>914</v>
      </c>
      <c r="M141" s="5"/>
      <c r="O141" s="52" t="s">
        <v>914</v>
      </c>
      <c r="P141" s="54" t="s">
        <v>914</v>
      </c>
      <c r="Q141" s="54" t="s">
        <v>914</v>
      </c>
      <c r="R141" s="52" t="s">
        <v>914</v>
      </c>
      <c r="S141" s="52" t="s">
        <v>914</v>
      </c>
      <c r="T141" s="5"/>
      <c r="U141" s="5"/>
      <c r="V141" s="5"/>
      <c r="W141" s="52" t="s">
        <v>914</v>
      </c>
      <c r="X141" s="52" t="s">
        <v>914</v>
      </c>
      <c r="Y141" s="5"/>
      <c r="AD141" s="5"/>
      <c r="AE141" s="53" t="s">
        <v>914</v>
      </c>
      <c r="AH141" s="5"/>
      <c r="AK141" s="53" t="s">
        <v>914</v>
      </c>
      <c r="AL141" s="53" t="s">
        <v>914</v>
      </c>
      <c r="AM141" s="22">
        <f t="shared" si="11"/>
        <v>11</v>
      </c>
    </row>
    <row r="142" spans="1:39" ht="15.75" x14ac:dyDescent="0.25">
      <c r="A142" s="19" t="s">
        <v>55</v>
      </c>
      <c r="B142" s="19" t="s">
        <v>519</v>
      </c>
      <c r="C142" s="20" t="s">
        <v>520</v>
      </c>
      <c r="D142" s="20" t="s">
        <v>14</v>
      </c>
      <c r="E142" s="20" t="s">
        <v>14</v>
      </c>
      <c r="F142" s="19" t="s">
        <v>58</v>
      </c>
      <c r="G142" s="21"/>
      <c r="H142" s="21"/>
      <c r="I142" s="5" t="s">
        <v>914</v>
      </c>
      <c r="J142" s="5"/>
      <c r="K142" s="5"/>
      <c r="L142" s="52" t="s">
        <v>914</v>
      </c>
      <c r="M142" s="52" t="s">
        <v>914</v>
      </c>
      <c r="N142" s="5"/>
      <c r="O142" s="52" t="s">
        <v>914</v>
      </c>
      <c r="P142" s="54" t="s">
        <v>914</v>
      </c>
      <c r="Q142" s="53" t="s">
        <v>914</v>
      </c>
      <c r="R142" s="52" t="s">
        <v>914</v>
      </c>
      <c r="S142" s="52" t="s">
        <v>914</v>
      </c>
      <c r="T142" s="52" t="s">
        <v>914</v>
      </c>
      <c r="U142" s="5"/>
      <c r="V142" s="52" t="s">
        <v>914</v>
      </c>
      <c r="W142" s="52" t="s">
        <v>914</v>
      </c>
      <c r="X142" s="52" t="s">
        <v>914</v>
      </c>
      <c r="Y142" s="52" t="s">
        <v>914</v>
      </c>
      <c r="Z142" s="53" t="s">
        <v>914</v>
      </c>
      <c r="AA142" s="53" t="s">
        <v>914</v>
      </c>
      <c r="AB142" s="5"/>
      <c r="AD142" s="52" t="s">
        <v>914</v>
      </c>
      <c r="AE142" s="53" t="s">
        <v>914</v>
      </c>
      <c r="AF142" s="53" t="s">
        <v>914</v>
      </c>
      <c r="AG142" s="52" t="s">
        <v>914</v>
      </c>
      <c r="AH142" s="52" t="s">
        <v>914</v>
      </c>
      <c r="AJ142" s="53" t="s">
        <v>914</v>
      </c>
      <c r="AK142" s="53" t="s">
        <v>914</v>
      </c>
      <c r="AL142" s="53" t="s">
        <v>914</v>
      </c>
      <c r="AM142" s="22">
        <f t="shared" si="11"/>
        <v>23</v>
      </c>
    </row>
    <row r="143" spans="1:39" ht="15.75" x14ac:dyDescent="0.25">
      <c r="A143" s="19" t="s">
        <v>55</v>
      </c>
      <c r="B143" s="19" t="s">
        <v>521</v>
      </c>
      <c r="C143" s="20" t="s">
        <v>522</v>
      </c>
      <c r="D143" s="20" t="s">
        <v>21</v>
      </c>
      <c r="E143" s="20" t="s">
        <v>21</v>
      </c>
      <c r="F143" s="19" t="s">
        <v>58</v>
      </c>
      <c r="G143" s="21"/>
      <c r="H143" s="21"/>
      <c r="I143" s="5"/>
      <c r="J143" s="5"/>
      <c r="K143" s="5"/>
      <c r="L143" s="52" t="s">
        <v>914</v>
      </c>
      <c r="M143" s="5"/>
      <c r="O143" s="52" t="s">
        <v>914</v>
      </c>
      <c r="P143" s="54" t="s">
        <v>914</v>
      </c>
      <c r="Q143" s="52" t="s">
        <v>914</v>
      </c>
      <c r="R143" s="52" t="s">
        <v>914</v>
      </c>
      <c r="S143" s="52" t="s">
        <v>914</v>
      </c>
      <c r="T143" s="5"/>
      <c r="U143" s="5"/>
      <c r="V143" s="52" t="s">
        <v>914</v>
      </c>
      <c r="W143" s="52" t="s">
        <v>914</v>
      </c>
      <c r="X143" s="52" t="s">
        <v>914</v>
      </c>
      <c r="Y143" s="52" t="s">
        <v>914</v>
      </c>
      <c r="Z143" s="53" t="s">
        <v>914</v>
      </c>
      <c r="AA143" s="5"/>
      <c r="AD143" s="5"/>
      <c r="AE143" s="53" t="s">
        <v>914</v>
      </c>
      <c r="AF143" s="53" t="s">
        <v>914</v>
      </c>
      <c r="AG143" s="52" t="s">
        <v>914</v>
      </c>
      <c r="AH143" s="5"/>
      <c r="AJ143" s="53" t="s">
        <v>914</v>
      </c>
      <c r="AK143" s="53" t="s">
        <v>914</v>
      </c>
      <c r="AL143" s="53" t="s">
        <v>914</v>
      </c>
      <c r="AM143" s="22">
        <f t="shared" si="11"/>
        <v>17</v>
      </c>
    </row>
    <row r="144" spans="1:39" ht="15.75" x14ac:dyDescent="0.25">
      <c r="A144" s="19" t="s">
        <v>55</v>
      </c>
      <c r="B144" s="19" t="s">
        <v>527</v>
      </c>
      <c r="C144" s="20" t="s">
        <v>528</v>
      </c>
      <c r="D144" s="20" t="s">
        <v>11</v>
      </c>
      <c r="E144" s="20" t="s">
        <v>11</v>
      </c>
      <c r="F144" s="19" t="s">
        <v>58</v>
      </c>
      <c r="G144" s="21"/>
      <c r="H144" s="21"/>
      <c r="I144" s="5"/>
      <c r="J144" s="5"/>
      <c r="K144" s="5"/>
      <c r="L144" s="5"/>
      <c r="M144" s="5"/>
      <c r="O144" s="5"/>
      <c r="P144" s="54"/>
      <c r="Q144" s="5"/>
      <c r="R144" s="5"/>
      <c r="S144" s="5"/>
      <c r="T144" s="5"/>
      <c r="U144" s="5"/>
      <c r="V144" s="5"/>
      <c r="W144" s="52" t="s">
        <v>914</v>
      </c>
      <c r="X144" s="52" t="s">
        <v>914</v>
      </c>
      <c r="Y144" s="52" t="s">
        <v>914</v>
      </c>
      <c r="AC144" s="53" t="s">
        <v>914</v>
      </c>
      <c r="AD144" s="52" t="s">
        <v>914</v>
      </c>
      <c r="AE144" s="53" t="s">
        <v>914</v>
      </c>
      <c r="AF144" s="53" t="s">
        <v>914</v>
      </c>
      <c r="AH144" s="5"/>
      <c r="AJ144" s="53" t="s">
        <v>914</v>
      </c>
      <c r="AK144" s="53" t="s">
        <v>914</v>
      </c>
      <c r="AM144" s="22">
        <f t="shared" ref="AM144:AM207" si="12">COUNTA(I144:AL144)</f>
        <v>9</v>
      </c>
    </row>
    <row r="145" spans="1:39" ht="15.75" x14ac:dyDescent="0.25">
      <c r="A145" s="19" t="s">
        <v>55</v>
      </c>
      <c r="B145" s="19" t="s">
        <v>537</v>
      </c>
      <c r="C145" s="20" t="s">
        <v>538</v>
      </c>
      <c r="D145" s="20" t="s">
        <v>21</v>
      </c>
      <c r="E145" s="20" t="s">
        <v>21</v>
      </c>
      <c r="F145" s="19" t="s">
        <v>58</v>
      </c>
      <c r="G145" s="21"/>
      <c r="H145" s="21"/>
      <c r="I145" s="5"/>
      <c r="J145" s="5"/>
      <c r="K145" s="5"/>
      <c r="L145" s="52" t="s">
        <v>914</v>
      </c>
      <c r="M145" s="5"/>
      <c r="O145" s="52" t="s">
        <v>914</v>
      </c>
      <c r="P145" s="54" t="s">
        <v>914</v>
      </c>
      <c r="Q145" s="52" t="s">
        <v>914</v>
      </c>
      <c r="R145" s="52" t="s">
        <v>914</v>
      </c>
      <c r="S145" s="52" t="s">
        <v>914</v>
      </c>
      <c r="T145" s="5"/>
      <c r="U145" s="5"/>
      <c r="V145" s="52" t="s">
        <v>914</v>
      </c>
      <c r="W145" s="52" t="s">
        <v>914</v>
      </c>
      <c r="X145" s="52" t="s">
        <v>914</v>
      </c>
      <c r="Y145" s="52" t="s">
        <v>914</v>
      </c>
      <c r="Z145" s="53" t="s">
        <v>914</v>
      </c>
      <c r="AA145" s="5"/>
      <c r="AC145" s="53" t="s">
        <v>914</v>
      </c>
      <c r="AD145" s="52" t="s">
        <v>914</v>
      </c>
      <c r="AE145" s="53" t="s">
        <v>914</v>
      </c>
      <c r="AF145" s="53" t="s">
        <v>914</v>
      </c>
      <c r="AG145" s="52" t="s">
        <v>914</v>
      </c>
      <c r="AH145" s="5"/>
      <c r="AJ145" s="53" t="s">
        <v>914</v>
      </c>
      <c r="AK145" s="53" t="s">
        <v>914</v>
      </c>
      <c r="AL145" s="53" t="s">
        <v>914</v>
      </c>
      <c r="AM145" s="22">
        <f t="shared" si="12"/>
        <v>19</v>
      </c>
    </row>
    <row r="146" spans="1:39" ht="15.75" x14ac:dyDescent="0.25">
      <c r="A146" s="19" t="s">
        <v>55</v>
      </c>
      <c r="B146" s="19" t="s">
        <v>539</v>
      </c>
      <c r="C146" s="20" t="s">
        <v>540</v>
      </c>
      <c r="D146" s="20" t="s">
        <v>21</v>
      </c>
      <c r="E146" s="20" t="s">
        <v>21</v>
      </c>
      <c r="F146" s="19" t="s">
        <v>58</v>
      </c>
      <c r="G146" s="21"/>
      <c r="H146" s="21"/>
      <c r="I146" s="5"/>
      <c r="J146" s="5"/>
      <c r="K146" s="5"/>
      <c r="L146" s="52" t="s">
        <v>914</v>
      </c>
      <c r="M146" s="5"/>
      <c r="O146" s="52" t="s">
        <v>914</v>
      </c>
      <c r="P146" s="54" t="s">
        <v>914</v>
      </c>
      <c r="Q146" s="52" t="s">
        <v>914</v>
      </c>
      <c r="R146" s="52" t="s">
        <v>914</v>
      </c>
      <c r="S146" s="52" t="s">
        <v>914</v>
      </c>
      <c r="T146" s="5"/>
      <c r="U146" s="5"/>
      <c r="V146" s="52" t="s">
        <v>914</v>
      </c>
      <c r="W146" s="52" t="s">
        <v>914</v>
      </c>
      <c r="X146" s="52" t="s">
        <v>914</v>
      </c>
      <c r="Y146" s="52" t="s">
        <v>914</v>
      </c>
      <c r="Z146" s="53" t="s">
        <v>914</v>
      </c>
      <c r="AA146" s="5"/>
      <c r="AC146" s="53" t="s">
        <v>914</v>
      </c>
      <c r="AD146" s="52" t="s">
        <v>914</v>
      </c>
      <c r="AE146" s="53" t="s">
        <v>914</v>
      </c>
      <c r="AF146" s="53" t="s">
        <v>914</v>
      </c>
      <c r="AG146" s="52" t="s">
        <v>914</v>
      </c>
      <c r="AH146" s="5"/>
      <c r="AJ146" s="53" t="s">
        <v>914</v>
      </c>
      <c r="AK146" s="53" t="s">
        <v>914</v>
      </c>
      <c r="AL146" s="53" t="s">
        <v>914</v>
      </c>
      <c r="AM146" s="22">
        <f t="shared" si="12"/>
        <v>19</v>
      </c>
    </row>
    <row r="147" spans="1:39" ht="15.75" x14ac:dyDescent="0.25">
      <c r="A147" s="19" t="s">
        <v>55</v>
      </c>
      <c r="B147" s="19" t="s">
        <v>541</v>
      </c>
      <c r="C147" s="20" t="s">
        <v>542</v>
      </c>
      <c r="D147" s="20" t="s">
        <v>21</v>
      </c>
      <c r="E147" s="20" t="s">
        <v>21</v>
      </c>
      <c r="F147" s="19" t="s">
        <v>58</v>
      </c>
      <c r="G147" s="21"/>
      <c r="H147" s="21"/>
      <c r="I147" s="5"/>
      <c r="J147" s="5"/>
      <c r="K147" s="5"/>
      <c r="L147" s="52" t="s">
        <v>914</v>
      </c>
      <c r="M147" s="5"/>
      <c r="O147" s="52" t="s">
        <v>914</v>
      </c>
      <c r="P147" s="54" t="s">
        <v>914</v>
      </c>
      <c r="Q147" s="52" t="s">
        <v>914</v>
      </c>
      <c r="R147" s="52" t="s">
        <v>914</v>
      </c>
      <c r="S147" s="52" t="s">
        <v>914</v>
      </c>
      <c r="T147" s="5"/>
      <c r="U147" s="5"/>
      <c r="V147" s="52" t="s">
        <v>914</v>
      </c>
      <c r="W147" s="52" t="s">
        <v>914</v>
      </c>
      <c r="X147" s="52" t="s">
        <v>914</v>
      </c>
      <c r="Y147" s="52" t="s">
        <v>914</v>
      </c>
      <c r="Z147" s="53" t="s">
        <v>914</v>
      </c>
      <c r="AA147" s="5"/>
      <c r="AC147" s="53" t="s">
        <v>914</v>
      </c>
      <c r="AD147" s="52" t="s">
        <v>914</v>
      </c>
      <c r="AE147" s="53" t="s">
        <v>914</v>
      </c>
      <c r="AF147" s="53" t="s">
        <v>914</v>
      </c>
      <c r="AG147" s="52" t="s">
        <v>914</v>
      </c>
      <c r="AH147" s="5"/>
      <c r="AJ147" s="53" t="s">
        <v>914</v>
      </c>
      <c r="AK147" s="53" t="s">
        <v>914</v>
      </c>
      <c r="AL147" s="53" t="s">
        <v>914</v>
      </c>
      <c r="AM147" s="22">
        <f t="shared" si="12"/>
        <v>19</v>
      </c>
    </row>
    <row r="148" spans="1:39" ht="15.75" x14ac:dyDescent="0.25">
      <c r="A148" s="19" t="s">
        <v>55</v>
      </c>
      <c r="B148" s="19" t="s">
        <v>543</v>
      </c>
      <c r="C148" s="20" t="s">
        <v>544</v>
      </c>
      <c r="D148" s="20" t="s">
        <v>21</v>
      </c>
      <c r="E148" s="20" t="s">
        <v>21</v>
      </c>
      <c r="F148" s="19" t="s">
        <v>58</v>
      </c>
      <c r="G148" s="21"/>
      <c r="H148" s="21"/>
      <c r="I148" s="5"/>
      <c r="J148" s="5"/>
      <c r="K148" s="5"/>
      <c r="L148" s="52" t="s">
        <v>914</v>
      </c>
      <c r="M148" s="5"/>
      <c r="O148" s="52" t="s">
        <v>914</v>
      </c>
      <c r="P148" s="54" t="s">
        <v>914</v>
      </c>
      <c r="Q148" s="52" t="s">
        <v>914</v>
      </c>
      <c r="R148" s="52" t="s">
        <v>914</v>
      </c>
      <c r="S148" s="52" t="s">
        <v>914</v>
      </c>
      <c r="T148" s="5"/>
      <c r="U148" s="5"/>
      <c r="V148" s="52" t="s">
        <v>914</v>
      </c>
      <c r="W148" s="52" t="s">
        <v>914</v>
      </c>
      <c r="X148" s="52" t="s">
        <v>914</v>
      </c>
      <c r="Y148" s="52" t="s">
        <v>914</v>
      </c>
      <c r="Z148" s="53" t="s">
        <v>914</v>
      </c>
      <c r="AA148" s="5"/>
      <c r="AC148" s="53" t="s">
        <v>914</v>
      </c>
      <c r="AD148" s="52" t="s">
        <v>914</v>
      </c>
      <c r="AE148" s="53" t="s">
        <v>914</v>
      </c>
      <c r="AG148" s="52" t="s">
        <v>914</v>
      </c>
      <c r="AH148" s="5"/>
      <c r="AJ148" s="53" t="s">
        <v>914</v>
      </c>
      <c r="AK148" s="53" t="s">
        <v>914</v>
      </c>
      <c r="AL148" s="53" t="s">
        <v>914</v>
      </c>
      <c r="AM148" s="22">
        <f t="shared" si="12"/>
        <v>18</v>
      </c>
    </row>
    <row r="149" spans="1:39" ht="15.75" x14ac:dyDescent="0.25">
      <c r="A149" s="19" t="s">
        <v>55</v>
      </c>
      <c r="B149" s="19" t="s">
        <v>550</v>
      </c>
      <c r="C149" s="20" t="s">
        <v>551</v>
      </c>
      <c r="D149" s="20" t="s">
        <v>8</v>
      </c>
      <c r="E149" s="20" t="s">
        <v>8</v>
      </c>
      <c r="F149" s="19" t="s">
        <v>58</v>
      </c>
      <c r="G149" s="21"/>
      <c r="H149" s="21"/>
      <c r="I149" s="5"/>
      <c r="J149" s="5"/>
      <c r="K149" s="5"/>
      <c r="L149" s="5"/>
      <c r="M149" s="5"/>
      <c r="O149" s="5"/>
      <c r="P149" s="54"/>
      <c r="Q149" s="52" t="s">
        <v>914</v>
      </c>
      <c r="R149" s="5"/>
      <c r="S149" s="5"/>
      <c r="T149" s="5"/>
      <c r="U149" s="5"/>
      <c r="V149" s="52" t="s">
        <v>914</v>
      </c>
      <c r="W149" s="5"/>
      <c r="X149" s="52" t="s">
        <v>914</v>
      </c>
      <c r="Y149" s="5"/>
      <c r="AA149" s="5"/>
      <c r="AE149" s="53" t="s">
        <v>914</v>
      </c>
      <c r="AF149" s="53" t="s">
        <v>914</v>
      </c>
      <c r="AH149" s="5"/>
      <c r="AL149" s="53" t="s">
        <v>914</v>
      </c>
      <c r="AM149" s="22">
        <f t="shared" si="12"/>
        <v>6</v>
      </c>
    </row>
    <row r="150" spans="1:39" ht="15.75" x14ac:dyDescent="0.25">
      <c r="A150" s="19" t="s">
        <v>55</v>
      </c>
      <c r="B150" s="19" t="s">
        <v>556</v>
      </c>
      <c r="C150" s="20" t="s">
        <v>557</v>
      </c>
      <c r="D150" s="20" t="s">
        <v>11</v>
      </c>
      <c r="E150" s="20" t="s">
        <v>11</v>
      </c>
      <c r="F150" s="19" t="s">
        <v>58</v>
      </c>
      <c r="G150" s="21"/>
      <c r="H150" s="21"/>
      <c r="I150" s="5"/>
      <c r="J150" s="5"/>
      <c r="K150" s="5"/>
      <c r="L150" s="5"/>
      <c r="M150" s="5"/>
      <c r="O150" s="5"/>
      <c r="P150" s="54"/>
      <c r="Q150" s="5"/>
      <c r="R150" s="5"/>
      <c r="S150" s="5"/>
      <c r="T150" s="5"/>
      <c r="U150" s="5"/>
      <c r="V150" s="5"/>
      <c r="W150" s="5"/>
      <c r="X150" s="52" t="s">
        <v>914</v>
      </c>
      <c r="Y150" s="52" t="s">
        <v>914</v>
      </c>
      <c r="AC150" s="53" t="s">
        <v>914</v>
      </c>
      <c r="AE150" s="53" t="s">
        <v>914</v>
      </c>
      <c r="AF150" s="53" t="s">
        <v>914</v>
      </c>
      <c r="AH150" s="5"/>
      <c r="AJ150" s="53" t="s">
        <v>914</v>
      </c>
      <c r="AK150" s="53" t="s">
        <v>914</v>
      </c>
      <c r="AM150" s="22">
        <f t="shared" si="12"/>
        <v>7</v>
      </c>
    </row>
    <row r="151" spans="1:39" ht="15.75" x14ac:dyDescent="0.25">
      <c r="A151" s="19" t="s">
        <v>55</v>
      </c>
      <c r="B151" s="19" t="s">
        <v>560</v>
      </c>
      <c r="C151" s="20" t="s">
        <v>561</v>
      </c>
      <c r="D151" s="20" t="s">
        <v>11</v>
      </c>
      <c r="E151" s="20" t="s">
        <v>11</v>
      </c>
      <c r="F151" s="19" t="s">
        <v>58</v>
      </c>
      <c r="G151" s="21"/>
      <c r="H151" s="21"/>
      <c r="I151" s="5"/>
      <c r="J151" s="5"/>
      <c r="K151" s="5"/>
      <c r="L151" s="5"/>
      <c r="M151" s="5"/>
      <c r="O151" s="5"/>
      <c r="P151" s="54"/>
      <c r="Q151" s="5"/>
      <c r="R151" s="5"/>
      <c r="S151" s="5"/>
      <c r="T151" s="5"/>
      <c r="U151" s="5"/>
      <c r="V151" s="5"/>
      <c r="W151" s="52" t="s">
        <v>914</v>
      </c>
      <c r="X151" s="52" t="s">
        <v>914</v>
      </c>
      <c r="Y151" s="52" t="s">
        <v>914</v>
      </c>
      <c r="AC151" s="53" t="s">
        <v>914</v>
      </c>
      <c r="AD151" s="52" t="s">
        <v>914</v>
      </c>
      <c r="AE151" s="53" t="s">
        <v>914</v>
      </c>
      <c r="AF151" s="53" t="s">
        <v>914</v>
      </c>
      <c r="AH151" s="5"/>
      <c r="AJ151" s="53" t="s">
        <v>914</v>
      </c>
      <c r="AK151" s="53" t="s">
        <v>914</v>
      </c>
      <c r="AM151" s="22">
        <f t="shared" si="12"/>
        <v>9</v>
      </c>
    </row>
    <row r="152" spans="1:39" ht="15.75" x14ac:dyDescent="0.25">
      <c r="A152" s="19" t="s">
        <v>55</v>
      </c>
      <c r="B152" s="19" t="s">
        <v>562</v>
      </c>
      <c r="C152" s="20" t="s">
        <v>563</v>
      </c>
      <c r="D152" s="20" t="s">
        <v>11</v>
      </c>
      <c r="E152" s="20" t="s">
        <v>11</v>
      </c>
      <c r="F152" s="19" t="s">
        <v>58</v>
      </c>
      <c r="G152" s="21"/>
      <c r="H152" s="21"/>
      <c r="I152" s="5"/>
      <c r="J152" s="5"/>
      <c r="K152" s="5"/>
      <c r="L152" s="5"/>
      <c r="M152" s="5"/>
      <c r="O152" s="5"/>
      <c r="P152" s="54"/>
      <c r="Q152" s="5"/>
      <c r="R152" s="5"/>
      <c r="S152" s="5"/>
      <c r="T152" s="5"/>
      <c r="U152" s="5"/>
      <c r="V152" s="5"/>
      <c r="W152" s="52" t="s">
        <v>914</v>
      </c>
      <c r="X152" s="52" t="s">
        <v>914</v>
      </c>
      <c r="Y152" s="52" t="s">
        <v>914</v>
      </c>
      <c r="AC152" s="53" t="s">
        <v>914</v>
      </c>
      <c r="AD152" s="52" t="s">
        <v>914</v>
      </c>
      <c r="AE152" s="53" t="s">
        <v>914</v>
      </c>
      <c r="AF152" s="53" t="s">
        <v>914</v>
      </c>
      <c r="AH152" s="5"/>
      <c r="AJ152" s="53" t="s">
        <v>914</v>
      </c>
      <c r="AK152" s="53" t="s">
        <v>914</v>
      </c>
      <c r="AM152" s="22">
        <f t="shared" si="12"/>
        <v>9</v>
      </c>
    </row>
    <row r="153" spans="1:39" ht="15.75" x14ac:dyDescent="0.25">
      <c r="A153" s="19" t="s">
        <v>55</v>
      </c>
      <c r="B153" s="19" t="s">
        <v>564</v>
      </c>
      <c r="C153" s="20" t="s">
        <v>565</v>
      </c>
      <c r="D153" s="20" t="s">
        <v>11</v>
      </c>
      <c r="E153" s="20" t="s">
        <v>11</v>
      </c>
      <c r="F153" s="19" t="s">
        <v>58</v>
      </c>
      <c r="G153" s="21"/>
      <c r="H153" s="21"/>
      <c r="I153" s="5"/>
      <c r="J153" s="5"/>
      <c r="K153" s="5"/>
      <c r="L153" s="5"/>
      <c r="M153" s="5"/>
      <c r="O153" s="5"/>
      <c r="P153" s="54"/>
      <c r="Q153" s="5"/>
      <c r="R153" s="5"/>
      <c r="S153" s="5"/>
      <c r="T153" s="5"/>
      <c r="U153" s="5"/>
      <c r="V153" s="5"/>
      <c r="W153" s="52" t="s">
        <v>914</v>
      </c>
      <c r="X153" s="52" t="s">
        <v>914</v>
      </c>
      <c r="Y153" s="52" t="s">
        <v>914</v>
      </c>
      <c r="AC153" s="53" t="s">
        <v>914</v>
      </c>
      <c r="AD153" s="52" t="s">
        <v>914</v>
      </c>
      <c r="AE153" s="53" t="s">
        <v>914</v>
      </c>
      <c r="AF153" s="53" t="s">
        <v>914</v>
      </c>
      <c r="AH153" s="5"/>
      <c r="AJ153" s="53" t="s">
        <v>914</v>
      </c>
      <c r="AK153" s="53" t="s">
        <v>914</v>
      </c>
      <c r="AM153" s="22">
        <f t="shared" si="12"/>
        <v>9</v>
      </c>
    </row>
    <row r="154" spans="1:39" ht="15.75" x14ac:dyDescent="0.25">
      <c r="A154" s="19" t="s">
        <v>55</v>
      </c>
      <c r="B154" s="19" t="s">
        <v>566</v>
      </c>
      <c r="C154" s="20" t="s">
        <v>567</v>
      </c>
      <c r="D154" s="20" t="s">
        <v>11</v>
      </c>
      <c r="E154" s="20" t="s">
        <v>11</v>
      </c>
      <c r="F154" s="19" t="s">
        <v>58</v>
      </c>
      <c r="G154" s="21"/>
      <c r="H154" s="21"/>
      <c r="I154" s="5"/>
      <c r="J154" s="5"/>
      <c r="K154" s="5"/>
      <c r="L154" s="5"/>
      <c r="M154" s="5"/>
      <c r="O154" s="5"/>
      <c r="P154" s="54"/>
      <c r="Q154" s="5"/>
      <c r="R154" s="5"/>
      <c r="S154" s="5"/>
      <c r="T154" s="5"/>
      <c r="U154" s="5"/>
      <c r="V154" s="5"/>
      <c r="W154" s="52" t="s">
        <v>914</v>
      </c>
      <c r="X154" s="52" t="s">
        <v>914</v>
      </c>
      <c r="Y154" s="52" t="s">
        <v>914</v>
      </c>
      <c r="AC154" s="53" t="s">
        <v>914</v>
      </c>
      <c r="AD154" s="52" t="s">
        <v>914</v>
      </c>
      <c r="AE154" s="53" t="s">
        <v>914</v>
      </c>
      <c r="AF154" s="53" t="s">
        <v>914</v>
      </c>
      <c r="AH154" s="5"/>
      <c r="AJ154" s="53" t="s">
        <v>914</v>
      </c>
      <c r="AK154" s="53" t="s">
        <v>914</v>
      </c>
      <c r="AM154" s="22">
        <f t="shared" si="12"/>
        <v>9</v>
      </c>
    </row>
    <row r="155" spans="1:39" ht="15.75" x14ac:dyDescent="0.25">
      <c r="A155" s="19" t="s">
        <v>55</v>
      </c>
      <c r="B155" s="19" t="s">
        <v>572</v>
      </c>
      <c r="C155" s="20" t="s">
        <v>573</v>
      </c>
      <c r="D155" s="20" t="s">
        <v>21</v>
      </c>
      <c r="E155" s="20" t="s">
        <v>21</v>
      </c>
      <c r="F155" s="19" t="s">
        <v>58</v>
      </c>
      <c r="G155" s="21"/>
      <c r="H155" s="21"/>
      <c r="I155" s="5"/>
      <c r="J155" s="5"/>
      <c r="K155" s="5"/>
      <c r="L155" s="5"/>
      <c r="M155" s="5"/>
      <c r="O155" s="52" t="s">
        <v>914</v>
      </c>
      <c r="P155" s="54" t="s">
        <v>914</v>
      </c>
      <c r="Q155" s="52" t="s">
        <v>914</v>
      </c>
      <c r="R155" s="52" t="s">
        <v>914</v>
      </c>
      <c r="S155" s="52" t="s">
        <v>914</v>
      </c>
      <c r="T155" s="5"/>
      <c r="U155" s="5"/>
      <c r="V155" s="52" t="s">
        <v>914</v>
      </c>
      <c r="W155" s="52" t="s">
        <v>914</v>
      </c>
      <c r="X155" s="52" t="s">
        <v>914</v>
      </c>
      <c r="Y155" s="52" t="s">
        <v>914</v>
      </c>
      <c r="Z155" s="53" t="s">
        <v>914</v>
      </c>
      <c r="AA155" s="5"/>
      <c r="AC155" s="53" t="s">
        <v>914</v>
      </c>
      <c r="AD155" s="52" t="s">
        <v>914</v>
      </c>
      <c r="AE155" s="53" t="s">
        <v>914</v>
      </c>
      <c r="AF155" s="53" t="s">
        <v>914</v>
      </c>
      <c r="AG155" s="52" t="s">
        <v>914</v>
      </c>
      <c r="AH155" s="5"/>
      <c r="AJ155" s="53" t="s">
        <v>914</v>
      </c>
      <c r="AL155" s="53" t="s">
        <v>914</v>
      </c>
      <c r="AM155" s="22">
        <f t="shared" si="12"/>
        <v>17</v>
      </c>
    </row>
    <row r="156" spans="1:39" ht="15.75" x14ac:dyDescent="0.25">
      <c r="A156" s="19" t="s">
        <v>55</v>
      </c>
      <c r="B156" s="19" t="s">
        <v>574</v>
      </c>
      <c r="C156" s="20" t="s">
        <v>575</v>
      </c>
      <c r="D156" s="20" t="s">
        <v>21</v>
      </c>
      <c r="E156" s="20" t="s">
        <v>21</v>
      </c>
      <c r="F156" s="19" t="s">
        <v>58</v>
      </c>
      <c r="G156" s="21"/>
      <c r="H156" s="21"/>
      <c r="I156" s="5"/>
      <c r="J156" s="5"/>
      <c r="K156" s="5"/>
      <c r="L156" s="52" t="s">
        <v>914</v>
      </c>
      <c r="M156" s="5"/>
      <c r="O156" s="52" t="s">
        <v>914</v>
      </c>
      <c r="P156" s="54" t="s">
        <v>914</v>
      </c>
      <c r="Q156" s="52" t="s">
        <v>914</v>
      </c>
      <c r="R156" s="52" t="s">
        <v>914</v>
      </c>
      <c r="S156" s="52" t="s">
        <v>914</v>
      </c>
      <c r="T156" s="5"/>
      <c r="U156" s="5"/>
      <c r="V156" s="52" t="s">
        <v>914</v>
      </c>
      <c r="W156" s="52" t="s">
        <v>914</v>
      </c>
      <c r="X156" s="52" t="s">
        <v>914</v>
      </c>
      <c r="Y156" s="52" t="s">
        <v>914</v>
      </c>
      <c r="Z156" s="53" t="s">
        <v>914</v>
      </c>
      <c r="AA156" s="5"/>
      <c r="AC156" s="53" t="s">
        <v>914</v>
      </c>
      <c r="AD156" s="52" t="s">
        <v>914</v>
      </c>
      <c r="AE156" s="53" t="s">
        <v>914</v>
      </c>
      <c r="AF156" s="53" t="s">
        <v>914</v>
      </c>
      <c r="AG156" s="52" t="s">
        <v>914</v>
      </c>
      <c r="AH156" s="5"/>
      <c r="AJ156" s="53" t="s">
        <v>914</v>
      </c>
      <c r="AK156" s="53" t="s">
        <v>914</v>
      </c>
      <c r="AL156" s="53" t="s">
        <v>914</v>
      </c>
      <c r="AM156" s="22">
        <f t="shared" si="12"/>
        <v>19</v>
      </c>
    </row>
    <row r="157" spans="1:39" ht="15.75" x14ac:dyDescent="0.25">
      <c r="A157" s="19" t="s">
        <v>55</v>
      </c>
      <c r="B157" s="19" t="s">
        <v>576</v>
      </c>
      <c r="C157" s="20" t="s">
        <v>577</v>
      </c>
      <c r="D157" s="20" t="s">
        <v>21</v>
      </c>
      <c r="E157" s="20" t="s">
        <v>21</v>
      </c>
      <c r="F157" s="19" t="s">
        <v>58</v>
      </c>
      <c r="G157" s="21"/>
      <c r="H157" s="21"/>
      <c r="I157" s="5"/>
      <c r="J157" s="5"/>
      <c r="K157" s="5"/>
      <c r="L157" s="52" t="s">
        <v>914</v>
      </c>
      <c r="M157" s="5"/>
      <c r="N157" s="5"/>
      <c r="O157" s="52" t="s">
        <v>914</v>
      </c>
      <c r="P157" s="54" t="s">
        <v>914</v>
      </c>
      <c r="Q157" s="52" t="s">
        <v>914</v>
      </c>
      <c r="R157" s="52" t="s">
        <v>914</v>
      </c>
      <c r="S157" s="52" t="s">
        <v>914</v>
      </c>
      <c r="T157" s="5"/>
      <c r="U157" s="5"/>
      <c r="V157" s="52" t="s">
        <v>914</v>
      </c>
      <c r="W157" s="52" t="s">
        <v>914</v>
      </c>
      <c r="X157" s="52" t="s">
        <v>914</v>
      </c>
      <c r="Y157" s="52" t="s">
        <v>914</v>
      </c>
      <c r="Z157" s="53" t="s">
        <v>914</v>
      </c>
      <c r="AA157" s="5"/>
      <c r="AC157" s="53" t="s">
        <v>914</v>
      </c>
      <c r="AD157" s="52" t="s">
        <v>914</v>
      </c>
      <c r="AE157" s="53" t="s">
        <v>914</v>
      </c>
      <c r="AF157" s="53" t="s">
        <v>914</v>
      </c>
      <c r="AG157" s="52" t="s">
        <v>914</v>
      </c>
      <c r="AH157" s="5"/>
      <c r="AJ157" s="53" t="s">
        <v>914</v>
      </c>
      <c r="AK157" s="53" t="s">
        <v>914</v>
      </c>
      <c r="AL157" s="53" t="s">
        <v>914</v>
      </c>
      <c r="AM157" s="22">
        <f t="shared" si="12"/>
        <v>19</v>
      </c>
    </row>
    <row r="158" spans="1:39" ht="15.75" x14ac:dyDescent="0.25">
      <c r="A158" s="19" t="s">
        <v>55</v>
      </c>
      <c r="B158" s="19" t="s">
        <v>578</v>
      </c>
      <c r="C158" s="20" t="s">
        <v>579</v>
      </c>
      <c r="D158" s="20" t="s">
        <v>21</v>
      </c>
      <c r="E158" s="20" t="s">
        <v>21</v>
      </c>
      <c r="F158" s="19" t="s">
        <v>58</v>
      </c>
      <c r="G158" s="21"/>
      <c r="H158" s="21"/>
      <c r="I158" s="5"/>
      <c r="J158" s="5"/>
      <c r="K158" s="5"/>
      <c r="L158" s="52" t="s">
        <v>914</v>
      </c>
      <c r="M158" s="5"/>
      <c r="O158" s="52" t="s">
        <v>914</v>
      </c>
      <c r="P158" s="54" t="s">
        <v>914</v>
      </c>
      <c r="Q158" s="52" t="s">
        <v>914</v>
      </c>
      <c r="R158" s="52" t="s">
        <v>914</v>
      </c>
      <c r="S158" s="52" t="s">
        <v>914</v>
      </c>
      <c r="T158" s="5"/>
      <c r="U158" s="5"/>
      <c r="V158" s="52" t="s">
        <v>914</v>
      </c>
      <c r="W158" s="52" t="s">
        <v>914</v>
      </c>
      <c r="X158" s="52" t="s">
        <v>914</v>
      </c>
      <c r="Y158" s="52" t="s">
        <v>914</v>
      </c>
      <c r="Z158" s="53" t="s">
        <v>914</v>
      </c>
      <c r="AA158" s="5"/>
      <c r="AC158" s="53" t="s">
        <v>914</v>
      </c>
      <c r="AD158" s="52" t="s">
        <v>914</v>
      </c>
      <c r="AE158" s="53" t="s">
        <v>914</v>
      </c>
      <c r="AF158" s="53" t="s">
        <v>914</v>
      </c>
      <c r="AG158" s="52" t="s">
        <v>914</v>
      </c>
      <c r="AH158" s="5"/>
      <c r="AJ158" s="53" t="s">
        <v>914</v>
      </c>
      <c r="AK158" s="53" t="s">
        <v>914</v>
      </c>
      <c r="AL158" s="53" t="s">
        <v>914</v>
      </c>
      <c r="AM158" s="22">
        <f t="shared" si="12"/>
        <v>19</v>
      </c>
    </row>
    <row r="159" spans="1:39" ht="15.75" x14ac:dyDescent="0.25">
      <c r="A159" s="19" t="s">
        <v>55</v>
      </c>
      <c r="B159" s="19" t="s">
        <v>580</v>
      </c>
      <c r="C159" s="20" t="s">
        <v>581</v>
      </c>
      <c r="D159" s="20" t="s">
        <v>21</v>
      </c>
      <c r="E159" s="20" t="s">
        <v>21</v>
      </c>
      <c r="F159" s="19" t="s">
        <v>58</v>
      </c>
      <c r="G159" s="21"/>
      <c r="H159" s="21"/>
      <c r="I159" s="5"/>
      <c r="J159" s="5"/>
      <c r="K159" s="5"/>
      <c r="L159" s="52" t="s">
        <v>914</v>
      </c>
      <c r="M159" s="5"/>
      <c r="N159" s="5"/>
      <c r="O159" s="52" t="s">
        <v>914</v>
      </c>
      <c r="P159" s="54" t="s">
        <v>914</v>
      </c>
      <c r="Q159" s="52" t="s">
        <v>914</v>
      </c>
      <c r="R159" s="52" t="s">
        <v>914</v>
      </c>
      <c r="S159" s="52" t="s">
        <v>914</v>
      </c>
      <c r="T159" s="5"/>
      <c r="U159" s="5"/>
      <c r="V159" s="52" t="s">
        <v>914</v>
      </c>
      <c r="W159" s="52" t="s">
        <v>914</v>
      </c>
      <c r="X159" s="52" t="s">
        <v>914</v>
      </c>
      <c r="Y159" s="52" t="s">
        <v>914</v>
      </c>
      <c r="Z159" s="53" t="s">
        <v>914</v>
      </c>
      <c r="AA159" s="5"/>
      <c r="AC159" s="53" t="s">
        <v>914</v>
      </c>
      <c r="AD159" s="52" t="s">
        <v>914</v>
      </c>
      <c r="AF159" s="53" t="s">
        <v>914</v>
      </c>
      <c r="AG159" s="52" t="s">
        <v>914</v>
      </c>
      <c r="AH159" s="5"/>
      <c r="AJ159" s="53" t="s">
        <v>914</v>
      </c>
      <c r="AK159" s="53" t="s">
        <v>914</v>
      </c>
      <c r="AL159" s="53" t="s">
        <v>914</v>
      </c>
      <c r="AM159" s="22">
        <f t="shared" si="12"/>
        <v>18</v>
      </c>
    </row>
    <row r="160" spans="1:39" ht="15.75" x14ac:dyDescent="0.25">
      <c r="A160" s="19" t="s">
        <v>55</v>
      </c>
      <c r="B160" s="19" t="s">
        <v>582</v>
      </c>
      <c r="C160" s="20" t="s">
        <v>583</v>
      </c>
      <c r="D160" s="20" t="s">
        <v>21</v>
      </c>
      <c r="E160" s="20" t="s">
        <v>21</v>
      </c>
      <c r="F160" s="19" t="s">
        <v>58</v>
      </c>
      <c r="G160" s="21"/>
      <c r="H160" s="21"/>
      <c r="I160" s="5"/>
      <c r="J160" s="5"/>
      <c r="K160" s="5"/>
      <c r="L160" s="52" t="s">
        <v>914</v>
      </c>
      <c r="M160" s="5"/>
      <c r="O160" s="5"/>
      <c r="P160" s="54" t="s">
        <v>914</v>
      </c>
      <c r="Q160" s="52" t="s">
        <v>914</v>
      </c>
      <c r="R160" s="5"/>
      <c r="S160" s="52" t="s">
        <v>914</v>
      </c>
      <c r="T160" s="5"/>
      <c r="U160" s="5"/>
      <c r="V160" s="52" t="s">
        <v>914</v>
      </c>
      <c r="W160" s="52" t="s">
        <v>914</v>
      </c>
      <c r="X160" s="52" t="s">
        <v>914</v>
      </c>
      <c r="Y160" s="52" t="s">
        <v>914</v>
      </c>
      <c r="Z160" s="53" t="s">
        <v>914</v>
      </c>
      <c r="AA160" s="5"/>
      <c r="AC160" s="53" t="s">
        <v>914</v>
      </c>
      <c r="AD160" s="52" t="s">
        <v>914</v>
      </c>
      <c r="AE160" s="53" t="s">
        <v>914</v>
      </c>
      <c r="AF160" s="53" t="s">
        <v>914</v>
      </c>
      <c r="AG160" s="52" t="s">
        <v>914</v>
      </c>
      <c r="AH160" s="5"/>
      <c r="AJ160" s="53" t="s">
        <v>914</v>
      </c>
      <c r="AK160" s="53" t="s">
        <v>914</v>
      </c>
      <c r="AL160" s="53" t="s">
        <v>914</v>
      </c>
      <c r="AM160" s="22">
        <f t="shared" si="12"/>
        <v>17</v>
      </c>
    </row>
    <row r="161" spans="1:39" ht="15.75" x14ac:dyDescent="0.25">
      <c r="A161" s="19" t="s">
        <v>55</v>
      </c>
      <c r="B161" s="19" t="s">
        <v>584</v>
      </c>
      <c r="C161" s="20" t="s">
        <v>585</v>
      </c>
      <c r="D161" s="20" t="s">
        <v>21</v>
      </c>
      <c r="E161" s="20" t="s">
        <v>21</v>
      </c>
      <c r="F161" s="19" t="s">
        <v>58</v>
      </c>
      <c r="G161" s="21"/>
      <c r="H161" s="21"/>
      <c r="I161" s="5"/>
      <c r="J161" s="5"/>
      <c r="K161" s="5"/>
      <c r="L161" s="52" t="s">
        <v>914</v>
      </c>
      <c r="M161" s="5"/>
      <c r="O161" s="52" t="s">
        <v>914</v>
      </c>
      <c r="P161" s="54" t="s">
        <v>914</v>
      </c>
      <c r="Q161" s="52" t="s">
        <v>914</v>
      </c>
      <c r="R161" s="52" t="s">
        <v>914</v>
      </c>
      <c r="S161" s="52" t="s">
        <v>914</v>
      </c>
      <c r="T161" s="5"/>
      <c r="U161" s="5"/>
      <c r="V161" s="52" t="s">
        <v>914</v>
      </c>
      <c r="W161" s="52" t="s">
        <v>914</v>
      </c>
      <c r="X161" s="52" t="s">
        <v>914</v>
      </c>
      <c r="Y161" s="52" t="s">
        <v>914</v>
      </c>
      <c r="Z161" s="53" t="s">
        <v>914</v>
      </c>
      <c r="AA161" s="5"/>
      <c r="AD161" s="5"/>
      <c r="AG161" s="5"/>
      <c r="AH161" s="5"/>
      <c r="AM161" s="22">
        <f t="shared" si="12"/>
        <v>11</v>
      </c>
    </row>
    <row r="162" spans="1:39" ht="15.75" x14ac:dyDescent="0.25">
      <c r="A162" s="19" t="s">
        <v>55</v>
      </c>
      <c r="B162" s="19" t="s">
        <v>586</v>
      </c>
      <c r="C162" s="20" t="s">
        <v>587</v>
      </c>
      <c r="D162" s="20" t="s">
        <v>21</v>
      </c>
      <c r="E162" s="20" t="s">
        <v>21</v>
      </c>
      <c r="F162" s="19" t="s">
        <v>58</v>
      </c>
      <c r="G162" s="21"/>
      <c r="H162" s="21"/>
      <c r="I162" s="5"/>
      <c r="J162" s="5"/>
      <c r="K162" s="5"/>
      <c r="L162" s="52" t="s">
        <v>914</v>
      </c>
      <c r="M162" s="5"/>
      <c r="O162" s="52" t="s">
        <v>914</v>
      </c>
      <c r="P162" s="54" t="s">
        <v>914</v>
      </c>
      <c r="Q162" s="52" t="s">
        <v>914</v>
      </c>
      <c r="R162" s="52" t="s">
        <v>914</v>
      </c>
      <c r="S162" s="5"/>
      <c r="T162" s="5"/>
      <c r="U162" s="5"/>
      <c r="V162" s="52" t="s">
        <v>914</v>
      </c>
      <c r="W162" s="52" t="s">
        <v>914</v>
      </c>
      <c r="X162" s="52" t="s">
        <v>914</v>
      </c>
      <c r="Y162" s="52" t="s">
        <v>914</v>
      </c>
      <c r="Z162" s="53" t="s">
        <v>914</v>
      </c>
      <c r="AA162" s="5"/>
      <c r="AC162" s="53" t="s">
        <v>914</v>
      </c>
      <c r="AD162" s="52" t="s">
        <v>914</v>
      </c>
      <c r="AE162" s="53" t="s">
        <v>914</v>
      </c>
      <c r="AF162" s="53" t="s">
        <v>914</v>
      </c>
      <c r="AG162" s="52" t="s">
        <v>914</v>
      </c>
      <c r="AH162" s="5"/>
      <c r="AJ162" s="53" t="s">
        <v>914</v>
      </c>
      <c r="AK162" s="53" t="s">
        <v>914</v>
      </c>
      <c r="AL162" s="53" t="s">
        <v>914</v>
      </c>
      <c r="AM162" s="22">
        <f t="shared" si="12"/>
        <v>18</v>
      </c>
    </row>
    <row r="163" spans="1:39" ht="15.75" x14ac:dyDescent="0.25">
      <c r="A163" s="19" t="s">
        <v>55</v>
      </c>
      <c r="B163" s="19" t="s">
        <v>588</v>
      </c>
      <c r="C163" s="20" t="s">
        <v>589</v>
      </c>
      <c r="D163" s="20" t="s">
        <v>21</v>
      </c>
      <c r="E163" s="20" t="s">
        <v>21</v>
      </c>
      <c r="F163" s="19" t="s">
        <v>58</v>
      </c>
      <c r="G163" s="21"/>
      <c r="H163" s="21"/>
      <c r="I163" s="5"/>
      <c r="J163" s="5"/>
      <c r="K163" s="5"/>
      <c r="L163" s="52" t="s">
        <v>914</v>
      </c>
      <c r="M163" s="5"/>
      <c r="O163" s="52" t="s">
        <v>914</v>
      </c>
      <c r="P163" s="54" t="s">
        <v>914</v>
      </c>
      <c r="Q163" s="52" t="s">
        <v>914</v>
      </c>
      <c r="R163" s="52" t="s">
        <v>914</v>
      </c>
      <c r="S163" s="52" t="s">
        <v>914</v>
      </c>
      <c r="T163" s="5"/>
      <c r="U163" s="5"/>
      <c r="V163" s="52" t="s">
        <v>914</v>
      </c>
      <c r="W163" s="52" t="s">
        <v>914</v>
      </c>
      <c r="X163" s="52" t="s">
        <v>914</v>
      </c>
      <c r="Y163" s="52" t="s">
        <v>914</v>
      </c>
      <c r="Z163" s="53" t="s">
        <v>914</v>
      </c>
      <c r="AA163" s="5"/>
      <c r="AD163" s="52" t="s">
        <v>914</v>
      </c>
      <c r="AE163" s="53" t="s">
        <v>914</v>
      </c>
      <c r="AG163" s="52" t="s">
        <v>914</v>
      </c>
      <c r="AH163" s="5"/>
      <c r="AJ163" s="53" t="s">
        <v>914</v>
      </c>
      <c r="AK163" s="53" t="s">
        <v>914</v>
      </c>
      <c r="AL163" s="53" t="s">
        <v>914</v>
      </c>
      <c r="AM163" s="22">
        <f t="shared" si="12"/>
        <v>17</v>
      </c>
    </row>
    <row r="164" spans="1:39" ht="15.75" x14ac:dyDescent="0.25">
      <c r="A164" s="19" t="s">
        <v>55</v>
      </c>
      <c r="B164" s="19" t="s">
        <v>590</v>
      </c>
      <c r="C164" s="20" t="s">
        <v>591</v>
      </c>
      <c r="D164" s="20" t="s">
        <v>21</v>
      </c>
      <c r="E164" s="20" t="s">
        <v>21</v>
      </c>
      <c r="F164" s="19" t="s">
        <v>58</v>
      </c>
      <c r="G164" s="21"/>
      <c r="H164" s="21"/>
      <c r="I164" s="5"/>
      <c r="J164" s="5"/>
      <c r="K164" s="5"/>
      <c r="L164" s="52" t="s">
        <v>914</v>
      </c>
      <c r="M164" s="5"/>
      <c r="O164" s="52" t="s">
        <v>914</v>
      </c>
      <c r="P164" s="54"/>
      <c r="Q164" s="5"/>
      <c r="R164" s="5"/>
      <c r="S164" s="5"/>
      <c r="T164" s="5"/>
      <c r="U164" s="5"/>
      <c r="V164" s="5"/>
      <c r="W164" s="5"/>
      <c r="X164" s="5"/>
      <c r="Y164" s="52" t="s">
        <v>914</v>
      </c>
      <c r="Z164" s="53" t="s">
        <v>914</v>
      </c>
      <c r="AA164" s="5"/>
      <c r="AC164" s="53" t="s">
        <v>914</v>
      </c>
      <c r="AD164" s="5"/>
      <c r="AF164" s="53" t="s">
        <v>914</v>
      </c>
      <c r="AG164" s="5"/>
      <c r="AH164" s="5"/>
      <c r="AM164" s="22">
        <f t="shared" si="12"/>
        <v>6</v>
      </c>
    </row>
    <row r="165" spans="1:39" ht="15.75" x14ac:dyDescent="0.25">
      <c r="A165" s="19" t="s">
        <v>55</v>
      </c>
      <c r="B165" s="19" t="s">
        <v>592</v>
      </c>
      <c r="C165" s="20" t="s">
        <v>593</v>
      </c>
      <c r="D165" s="20" t="s">
        <v>21</v>
      </c>
      <c r="E165" s="20" t="s">
        <v>21</v>
      </c>
      <c r="F165" s="19" t="s">
        <v>58</v>
      </c>
      <c r="G165" s="21"/>
      <c r="H165" s="21"/>
      <c r="I165" s="5"/>
      <c r="J165" s="5"/>
      <c r="K165" s="5"/>
      <c r="L165" s="5"/>
      <c r="M165" s="5"/>
      <c r="O165" s="5"/>
      <c r="P165" s="54"/>
      <c r="Q165" s="52" t="s">
        <v>914</v>
      </c>
      <c r="R165" s="52" t="s">
        <v>914</v>
      </c>
      <c r="S165" s="52" t="s">
        <v>914</v>
      </c>
      <c r="T165" s="5"/>
      <c r="U165" s="5"/>
      <c r="V165" s="52" t="s">
        <v>914</v>
      </c>
      <c r="W165" s="52" t="s">
        <v>914</v>
      </c>
      <c r="X165" s="52" t="s">
        <v>914</v>
      </c>
      <c r="Y165" s="52" t="s">
        <v>914</v>
      </c>
      <c r="Z165" s="53" t="s">
        <v>914</v>
      </c>
      <c r="AA165" s="5"/>
      <c r="AC165" s="53" t="s">
        <v>914</v>
      </c>
      <c r="AD165" s="52" t="s">
        <v>914</v>
      </c>
      <c r="AE165" s="53" t="s">
        <v>914</v>
      </c>
      <c r="AF165" s="53" t="s">
        <v>914</v>
      </c>
      <c r="AG165" s="52" t="s">
        <v>914</v>
      </c>
      <c r="AH165" s="5"/>
      <c r="AJ165" s="53" t="s">
        <v>914</v>
      </c>
      <c r="AK165" s="53" t="s">
        <v>914</v>
      </c>
      <c r="AL165" s="53" t="s">
        <v>914</v>
      </c>
      <c r="AM165" s="22">
        <f t="shared" si="12"/>
        <v>16</v>
      </c>
    </row>
    <row r="166" spans="1:39" ht="15.75" x14ac:dyDescent="0.25">
      <c r="A166" s="19" t="s">
        <v>55</v>
      </c>
      <c r="B166" s="19" t="s">
        <v>594</v>
      </c>
      <c r="C166" s="20" t="s">
        <v>595</v>
      </c>
      <c r="D166" s="20" t="s">
        <v>21</v>
      </c>
      <c r="E166" s="20" t="s">
        <v>21</v>
      </c>
      <c r="F166" s="19" t="s">
        <v>58</v>
      </c>
      <c r="G166" s="21"/>
      <c r="H166" s="21"/>
      <c r="I166" s="5"/>
      <c r="J166" s="5"/>
      <c r="K166" s="5"/>
      <c r="L166" s="52" t="s">
        <v>914</v>
      </c>
      <c r="M166" s="5"/>
      <c r="N166" s="5"/>
      <c r="O166" s="52" t="s">
        <v>914</v>
      </c>
      <c r="P166" s="54" t="s">
        <v>914</v>
      </c>
      <c r="Q166" s="52" t="s">
        <v>914</v>
      </c>
      <c r="R166" s="5"/>
      <c r="S166" s="52" t="s">
        <v>914</v>
      </c>
      <c r="T166" s="5"/>
      <c r="U166" s="5"/>
      <c r="V166" s="52" t="s">
        <v>914</v>
      </c>
      <c r="W166" s="52" t="s">
        <v>914</v>
      </c>
      <c r="X166" s="52" t="s">
        <v>914</v>
      </c>
      <c r="Y166" s="52" t="s">
        <v>914</v>
      </c>
      <c r="AA166" s="5"/>
      <c r="AD166" s="52" t="s">
        <v>914</v>
      </c>
      <c r="AE166" s="53" t="s">
        <v>914</v>
      </c>
      <c r="AF166" s="53" t="s">
        <v>914</v>
      </c>
      <c r="AH166" s="5"/>
      <c r="AJ166" s="53" t="s">
        <v>914</v>
      </c>
      <c r="AK166" s="53" t="s">
        <v>914</v>
      </c>
      <c r="AL166" s="53" t="s">
        <v>914</v>
      </c>
      <c r="AM166" s="22">
        <f t="shared" si="12"/>
        <v>15</v>
      </c>
    </row>
    <row r="167" spans="1:39" ht="15.75" x14ac:dyDescent="0.25">
      <c r="A167" s="19" t="s">
        <v>55</v>
      </c>
      <c r="B167" s="19" t="s">
        <v>596</v>
      </c>
      <c r="C167" s="20" t="s">
        <v>597</v>
      </c>
      <c r="D167" s="20" t="s">
        <v>21</v>
      </c>
      <c r="E167" s="20" t="s">
        <v>21</v>
      </c>
      <c r="F167" s="19" t="s">
        <v>58</v>
      </c>
      <c r="G167" s="21"/>
      <c r="H167" s="21"/>
      <c r="I167" s="5"/>
      <c r="J167" s="5"/>
      <c r="K167" s="5"/>
      <c r="L167" s="52" t="s">
        <v>914</v>
      </c>
      <c r="M167" s="5"/>
      <c r="O167" s="52" t="s">
        <v>914</v>
      </c>
      <c r="P167" s="54" t="s">
        <v>914</v>
      </c>
      <c r="Q167" s="52" t="s">
        <v>914</v>
      </c>
      <c r="R167" s="52" t="s">
        <v>914</v>
      </c>
      <c r="S167" s="52" t="s">
        <v>914</v>
      </c>
      <c r="T167" s="5"/>
      <c r="U167" s="5"/>
      <c r="V167" s="52" t="s">
        <v>914</v>
      </c>
      <c r="W167" s="52" t="s">
        <v>914</v>
      </c>
      <c r="X167" s="52" t="s">
        <v>914</v>
      </c>
      <c r="Y167" s="52" t="s">
        <v>914</v>
      </c>
      <c r="Z167" s="53" t="s">
        <v>914</v>
      </c>
      <c r="AA167" s="5"/>
      <c r="AC167" s="53" t="s">
        <v>914</v>
      </c>
      <c r="AD167" s="52" t="s">
        <v>914</v>
      </c>
      <c r="AE167" s="53" t="s">
        <v>914</v>
      </c>
      <c r="AF167" s="53" t="s">
        <v>914</v>
      </c>
      <c r="AG167" s="52" t="s">
        <v>914</v>
      </c>
      <c r="AH167" s="5"/>
      <c r="AJ167" s="53" t="s">
        <v>914</v>
      </c>
      <c r="AK167" s="53" t="s">
        <v>914</v>
      </c>
      <c r="AL167" s="53" t="s">
        <v>914</v>
      </c>
      <c r="AM167" s="22">
        <f t="shared" si="12"/>
        <v>19</v>
      </c>
    </row>
    <row r="168" spans="1:39" ht="15.75" x14ac:dyDescent="0.25">
      <c r="A168" s="19" t="s">
        <v>55</v>
      </c>
      <c r="B168" s="19" t="s">
        <v>598</v>
      </c>
      <c r="C168" s="20" t="s">
        <v>599</v>
      </c>
      <c r="D168" s="20" t="s">
        <v>21</v>
      </c>
      <c r="E168" s="20" t="s">
        <v>21</v>
      </c>
      <c r="F168" s="19" t="s">
        <v>58</v>
      </c>
      <c r="G168" s="21"/>
      <c r="H168" s="21"/>
      <c r="I168" s="5"/>
      <c r="J168" s="5"/>
      <c r="K168" s="5"/>
      <c r="L168" s="52" t="s">
        <v>914</v>
      </c>
      <c r="M168" s="5"/>
      <c r="O168" s="52" t="s">
        <v>914</v>
      </c>
      <c r="P168" s="54" t="s">
        <v>914</v>
      </c>
      <c r="Q168" s="5"/>
      <c r="R168" s="5"/>
      <c r="S168" s="52" t="s">
        <v>914</v>
      </c>
      <c r="T168" s="5"/>
      <c r="U168" s="5"/>
      <c r="V168" s="52" t="s">
        <v>914</v>
      </c>
      <c r="W168" s="52" t="s">
        <v>914</v>
      </c>
      <c r="X168" s="52" t="s">
        <v>914</v>
      </c>
      <c r="Y168" s="52" t="s">
        <v>914</v>
      </c>
      <c r="Z168" s="53" t="s">
        <v>914</v>
      </c>
      <c r="AA168" s="5"/>
      <c r="AC168" s="53" t="s">
        <v>914</v>
      </c>
      <c r="AD168" s="52" t="s">
        <v>914</v>
      </c>
      <c r="AE168" s="53" t="s">
        <v>914</v>
      </c>
      <c r="AF168" s="53" t="s">
        <v>914</v>
      </c>
      <c r="AG168" s="52" t="s">
        <v>914</v>
      </c>
      <c r="AH168" s="5"/>
      <c r="AJ168" s="53" t="s">
        <v>914</v>
      </c>
      <c r="AK168" s="53" t="s">
        <v>914</v>
      </c>
      <c r="AL168" s="53" t="s">
        <v>914</v>
      </c>
      <c r="AM168" s="22">
        <f t="shared" si="12"/>
        <v>17</v>
      </c>
    </row>
    <row r="169" spans="1:39" ht="15.75" x14ac:dyDescent="0.25">
      <c r="A169" s="19" t="s">
        <v>55</v>
      </c>
      <c r="B169" s="19" t="s">
        <v>600</v>
      </c>
      <c r="C169" s="20" t="s">
        <v>601</v>
      </c>
      <c r="D169" s="20" t="s">
        <v>21</v>
      </c>
      <c r="E169" s="20" t="s">
        <v>21</v>
      </c>
      <c r="F169" s="19" t="s">
        <v>58</v>
      </c>
      <c r="G169" s="21"/>
      <c r="H169" s="21"/>
      <c r="I169" s="5"/>
      <c r="J169" s="5"/>
      <c r="K169" s="5"/>
      <c r="L169" s="52" t="s">
        <v>914</v>
      </c>
      <c r="M169" s="5"/>
      <c r="N169" s="5"/>
      <c r="O169" s="52" t="s">
        <v>914</v>
      </c>
      <c r="P169" s="54" t="s">
        <v>914</v>
      </c>
      <c r="Q169" s="52" t="s">
        <v>914</v>
      </c>
      <c r="R169" s="52" t="s">
        <v>914</v>
      </c>
      <c r="S169" s="52" t="s">
        <v>914</v>
      </c>
      <c r="T169" s="5"/>
      <c r="U169" s="5"/>
      <c r="V169" s="52" t="s">
        <v>914</v>
      </c>
      <c r="W169" s="52" t="s">
        <v>914</v>
      </c>
      <c r="X169" s="52" t="s">
        <v>914</v>
      </c>
      <c r="Y169" s="52" t="s">
        <v>914</v>
      </c>
      <c r="Z169" s="53" t="s">
        <v>914</v>
      </c>
      <c r="AA169" s="5"/>
      <c r="AC169" s="53" t="s">
        <v>914</v>
      </c>
      <c r="AD169" s="52" t="s">
        <v>914</v>
      </c>
      <c r="AE169" s="53" t="s">
        <v>914</v>
      </c>
      <c r="AF169" s="53" t="s">
        <v>914</v>
      </c>
      <c r="AG169" s="52" t="s">
        <v>914</v>
      </c>
      <c r="AH169" s="5"/>
      <c r="AJ169" s="53" t="s">
        <v>914</v>
      </c>
      <c r="AK169" s="53" t="s">
        <v>914</v>
      </c>
      <c r="AL169" s="53" t="s">
        <v>914</v>
      </c>
      <c r="AM169" s="22">
        <f t="shared" si="12"/>
        <v>19</v>
      </c>
    </row>
    <row r="170" spans="1:39" ht="15.75" x14ac:dyDescent="0.25">
      <c r="A170" s="19" t="s">
        <v>55</v>
      </c>
      <c r="B170" s="19" t="s">
        <v>602</v>
      </c>
      <c r="C170" s="20" t="s">
        <v>603</v>
      </c>
      <c r="D170" s="20" t="s">
        <v>21</v>
      </c>
      <c r="E170" s="20" t="s">
        <v>21</v>
      </c>
      <c r="F170" s="19" t="s">
        <v>58</v>
      </c>
      <c r="G170" s="21"/>
      <c r="H170" s="21"/>
      <c r="I170" s="5"/>
      <c r="J170" s="5"/>
      <c r="K170" s="5"/>
      <c r="L170" s="52" t="s">
        <v>914</v>
      </c>
      <c r="M170" s="5"/>
      <c r="N170" s="5"/>
      <c r="O170" s="52" t="s">
        <v>914</v>
      </c>
      <c r="P170" s="54" t="s">
        <v>914</v>
      </c>
      <c r="Q170" s="52" t="s">
        <v>914</v>
      </c>
      <c r="R170" s="5"/>
      <c r="S170" s="52" t="s">
        <v>914</v>
      </c>
      <c r="T170" s="5"/>
      <c r="U170" s="5"/>
      <c r="V170" s="52" t="s">
        <v>914</v>
      </c>
      <c r="W170" s="52" t="s">
        <v>914</v>
      </c>
      <c r="X170" s="52" t="s">
        <v>914</v>
      </c>
      <c r="Y170" s="52" t="s">
        <v>914</v>
      </c>
      <c r="AA170" s="5"/>
      <c r="AD170" s="52" t="s">
        <v>914</v>
      </c>
      <c r="AE170" s="53" t="s">
        <v>914</v>
      </c>
      <c r="AF170" s="53" t="s">
        <v>914</v>
      </c>
      <c r="AG170" s="52" t="s">
        <v>914</v>
      </c>
      <c r="AH170" s="5"/>
      <c r="AJ170" s="53" t="s">
        <v>914</v>
      </c>
      <c r="AK170" s="53" t="s">
        <v>914</v>
      </c>
      <c r="AL170" s="53" t="s">
        <v>914</v>
      </c>
      <c r="AM170" s="22">
        <f t="shared" si="12"/>
        <v>16</v>
      </c>
    </row>
    <row r="171" spans="1:39" ht="15.75" x14ac:dyDescent="0.25">
      <c r="A171" s="19" t="s">
        <v>55</v>
      </c>
      <c r="B171" s="19" t="s">
        <v>604</v>
      </c>
      <c r="C171" s="20" t="s">
        <v>605</v>
      </c>
      <c r="D171" s="20" t="s">
        <v>21</v>
      </c>
      <c r="E171" s="20" t="s">
        <v>21</v>
      </c>
      <c r="F171" s="19" t="s">
        <v>58</v>
      </c>
      <c r="G171" s="21"/>
      <c r="H171" s="21"/>
      <c r="I171" s="5"/>
      <c r="J171" s="5"/>
      <c r="K171" s="5"/>
      <c r="L171" s="52" t="s">
        <v>914</v>
      </c>
      <c r="M171" s="5"/>
      <c r="N171" s="5"/>
      <c r="O171" s="5"/>
      <c r="P171" s="54" t="s">
        <v>914</v>
      </c>
      <c r="Q171" s="52" t="s">
        <v>914</v>
      </c>
      <c r="R171" s="5"/>
      <c r="S171" s="52" t="s">
        <v>914</v>
      </c>
      <c r="T171" s="5"/>
      <c r="U171" s="5"/>
      <c r="V171" s="52" t="s">
        <v>914</v>
      </c>
      <c r="W171" s="52" t="s">
        <v>914</v>
      </c>
      <c r="X171" s="52" t="s">
        <v>914</v>
      </c>
      <c r="Y171" s="52" t="s">
        <v>914</v>
      </c>
      <c r="AA171" s="5"/>
      <c r="AD171" s="52" t="s">
        <v>914</v>
      </c>
      <c r="AE171" s="53" t="s">
        <v>914</v>
      </c>
      <c r="AF171" s="53" t="s">
        <v>914</v>
      </c>
      <c r="AG171" s="52" t="s">
        <v>914</v>
      </c>
      <c r="AH171" s="5"/>
      <c r="AJ171" s="53" t="s">
        <v>914</v>
      </c>
      <c r="AL171" s="53" t="s">
        <v>914</v>
      </c>
      <c r="AM171" s="22">
        <f t="shared" si="12"/>
        <v>14</v>
      </c>
    </row>
    <row r="172" spans="1:39" ht="15.75" x14ac:dyDescent="0.25">
      <c r="A172" s="19" t="s">
        <v>55</v>
      </c>
      <c r="B172" s="19" t="s">
        <v>606</v>
      </c>
      <c r="C172" s="20" t="s">
        <v>607</v>
      </c>
      <c r="D172" s="20" t="s">
        <v>21</v>
      </c>
      <c r="E172" s="20" t="s">
        <v>21</v>
      </c>
      <c r="F172" s="19" t="s">
        <v>58</v>
      </c>
      <c r="G172" s="21"/>
      <c r="H172" s="21"/>
      <c r="I172" s="5"/>
      <c r="J172" s="5"/>
      <c r="K172" s="5"/>
      <c r="L172" s="52" t="s">
        <v>914</v>
      </c>
      <c r="M172" s="5"/>
      <c r="O172" s="52" t="s">
        <v>914</v>
      </c>
      <c r="P172" s="54" t="s">
        <v>914</v>
      </c>
      <c r="Q172" s="52" t="s">
        <v>914</v>
      </c>
      <c r="R172" s="52" t="s">
        <v>914</v>
      </c>
      <c r="S172" s="52" t="s">
        <v>914</v>
      </c>
      <c r="T172" s="5"/>
      <c r="U172" s="5"/>
      <c r="V172" s="52" t="s">
        <v>914</v>
      </c>
      <c r="W172" s="52" t="s">
        <v>914</v>
      </c>
      <c r="X172" s="52" t="s">
        <v>914</v>
      </c>
      <c r="Y172" s="52" t="s">
        <v>914</v>
      </c>
      <c r="Z172" s="53" t="s">
        <v>914</v>
      </c>
      <c r="AA172" s="5"/>
      <c r="AC172" s="53" t="s">
        <v>914</v>
      </c>
      <c r="AD172" s="52" t="s">
        <v>914</v>
      </c>
      <c r="AE172" s="53" t="s">
        <v>914</v>
      </c>
      <c r="AF172" s="53" t="s">
        <v>914</v>
      </c>
      <c r="AG172" s="5"/>
      <c r="AH172" s="5"/>
      <c r="AJ172" s="53" t="s">
        <v>914</v>
      </c>
      <c r="AK172" s="53" t="s">
        <v>914</v>
      </c>
      <c r="AL172" s="53" t="s">
        <v>914</v>
      </c>
      <c r="AM172" s="22">
        <f t="shared" si="12"/>
        <v>18</v>
      </c>
    </row>
    <row r="173" spans="1:39" ht="15.75" x14ac:dyDescent="0.25">
      <c r="A173" s="19" t="s">
        <v>55</v>
      </c>
      <c r="B173" s="19" t="s">
        <v>610</v>
      </c>
      <c r="C173" s="20" t="s">
        <v>611</v>
      </c>
      <c r="D173" s="20" t="s">
        <v>10</v>
      </c>
      <c r="E173" s="20" t="s">
        <v>10</v>
      </c>
      <c r="F173" s="19" t="s">
        <v>58</v>
      </c>
      <c r="G173" s="21"/>
      <c r="H173" s="21"/>
      <c r="I173" s="5"/>
      <c r="J173" s="5"/>
      <c r="K173" s="5"/>
      <c r="L173" s="5"/>
      <c r="M173" s="5"/>
      <c r="O173" s="5"/>
      <c r="P173" s="54"/>
      <c r="Q173" s="5"/>
      <c r="R173" s="5"/>
      <c r="S173" s="5"/>
      <c r="T173" s="5"/>
      <c r="U173" s="5"/>
      <c r="V173" s="5"/>
      <c r="W173" s="5"/>
      <c r="X173" s="5"/>
      <c r="Y173" s="5"/>
      <c r="AD173" s="52" t="s">
        <v>914</v>
      </c>
      <c r="AH173" s="5"/>
      <c r="AM173" s="22">
        <f t="shared" si="12"/>
        <v>1</v>
      </c>
    </row>
    <row r="174" spans="1:39" ht="15.75" x14ac:dyDescent="0.25">
      <c r="A174" s="19" t="s">
        <v>55</v>
      </c>
      <c r="B174" s="19" t="s">
        <v>612</v>
      </c>
      <c r="C174" s="20" t="s">
        <v>613</v>
      </c>
      <c r="D174" s="20" t="s">
        <v>14</v>
      </c>
      <c r="E174" s="20" t="s">
        <v>14</v>
      </c>
      <c r="F174" s="19" t="s">
        <v>58</v>
      </c>
      <c r="G174" s="21"/>
      <c r="H174" s="21"/>
      <c r="I174" s="5" t="s">
        <v>914</v>
      </c>
      <c r="J174" s="5"/>
      <c r="K174" s="5"/>
      <c r="L174" s="52" t="s">
        <v>914</v>
      </c>
      <c r="M174" s="52" t="s">
        <v>914</v>
      </c>
      <c r="N174" s="5"/>
      <c r="O174" s="52" t="s">
        <v>914</v>
      </c>
      <c r="P174" s="54" t="s">
        <v>914</v>
      </c>
      <c r="Q174" s="53" t="s">
        <v>914</v>
      </c>
      <c r="R174" s="52" t="s">
        <v>914</v>
      </c>
      <c r="S174" s="52" t="s">
        <v>914</v>
      </c>
      <c r="T174" s="52" t="s">
        <v>914</v>
      </c>
      <c r="U174" s="5"/>
      <c r="V174" s="52" t="s">
        <v>914</v>
      </c>
      <c r="W174" s="52" t="s">
        <v>914</v>
      </c>
      <c r="X174" s="52" t="s">
        <v>914</v>
      </c>
      <c r="Y174" s="52" t="s">
        <v>914</v>
      </c>
      <c r="Z174" s="53" t="s">
        <v>914</v>
      </c>
      <c r="AA174" s="53" t="s">
        <v>914</v>
      </c>
      <c r="AB174" s="5"/>
      <c r="AC174" s="53"/>
      <c r="AD174" s="52" t="s">
        <v>914</v>
      </c>
      <c r="AE174" s="53" t="s">
        <v>914</v>
      </c>
      <c r="AF174" s="53" t="s">
        <v>914</v>
      </c>
      <c r="AG174" s="52" t="s">
        <v>914</v>
      </c>
      <c r="AH174" s="52" t="s">
        <v>914</v>
      </c>
      <c r="AJ174" s="53" t="s">
        <v>914</v>
      </c>
      <c r="AK174" s="53" t="s">
        <v>914</v>
      </c>
      <c r="AL174" s="53" t="s">
        <v>914</v>
      </c>
      <c r="AM174" s="22">
        <f t="shared" si="12"/>
        <v>23</v>
      </c>
    </row>
    <row r="175" spans="1:39" ht="15.75" x14ac:dyDescent="0.25">
      <c r="A175" s="19" t="s">
        <v>55</v>
      </c>
      <c r="B175" s="19" t="s">
        <v>614</v>
      </c>
      <c r="C175" s="20" t="s">
        <v>615</v>
      </c>
      <c r="D175" s="20" t="s">
        <v>13</v>
      </c>
      <c r="E175" s="20" t="s">
        <v>13</v>
      </c>
      <c r="F175" s="19" t="s">
        <v>58</v>
      </c>
      <c r="G175" s="21"/>
      <c r="H175" s="21"/>
      <c r="I175" s="5"/>
      <c r="J175" s="5"/>
      <c r="K175" s="5"/>
      <c r="L175" s="52" t="s">
        <v>914</v>
      </c>
      <c r="M175" s="5"/>
      <c r="O175" s="5"/>
      <c r="P175" s="54" t="s">
        <v>914</v>
      </c>
      <c r="Q175" s="52" t="s">
        <v>914</v>
      </c>
      <c r="R175" s="52" t="s">
        <v>914</v>
      </c>
      <c r="S175" s="52" t="s">
        <v>914</v>
      </c>
      <c r="T175" s="5"/>
      <c r="U175" s="5"/>
      <c r="V175" s="5"/>
      <c r="W175" s="52" t="s">
        <v>914</v>
      </c>
      <c r="X175" s="52" t="s">
        <v>914</v>
      </c>
      <c r="Y175" s="5"/>
      <c r="AA175" s="53" t="s">
        <v>914</v>
      </c>
      <c r="AD175" s="52" t="s">
        <v>914</v>
      </c>
      <c r="AE175" s="53" t="s">
        <v>914</v>
      </c>
      <c r="AF175" s="53" t="s">
        <v>914</v>
      </c>
      <c r="AH175" s="5"/>
      <c r="AK175" s="53" t="s">
        <v>914</v>
      </c>
      <c r="AM175" s="22">
        <f t="shared" si="12"/>
        <v>12</v>
      </c>
    </row>
    <row r="176" spans="1:39" ht="15.75" x14ac:dyDescent="0.25">
      <c r="A176" s="19" t="s">
        <v>55</v>
      </c>
      <c r="B176" s="19" t="s">
        <v>618</v>
      </c>
      <c r="C176" s="20" t="s">
        <v>619</v>
      </c>
      <c r="D176" s="20" t="s">
        <v>22</v>
      </c>
      <c r="E176" s="20" t="s">
        <v>22</v>
      </c>
      <c r="F176" s="19" t="s">
        <v>58</v>
      </c>
      <c r="G176" s="21"/>
      <c r="H176" s="21"/>
      <c r="I176" s="5"/>
      <c r="J176" s="5"/>
      <c r="K176" s="5"/>
      <c r="L176" s="52" t="s">
        <v>914</v>
      </c>
      <c r="M176" s="5"/>
      <c r="O176" s="52" t="s">
        <v>914</v>
      </c>
      <c r="P176" s="54"/>
      <c r="Q176" s="5"/>
      <c r="R176" s="5"/>
      <c r="S176" s="5"/>
      <c r="T176" s="5"/>
      <c r="U176" s="5"/>
      <c r="V176" s="5"/>
      <c r="W176" s="5"/>
      <c r="X176" s="5"/>
      <c r="Y176" s="52" t="s">
        <v>914</v>
      </c>
      <c r="Z176" s="53" t="s">
        <v>914</v>
      </c>
      <c r="AC176" s="53" t="s">
        <v>914</v>
      </c>
      <c r="AD176" s="52" t="s">
        <v>914</v>
      </c>
      <c r="AE176" s="53" t="s">
        <v>914</v>
      </c>
      <c r="AF176" s="53" t="s">
        <v>914</v>
      </c>
      <c r="AH176" s="5"/>
      <c r="AJ176" s="53" t="s">
        <v>914</v>
      </c>
      <c r="AK176" s="53" t="s">
        <v>914</v>
      </c>
      <c r="AM176" s="22">
        <f t="shared" si="12"/>
        <v>10</v>
      </c>
    </row>
    <row r="177" spans="1:39" ht="15.75" x14ac:dyDescent="0.25">
      <c r="A177" s="19" t="s">
        <v>55</v>
      </c>
      <c r="B177" s="19" t="s">
        <v>622</v>
      </c>
      <c r="C177" s="20" t="s">
        <v>623</v>
      </c>
      <c r="D177" s="20" t="s">
        <v>18</v>
      </c>
      <c r="E177" s="20" t="s">
        <v>18</v>
      </c>
      <c r="F177" s="19" t="s">
        <v>58</v>
      </c>
      <c r="G177" s="21"/>
      <c r="H177" s="21"/>
      <c r="I177" s="5"/>
      <c r="J177" s="5"/>
      <c r="K177" s="5"/>
      <c r="L177" s="52" t="s">
        <v>914</v>
      </c>
      <c r="M177" s="5"/>
      <c r="O177" s="52" t="s">
        <v>914</v>
      </c>
      <c r="P177" s="54" t="s">
        <v>914</v>
      </c>
      <c r="Q177" s="52" t="s">
        <v>914</v>
      </c>
      <c r="R177" s="52" t="s">
        <v>914</v>
      </c>
      <c r="S177" s="52" t="s">
        <v>914</v>
      </c>
      <c r="T177" s="5"/>
      <c r="U177" s="5"/>
      <c r="V177" s="52" t="s">
        <v>914</v>
      </c>
      <c r="W177" s="5"/>
      <c r="X177" s="52" t="s">
        <v>914</v>
      </c>
      <c r="Y177" s="52" t="s">
        <v>914</v>
      </c>
      <c r="AD177" s="52" t="s">
        <v>914</v>
      </c>
      <c r="AH177" s="5"/>
      <c r="AJ177" s="53" t="s">
        <v>914</v>
      </c>
      <c r="AK177" s="53" t="s">
        <v>914</v>
      </c>
      <c r="AL177" s="53" t="s">
        <v>914</v>
      </c>
      <c r="AM177" s="22">
        <f t="shared" si="12"/>
        <v>13</v>
      </c>
    </row>
    <row r="178" spans="1:39" ht="15.75" x14ac:dyDescent="0.25">
      <c r="A178" s="19" t="s">
        <v>55</v>
      </c>
      <c r="B178" s="19" t="s">
        <v>626</v>
      </c>
      <c r="C178" s="20" t="s">
        <v>627</v>
      </c>
      <c r="D178" s="20" t="s">
        <v>11</v>
      </c>
      <c r="E178" s="20" t="s">
        <v>11</v>
      </c>
      <c r="F178" s="19" t="s">
        <v>58</v>
      </c>
      <c r="G178" s="21"/>
      <c r="H178" s="21"/>
      <c r="I178" s="5"/>
      <c r="J178" s="5"/>
      <c r="K178" s="5"/>
      <c r="L178" s="5"/>
      <c r="M178" s="5"/>
      <c r="O178" s="5"/>
      <c r="P178" s="54"/>
      <c r="Q178" s="5"/>
      <c r="R178" s="5"/>
      <c r="S178" s="5"/>
      <c r="T178" s="5"/>
      <c r="U178" s="5"/>
      <c r="V178" s="5"/>
      <c r="W178" s="52" t="s">
        <v>914</v>
      </c>
      <c r="X178" s="52" t="s">
        <v>914</v>
      </c>
      <c r="Y178" s="52" t="s">
        <v>914</v>
      </c>
      <c r="AC178" s="53" t="s">
        <v>914</v>
      </c>
      <c r="AD178" s="52" t="s">
        <v>914</v>
      </c>
      <c r="AE178" s="53" t="s">
        <v>914</v>
      </c>
      <c r="AF178" s="53" t="s">
        <v>914</v>
      </c>
      <c r="AH178" s="5"/>
      <c r="AJ178" s="53" t="s">
        <v>914</v>
      </c>
      <c r="AK178" s="53" t="s">
        <v>914</v>
      </c>
      <c r="AM178" s="22">
        <f t="shared" si="12"/>
        <v>9</v>
      </c>
    </row>
    <row r="179" spans="1:39" ht="15.75" x14ac:dyDescent="0.25">
      <c r="A179" s="19" t="s">
        <v>55</v>
      </c>
      <c r="B179" s="19" t="s">
        <v>628</v>
      </c>
      <c r="C179" s="20" t="s">
        <v>629</v>
      </c>
      <c r="D179" s="20" t="s">
        <v>11</v>
      </c>
      <c r="E179" s="20" t="s">
        <v>11</v>
      </c>
      <c r="F179" s="19" t="s">
        <v>58</v>
      </c>
      <c r="G179" s="21"/>
      <c r="H179" s="21"/>
      <c r="I179" s="5"/>
      <c r="J179" s="5"/>
      <c r="K179" s="5"/>
      <c r="L179" s="5"/>
      <c r="M179" s="5"/>
      <c r="O179" s="5"/>
      <c r="P179" s="54"/>
      <c r="Q179" s="5"/>
      <c r="R179" s="5"/>
      <c r="S179" s="5"/>
      <c r="T179" s="5"/>
      <c r="U179" s="5"/>
      <c r="V179" s="5"/>
      <c r="W179" s="52" t="s">
        <v>914</v>
      </c>
      <c r="X179" s="52" t="s">
        <v>914</v>
      </c>
      <c r="Y179" s="52" t="s">
        <v>914</v>
      </c>
      <c r="AH179" s="5"/>
      <c r="AM179" s="22">
        <f t="shared" si="12"/>
        <v>3</v>
      </c>
    </row>
    <row r="180" spans="1:39" ht="15.75" x14ac:dyDescent="0.25">
      <c r="A180" s="19" t="s">
        <v>55</v>
      </c>
      <c r="B180" s="19" t="s">
        <v>630</v>
      </c>
      <c r="C180" s="20" t="s">
        <v>631</v>
      </c>
      <c r="D180" s="20" t="s">
        <v>11</v>
      </c>
      <c r="E180" s="20" t="s">
        <v>11</v>
      </c>
      <c r="F180" s="19" t="s">
        <v>58</v>
      </c>
      <c r="G180" s="21"/>
      <c r="H180" s="21"/>
      <c r="I180" s="5"/>
      <c r="J180" s="5"/>
      <c r="K180" s="5"/>
      <c r="L180" s="5"/>
      <c r="M180" s="5"/>
      <c r="O180" s="5"/>
      <c r="P180" s="54"/>
      <c r="Q180" s="5"/>
      <c r="R180" s="5"/>
      <c r="S180" s="5"/>
      <c r="T180" s="5"/>
      <c r="U180" s="5"/>
      <c r="V180" s="5"/>
      <c r="W180" s="52" t="s">
        <v>914</v>
      </c>
      <c r="X180" s="52" t="s">
        <v>914</v>
      </c>
      <c r="Y180" s="52" t="s">
        <v>914</v>
      </c>
      <c r="AC180" s="53" t="s">
        <v>914</v>
      </c>
      <c r="AD180" s="52" t="s">
        <v>914</v>
      </c>
      <c r="AE180" s="53" t="s">
        <v>914</v>
      </c>
      <c r="AF180" s="53" t="s">
        <v>914</v>
      </c>
      <c r="AH180" s="5"/>
      <c r="AJ180" s="53" t="s">
        <v>914</v>
      </c>
      <c r="AK180" s="53" t="s">
        <v>914</v>
      </c>
      <c r="AM180" s="22">
        <f t="shared" si="12"/>
        <v>9</v>
      </c>
    </row>
    <row r="181" spans="1:39" ht="15.75" x14ac:dyDescent="0.25">
      <c r="A181" s="19" t="s">
        <v>55</v>
      </c>
      <c r="B181" s="19" t="s">
        <v>632</v>
      </c>
      <c r="C181" s="20" t="s">
        <v>881</v>
      </c>
      <c r="D181" s="20" t="s">
        <v>11</v>
      </c>
      <c r="E181" s="20" t="s">
        <v>11</v>
      </c>
      <c r="F181" s="19" t="s">
        <v>58</v>
      </c>
      <c r="G181" s="21"/>
      <c r="H181" s="21"/>
      <c r="I181" s="5"/>
      <c r="J181" s="5"/>
      <c r="K181" s="5"/>
      <c r="L181" s="5"/>
      <c r="M181" s="5"/>
      <c r="O181" s="5"/>
      <c r="P181" s="54"/>
      <c r="Q181" s="5"/>
      <c r="R181" s="5"/>
      <c r="S181" s="5"/>
      <c r="T181" s="5"/>
      <c r="U181" s="5"/>
      <c r="V181" s="5"/>
      <c r="W181" s="5"/>
      <c r="X181" s="52" t="s">
        <v>914</v>
      </c>
      <c r="Y181" s="52" t="s">
        <v>914</v>
      </c>
      <c r="AC181" s="53" t="s">
        <v>914</v>
      </c>
      <c r="AD181" s="52" t="s">
        <v>914</v>
      </c>
      <c r="AE181" s="53" t="s">
        <v>914</v>
      </c>
      <c r="AF181" s="53" t="s">
        <v>914</v>
      </c>
      <c r="AH181" s="5"/>
      <c r="AJ181" s="53" t="s">
        <v>914</v>
      </c>
      <c r="AK181" s="53" t="s">
        <v>914</v>
      </c>
      <c r="AM181" s="22">
        <f t="shared" si="12"/>
        <v>8</v>
      </c>
    </row>
    <row r="182" spans="1:39" ht="15.75" x14ac:dyDescent="0.25">
      <c r="A182" s="19" t="s">
        <v>55</v>
      </c>
      <c r="B182" s="19" t="s">
        <v>633</v>
      </c>
      <c r="C182" s="20" t="s">
        <v>634</v>
      </c>
      <c r="D182" s="20" t="s">
        <v>21</v>
      </c>
      <c r="E182" s="20" t="s">
        <v>21</v>
      </c>
      <c r="F182" s="19" t="s">
        <v>58</v>
      </c>
      <c r="G182" s="21"/>
      <c r="H182" s="21"/>
      <c r="I182" s="5"/>
      <c r="J182" s="5"/>
      <c r="K182" s="5"/>
      <c r="L182" s="52" t="s">
        <v>914</v>
      </c>
      <c r="M182" s="5"/>
      <c r="O182" s="52" t="s">
        <v>914</v>
      </c>
      <c r="P182" s="54" t="s">
        <v>914</v>
      </c>
      <c r="Q182" s="52" t="s">
        <v>914</v>
      </c>
      <c r="R182" s="52" t="s">
        <v>914</v>
      </c>
      <c r="S182" s="52" t="s">
        <v>914</v>
      </c>
      <c r="T182" s="5"/>
      <c r="U182" s="5"/>
      <c r="V182" s="52" t="s">
        <v>914</v>
      </c>
      <c r="W182" s="52" t="s">
        <v>914</v>
      </c>
      <c r="X182" s="5"/>
      <c r="Y182" s="52" t="s">
        <v>914</v>
      </c>
      <c r="Z182" s="53" t="s">
        <v>914</v>
      </c>
      <c r="AA182" s="5"/>
      <c r="AC182" s="53" t="s">
        <v>914</v>
      </c>
      <c r="AD182" s="52" t="s">
        <v>914</v>
      </c>
      <c r="AE182" s="53" t="s">
        <v>914</v>
      </c>
      <c r="AG182" s="52" t="s">
        <v>914</v>
      </c>
      <c r="AH182" s="5"/>
      <c r="AJ182" s="53" t="s">
        <v>914</v>
      </c>
      <c r="AK182" s="53" t="s">
        <v>914</v>
      </c>
      <c r="AL182" s="53" t="s">
        <v>914</v>
      </c>
      <c r="AM182" s="22">
        <f t="shared" si="12"/>
        <v>17</v>
      </c>
    </row>
    <row r="183" spans="1:39" ht="15.75" x14ac:dyDescent="0.25">
      <c r="A183" s="19" t="s">
        <v>55</v>
      </c>
      <c r="B183" s="19" t="s">
        <v>635</v>
      </c>
      <c r="C183" s="20" t="s">
        <v>636</v>
      </c>
      <c r="D183" s="20" t="s">
        <v>21</v>
      </c>
      <c r="E183" s="20" t="s">
        <v>21</v>
      </c>
      <c r="F183" s="19" t="s">
        <v>58</v>
      </c>
      <c r="G183" s="21"/>
      <c r="H183" s="21"/>
      <c r="I183" s="5"/>
      <c r="J183" s="5"/>
      <c r="K183" s="5"/>
      <c r="L183" s="5"/>
      <c r="M183" s="5"/>
      <c r="O183" s="52" t="s">
        <v>914</v>
      </c>
      <c r="P183" s="54"/>
      <c r="Q183" s="5"/>
      <c r="R183" s="5"/>
      <c r="S183" s="5"/>
      <c r="T183" s="5"/>
      <c r="U183" s="5"/>
      <c r="V183" s="5"/>
      <c r="W183" s="5"/>
      <c r="X183" s="5"/>
      <c r="Y183" s="52" t="s">
        <v>914</v>
      </c>
      <c r="AA183" s="5"/>
      <c r="AC183" s="53" t="s">
        <v>914</v>
      </c>
      <c r="AD183" s="5"/>
      <c r="AE183" s="53" t="s">
        <v>914</v>
      </c>
      <c r="AG183" s="5"/>
      <c r="AH183" s="5"/>
      <c r="AM183" s="22">
        <f t="shared" si="12"/>
        <v>4</v>
      </c>
    </row>
    <row r="184" spans="1:39" ht="15.75" x14ac:dyDescent="0.25">
      <c r="A184" s="19" t="s">
        <v>55</v>
      </c>
      <c r="B184" s="19" t="s">
        <v>637</v>
      </c>
      <c r="C184" s="20" t="s">
        <v>638</v>
      </c>
      <c r="D184" s="20" t="s">
        <v>21</v>
      </c>
      <c r="E184" s="20" t="s">
        <v>21</v>
      </c>
      <c r="F184" s="19" t="s">
        <v>58</v>
      </c>
      <c r="G184" s="21"/>
      <c r="H184" s="21"/>
      <c r="I184" s="5"/>
      <c r="J184" s="5"/>
      <c r="K184" s="5"/>
      <c r="L184" s="5"/>
      <c r="M184" s="5"/>
      <c r="N184" s="5"/>
      <c r="O184" s="52" t="s">
        <v>914</v>
      </c>
      <c r="P184" s="54" t="s">
        <v>914</v>
      </c>
      <c r="Q184" s="52" t="s">
        <v>914</v>
      </c>
      <c r="R184" s="5"/>
      <c r="S184" s="52" t="s">
        <v>914</v>
      </c>
      <c r="T184" s="5"/>
      <c r="U184" s="5"/>
      <c r="V184" s="52" t="s">
        <v>914</v>
      </c>
      <c r="W184" s="52" t="s">
        <v>914</v>
      </c>
      <c r="X184" s="52" t="s">
        <v>914</v>
      </c>
      <c r="Y184" s="52" t="s">
        <v>914</v>
      </c>
      <c r="AA184" s="5"/>
      <c r="AC184" s="53" t="s">
        <v>914</v>
      </c>
      <c r="AD184" s="52" t="s">
        <v>914</v>
      </c>
      <c r="AE184" s="53" t="s">
        <v>914</v>
      </c>
      <c r="AF184" s="53" t="s">
        <v>914</v>
      </c>
      <c r="AH184" s="5"/>
      <c r="AJ184" s="53" t="s">
        <v>914</v>
      </c>
      <c r="AL184" s="53" t="s">
        <v>914</v>
      </c>
      <c r="AM184" s="22">
        <f t="shared" si="12"/>
        <v>14</v>
      </c>
    </row>
    <row r="185" spans="1:39" ht="15.75" x14ac:dyDescent="0.25">
      <c r="A185" s="19" t="s">
        <v>55</v>
      </c>
      <c r="B185" s="19" t="s">
        <v>639</v>
      </c>
      <c r="C185" s="20" t="s">
        <v>640</v>
      </c>
      <c r="D185" s="20" t="s">
        <v>21</v>
      </c>
      <c r="E185" s="20" t="s">
        <v>21</v>
      </c>
      <c r="F185" s="19" t="s">
        <v>58</v>
      </c>
      <c r="G185" s="21"/>
      <c r="H185" s="21"/>
      <c r="I185" s="5"/>
      <c r="J185" s="5"/>
      <c r="K185" s="5"/>
      <c r="L185" s="52" t="s">
        <v>914</v>
      </c>
      <c r="M185" s="5"/>
      <c r="O185" s="52" t="s">
        <v>914</v>
      </c>
      <c r="P185" s="54" t="s">
        <v>914</v>
      </c>
      <c r="Q185" s="52" t="s">
        <v>914</v>
      </c>
      <c r="R185" s="52" t="s">
        <v>914</v>
      </c>
      <c r="S185" s="52" t="s">
        <v>914</v>
      </c>
      <c r="T185" s="5"/>
      <c r="U185" s="5"/>
      <c r="V185" s="52" t="s">
        <v>914</v>
      </c>
      <c r="W185" s="52" t="s">
        <v>914</v>
      </c>
      <c r="X185" s="52" t="s">
        <v>914</v>
      </c>
      <c r="Y185" s="5"/>
      <c r="Z185" s="53" t="s">
        <v>914</v>
      </c>
      <c r="AA185" s="5"/>
      <c r="AC185" s="53" t="s">
        <v>914</v>
      </c>
      <c r="AD185" s="52" t="s">
        <v>914</v>
      </c>
      <c r="AF185" s="53" t="s">
        <v>914</v>
      </c>
      <c r="AG185" s="52" t="s">
        <v>914</v>
      </c>
      <c r="AH185" s="5"/>
      <c r="AJ185" s="53" t="s">
        <v>914</v>
      </c>
      <c r="AK185" s="53" t="s">
        <v>914</v>
      </c>
      <c r="AL185" s="53" t="s">
        <v>914</v>
      </c>
      <c r="AM185" s="22">
        <f t="shared" si="12"/>
        <v>17</v>
      </c>
    </row>
    <row r="186" spans="1:39" ht="15.75" x14ac:dyDescent="0.25">
      <c r="A186" s="19" t="s">
        <v>55</v>
      </c>
      <c r="B186" s="19" t="s">
        <v>641</v>
      </c>
      <c r="C186" s="20" t="s">
        <v>642</v>
      </c>
      <c r="D186" s="20" t="s">
        <v>21</v>
      </c>
      <c r="E186" s="20" t="s">
        <v>21</v>
      </c>
      <c r="F186" s="19" t="s">
        <v>58</v>
      </c>
      <c r="G186" s="21"/>
      <c r="H186" s="21"/>
      <c r="I186" s="5"/>
      <c r="J186" s="5"/>
      <c r="K186" s="5"/>
      <c r="L186" s="52" t="s">
        <v>914</v>
      </c>
      <c r="M186" s="5"/>
      <c r="N186" s="5"/>
      <c r="O186" s="52" t="s">
        <v>914</v>
      </c>
      <c r="P186" s="54" t="s">
        <v>914</v>
      </c>
      <c r="Q186" s="52" t="s">
        <v>914</v>
      </c>
      <c r="R186" s="52" t="s">
        <v>914</v>
      </c>
      <c r="S186" s="52" t="s">
        <v>914</v>
      </c>
      <c r="T186" s="5"/>
      <c r="U186" s="5"/>
      <c r="V186" s="52" t="s">
        <v>914</v>
      </c>
      <c r="W186" s="52" t="s">
        <v>914</v>
      </c>
      <c r="X186" s="52" t="s">
        <v>914</v>
      </c>
      <c r="Y186" s="52" t="s">
        <v>914</v>
      </c>
      <c r="Z186" s="53" t="s">
        <v>914</v>
      </c>
      <c r="AA186" s="5"/>
      <c r="AC186" s="53" t="s">
        <v>914</v>
      </c>
      <c r="AD186" s="52" t="s">
        <v>914</v>
      </c>
      <c r="AE186" s="53" t="s">
        <v>914</v>
      </c>
      <c r="AF186" s="53" t="s">
        <v>914</v>
      </c>
      <c r="AG186" s="52" t="s">
        <v>914</v>
      </c>
      <c r="AH186" s="5"/>
      <c r="AJ186" s="53" t="s">
        <v>914</v>
      </c>
      <c r="AK186" s="53" t="s">
        <v>914</v>
      </c>
      <c r="AL186" s="53" t="s">
        <v>914</v>
      </c>
      <c r="AM186" s="22">
        <f t="shared" si="12"/>
        <v>19</v>
      </c>
    </row>
    <row r="187" spans="1:39" ht="15.75" x14ac:dyDescent="0.25">
      <c r="A187" s="19" t="s">
        <v>55</v>
      </c>
      <c r="B187" s="19" t="s">
        <v>643</v>
      </c>
      <c r="C187" s="20" t="s">
        <v>644</v>
      </c>
      <c r="D187" s="20" t="s">
        <v>21</v>
      </c>
      <c r="E187" s="20" t="s">
        <v>21</v>
      </c>
      <c r="F187" s="19" t="s">
        <v>58</v>
      </c>
      <c r="G187" s="21"/>
      <c r="H187" s="21"/>
      <c r="I187" s="5"/>
      <c r="J187" s="5"/>
      <c r="K187" s="5"/>
      <c r="L187" s="5"/>
      <c r="M187" s="5"/>
      <c r="O187" s="52" t="s">
        <v>914</v>
      </c>
      <c r="P187" s="54" t="s">
        <v>914</v>
      </c>
      <c r="Q187" s="52" t="s">
        <v>914</v>
      </c>
      <c r="R187" s="5"/>
      <c r="S187" s="52" t="s">
        <v>914</v>
      </c>
      <c r="T187" s="5"/>
      <c r="U187" s="5"/>
      <c r="V187" s="52" t="s">
        <v>914</v>
      </c>
      <c r="W187" s="52" t="s">
        <v>914</v>
      </c>
      <c r="X187" s="52" t="s">
        <v>914</v>
      </c>
      <c r="Y187" s="52" t="s">
        <v>914</v>
      </c>
      <c r="Z187" s="53" t="s">
        <v>914</v>
      </c>
      <c r="AA187" s="5"/>
      <c r="AC187" s="53" t="s">
        <v>914</v>
      </c>
      <c r="AD187" s="52" t="s">
        <v>914</v>
      </c>
      <c r="AE187" s="53" t="s">
        <v>914</v>
      </c>
      <c r="AF187" s="53" t="s">
        <v>914</v>
      </c>
      <c r="AG187" s="52" t="s">
        <v>914</v>
      </c>
      <c r="AH187" s="5"/>
      <c r="AJ187" s="53" t="s">
        <v>914</v>
      </c>
      <c r="AK187" s="53" t="s">
        <v>914</v>
      </c>
      <c r="AM187" s="22">
        <f t="shared" si="12"/>
        <v>16</v>
      </c>
    </row>
    <row r="188" spans="1:39" ht="15.75" x14ac:dyDescent="0.25">
      <c r="A188" s="19" t="s">
        <v>55</v>
      </c>
      <c r="B188" s="19" t="s">
        <v>645</v>
      </c>
      <c r="C188" s="20" t="s">
        <v>646</v>
      </c>
      <c r="D188" s="20" t="s">
        <v>21</v>
      </c>
      <c r="E188" s="20" t="s">
        <v>21</v>
      </c>
      <c r="F188" s="19" t="s">
        <v>58</v>
      </c>
      <c r="G188" s="21"/>
      <c r="H188" s="21"/>
      <c r="I188" s="5"/>
      <c r="J188" s="5"/>
      <c r="K188" s="5"/>
      <c r="L188" s="52" t="s">
        <v>914</v>
      </c>
      <c r="M188" s="5"/>
      <c r="O188" s="52" t="s">
        <v>914</v>
      </c>
      <c r="P188" s="54" t="s">
        <v>914</v>
      </c>
      <c r="Q188" s="52" t="s">
        <v>914</v>
      </c>
      <c r="R188" s="52" t="s">
        <v>914</v>
      </c>
      <c r="S188" s="52" t="s">
        <v>914</v>
      </c>
      <c r="T188" s="5"/>
      <c r="U188" s="5"/>
      <c r="V188" s="52" t="s">
        <v>914</v>
      </c>
      <c r="W188" s="5"/>
      <c r="X188" s="5"/>
      <c r="Y188" s="52" t="s">
        <v>914</v>
      </c>
      <c r="Z188" s="53" t="s">
        <v>914</v>
      </c>
      <c r="AA188" s="5"/>
      <c r="AC188" s="53" t="s">
        <v>914</v>
      </c>
      <c r="AD188" s="52" t="s">
        <v>914</v>
      </c>
      <c r="AE188" s="53" t="s">
        <v>914</v>
      </c>
      <c r="AF188" s="53" t="s">
        <v>914</v>
      </c>
      <c r="AH188" s="5"/>
      <c r="AJ188" s="53" t="s">
        <v>914</v>
      </c>
      <c r="AK188" s="53" t="s">
        <v>914</v>
      </c>
      <c r="AL188" s="53" t="s">
        <v>914</v>
      </c>
      <c r="AM188" s="22">
        <f t="shared" si="12"/>
        <v>16</v>
      </c>
    </row>
    <row r="189" spans="1:39" ht="15.75" x14ac:dyDescent="0.25">
      <c r="A189" s="19" t="s">
        <v>55</v>
      </c>
      <c r="B189" s="19" t="s">
        <v>649</v>
      </c>
      <c r="C189" s="20" t="s">
        <v>650</v>
      </c>
      <c r="D189" s="20" t="s">
        <v>23</v>
      </c>
      <c r="E189" s="20" t="s">
        <v>23</v>
      </c>
      <c r="F189" s="19" t="s">
        <v>58</v>
      </c>
      <c r="G189" s="21"/>
      <c r="H189" s="21"/>
      <c r="I189" s="5"/>
      <c r="J189" s="5"/>
      <c r="K189" s="5"/>
      <c r="L189" s="5"/>
      <c r="M189" s="5"/>
      <c r="O189" s="5"/>
      <c r="P189" s="54" t="s">
        <v>914</v>
      </c>
      <c r="Q189" s="52" t="s">
        <v>914</v>
      </c>
      <c r="R189" s="52" t="s">
        <v>914</v>
      </c>
      <c r="S189" s="52" t="s">
        <v>914</v>
      </c>
      <c r="T189" s="5"/>
      <c r="U189" s="5"/>
      <c r="V189" s="52" t="s">
        <v>914</v>
      </c>
      <c r="W189" s="52" t="s">
        <v>914</v>
      </c>
      <c r="X189" s="5"/>
      <c r="Y189" s="52" t="s">
        <v>914</v>
      </c>
      <c r="Z189" s="53" t="s">
        <v>914</v>
      </c>
      <c r="AC189" s="53" t="s">
        <v>914</v>
      </c>
      <c r="AD189" s="52" t="s">
        <v>914</v>
      </c>
      <c r="AE189" s="53" t="s">
        <v>914</v>
      </c>
      <c r="AF189" s="53" t="s">
        <v>915</v>
      </c>
      <c r="AH189" s="5"/>
      <c r="AJ189" s="53" t="s">
        <v>914</v>
      </c>
      <c r="AK189" s="53" t="s">
        <v>914</v>
      </c>
      <c r="AL189" s="53" t="s">
        <v>914</v>
      </c>
      <c r="AM189" s="22">
        <f t="shared" si="12"/>
        <v>15</v>
      </c>
    </row>
    <row r="190" spans="1:39" ht="15.75" x14ac:dyDescent="0.25">
      <c r="A190" s="19" t="s">
        <v>55</v>
      </c>
      <c r="B190" s="19" t="s">
        <v>655</v>
      </c>
      <c r="C190" s="20" t="s">
        <v>656</v>
      </c>
      <c r="D190" s="20" t="s">
        <v>18</v>
      </c>
      <c r="E190" s="20" t="s">
        <v>18</v>
      </c>
      <c r="F190" s="19" t="s">
        <v>58</v>
      </c>
      <c r="G190" s="21"/>
      <c r="H190" s="21"/>
      <c r="I190" s="5"/>
      <c r="J190" s="5"/>
      <c r="K190" s="5"/>
      <c r="L190" s="5"/>
      <c r="M190" s="5"/>
      <c r="O190" s="52" t="s">
        <v>914</v>
      </c>
      <c r="P190" s="54"/>
      <c r="Q190" s="5"/>
      <c r="R190" s="5"/>
      <c r="S190" s="52" t="s">
        <v>914</v>
      </c>
      <c r="T190" s="5"/>
      <c r="U190" s="5"/>
      <c r="V190" s="5"/>
      <c r="W190" s="5"/>
      <c r="X190" s="5"/>
      <c r="Y190" s="5"/>
      <c r="Z190" s="53" t="s">
        <v>914</v>
      </c>
      <c r="AE190" s="53" t="s">
        <v>914</v>
      </c>
      <c r="AF190" s="53" t="s">
        <v>914</v>
      </c>
      <c r="AH190" s="5"/>
      <c r="AK190" s="53" t="s">
        <v>914</v>
      </c>
      <c r="AL190" s="53" t="s">
        <v>914</v>
      </c>
      <c r="AM190" s="22">
        <f t="shared" si="12"/>
        <v>7</v>
      </c>
    </row>
    <row r="191" spans="1:39" ht="15.75" x14ac:dyDescent="0.25">
      <c r="A191" s="19" t="s">
        <v>55</v>
      </c>
      <c r="B191" s="19" t="s">
        <v>659</v>
      </c>
      <c r="C191" s="20" t="s">
        <v>660</v>
      </c>
      <c r="D191" s="20" t="s">
        <v>18</v>
      </c>
      <c r="E191" s="20" t="s">
        <v>18</v>
      </c>
      <c r="F191" s="19" t="s">
        <v>58</v>
      </c>
      <c r="G191" s="21"/>
      <c r="H191" s="21"/>
      <c r="I191" s="5"/>
      <c r="J191" s="5"/>
      <c r="K191" s="5"/>
      <c r="L191" s="5"/>
      <c r="M191" s="5"/>
      <c r="O191" s="5"/>
      <c r="P191" s="54"/>
      <c r="Q191" s="52" t="s">
        <v>914</v>
      </c>
      <c r="R191" s="52" t="s">
        <v>914</v>
      </c>
      <c r="S191" s="5"/>
      <c r="T191" s="5"/>
      <c r="U191" s="5"/>
      <c r="V191" s="52" t="s">
        <v>914</v>
      </c>
      <c r="W191" s="52" t="s">
        <v>914</v>
      </c>
      <c r="X191" s="52" t="s">
        <v>914</v>
      </c>
      <c r="Y191" s="5"/>
      <c r="AD191" s="52" t="s">
        <v>914</v>
      </c>
      <c r="AE191" s="53" t="s">
        <v>914</v>
      </c>
      <c r="AF191" s="53" t="s">
        <v>914</v>
      </c>
      <c r="AH191" s="5"/>
      <c r="AJ191" s="53" t="s">
        <v>914</v>
      </c>
      <c r="AK191" s="53" t="s">
        <v>914</v>
      </c>
      <c r="AL191" s="53" t="s">
        <v>914</v>
      </c>
      <c r="AM191" s="22">
        <f t="shared" si="12"/>
        <v>11</v>
      </c>
    </row>
    <row r="192" spans="1:39" ht="15.75" x14ac:dyDescent="0.25">
      <c r="A192" s="19" t="s">
        <v>55</v>
      </c>
      <c r="B192" s="19" t="s">
        <v>661</v>
      </c>
      <c r="C192" s="20" t="s">
        <v>662</v>
      </c>
      <c r="D192" s="20" t="s">
        <v>10</v>
      </c>
      <c r="E192" s="20" t="s">
        <v>10</v>
      </c>
      <c r="F192" s="19" t="s">
        <v>58</v>
      </c>
      <c r="G192" s="21"/>
      <c r="H192" s="21"/>
      <c r="I192" s="5"/>
      <c r="J192" s="5"/>
      <c r="K192" s="5"/>
      <c r="L192" s="52" t="s">
        <v>914</v>
      </c>
      <c r="M192" s="5"/>
      <c r="O192" s="52" t="s">
        <v>914</v>
      </c>
      <c r="P192" s="54"/>
      <c r="Q192" s="5"/>
      <c r="R192" s="52" t="s">
        <v>914</v>
      </c>
      <c r="S192" s="52" t="s">
        <v>914</v>
      </c>
      <c r="T192" s="5"/>
      <c r="U192" s="5"/>
      <c r="V192" s="5"/>
      <c r="W192" s="5"/>
      <c r="X192" s="5"/>
      <c r="Y192" s="5"/>
      <c r="AD192" s="52" t="s">
        <v>914</v>
      </c>
      <c r="AG192" s="5"/>
      <c r="AH192" s="5"/>
      <c r="AJ192" s="53" t="s">
        <v>914</v>
      </c>
      <c r="AL192" s="53" t="s">
        <v>914</v>
      </c>
      <c r="AM192" s="22">
        <f t="shared" si="12"/>
        <v>7</v>
      </c>
    </row>
    <row r="193" spans="1:39" ht="15.75" x14ac:dyDescent="0.25">
      <c r="A193" s="19" t="s">
        <v>55</v>
      </c>
      <c r="B193" s="19" t="s">
        <v>663</v>
      </c>
      <c r="C193" s="20" t="s">
        <v>664</v>
      </c>
      <c r="D193" s="20" t="s">
        <v>21</v>
      </c>
      <c r="E193" s="20" t="s">
        <v>21</v>
      </c>
      <c r="F193" s="19" t="s">
        <v>58</v>
      </c>
      <c r="G193" s="21"/>
      <c r="H193" s="21"/>
      <c r="I193" s="5"/>
      <c r="J193" s="5"/>
      <c r="K193" s="5"/>
      <c r="L193" s="52" t="s">
        <v>914</v>
      </c>
      <c r="M193" s="5"/>
      <c r="O193" s="52" t="s">
        <v>914</v>
      </c>
      <c r="P193" s="54"/>
      <c r="Q193" s="52" t="s">
        <v>914</v>
      </c>
      <c r="R193" s="52" t="s">
        <v>914</v>
      </c>
      <c r="S193" s="52" t="s">
        <v>914</v>
      </c>
      <c r="T193" s="5"/>
      <c r="U193" s="5"/>
      <c r="V193" s="52" t="s">
        <v>914</v>
      </c>
      <c r="W193" s="5"/>
      <c r="X193" s="5"/>
      <c r="Y193" s="52" t="s">
        <v>914</v>
      </c>
      <c r="AA193" s="5"/>
      <c r="AC193" s="53" t="s">
        <v>914</v>
      </c>
      <c r="AD193" s="52" t="s">
        <v>914</v>
      </c>
      <c r="AE193" s="53" t="s">
        <v>914</v>
      </c>
      <c r="AF193" s="53" t="s">
        <v>914</v>
      </c>
      <c r="AH193" s="5"/>
      <c r="AK193" s="53" t="s">
        <v>914</v>
      </c>
      <c r="AL193" s="53" t="s">
        <v>914</v>
      </c>
      <c r="AM193" s="22">
        <f t="shared" si="12"/>
        <v>13</v>
      </c>
    </row>
    <row r="194" spans="1:39" ht="15.75" x14ac:dyDescent="0.25">
      <c r="A194" s="19" t="s">
        <v>55</v>
      </c>
      <c r="B194" s="19" t="s">
        <v>669</v>
      </c>
      <c r="C194" s="20" t="s">
        <v>670</v>
      </c>
      <c r="D194" s="20" t="s">
        <v>10</v>
      </c>
      <c r="E194" s="20" t="s">
        <v>10</v>
      </c>
      <c r="F194" s="19" t="s">
        <v>58</v>
      </c>
      <c r="G194" s="21"/>
      <c r="H194" s="21"/>
      <c r="I194" s="5"/>
      <c r="J194" s="5"/>
      <c r="K194" s="5"/>
      <c r="L194" s="52" t="s">
        <v>914</v>
      </c>
      <c r="M194" s="5"/>
      <c r="O194" s="52" t="s">
        <v>914</v>
      </c>
      <c r="P194" s="54" t="s">
        <v>914</v>
      </c>
      <c r="Q194" s="54" t="s">
        <v>914</v>
      </c>
      <c r="R194" s="52" t="s">
        <v>914</v>
      </c>
      <c r="S194" s="52" t="s">
        <v>914</v>
      </c>
      <c r="T194" s="5"/>
      <c r="U194" s="5"/>
      <c r="V194" s="5"/>
      <c r="W194" s="52" t="s">
        <v>914</v>
      </c>
      <c r="X194" s="52" t="s">
        <v>914</v>
      </c>
      <c r="Y194" s="5"/>
      <c r="AD194" s="52" t="s">
        <v>914</v>
      </c>
      <c r="AE194" s="53" t="s">
        <v>914</v>
      </c>
      <c r="AG194" s="5"/>
      <c r="AH194" s="5"/>
      <c r="AK194" s="53" t="s">
        <v>914</v>
      </c>
      <c r="AL194" s="53" t="s">
        <v>914</v>
      </c>
      <c r="AM194" s="22">
        <f t="shared" si="12"/>
        <v>12</v>
      </c>
    </row>
    <row r="195" spans="1:39" ht="15.75" x14ac:dyDescent="0.25">
      <c r="A195" s="19" t="s">
        <v>55</v>
      </c>
      <c r="B195" s="19" t="s">
        <v>673</v>
      </c>
      <c r="C195" s="20" t="s">
        <v>674</v>
      </c>
      <c r="D195" s="20" t="s">
        <v>11</v>
      </c>
      <c r="E195" s="20" t="s">
        <v>11</v>
      </c>
      <c r="F195" s="19" t="s">
        <v>58</v>
      </c>
      <c r="G195" s="21"/>
      <c r="H195" s="21"/>
      <c r="I195" s="5"/>
      <c r="J195" s="5"/>
      <c r="K195" s="5"/>
      <c r="L195" s="5"/>
      <c r="M195" s="5"/>
      <c r="O195" s="5"/>
      <c r="P195" s="54"/>
      <c r="Q195" s="5"/>
      <c r="R195" s="5"/>
      <c r="S195" s="5"/>
      <c r="T195" s="5"/>
      <c r="U195" s="5"/>
      <c r="V195" s="5"/>
      <c r="W195" s="52" t="s">
        <v>914</v>
      </c>
      <c r="X195" s="52" t="s">
        <v>914</v>
      </c>
      <c r="Y195" s="52" t="s">
        <v>914</v>
      </c>
      <c r="AC195" s="53" t="s">
        <v>914</v>
      </c>
      <c r="AD195" s="52" t="s">
        <v>914</v>
      </c>
      <c r="AF195" s="53" t="s">
        <v>914</v>
      </c>
      <c r="AH195" s="5"/>
      <c r="AJ195" s="53" t="s">
        <v>914</v>
      </c>
      <c r="AK195" s="53" t="s">
        <v>914</v>
      </c>
      <c r="AM195" s="22">
        <f t="shared" si="12"/>
        <v>8</v>
      </c>
    </row>
    <row r="196" spans="1:39" ht="15.75" x14ac:dyDescent="0.25">
      <c r="A196" s="19" t="s">
        <v>55</v>
      </c>
      <c r="B196" s="19" t="s">
        <v>675</v>
      </c>
      <c r="C196" s="20" t="s">
        <v>676</v>
      </c>
      <c r="D196" s="20" t="s">
        <v>23</v>
      </c>
      <c r="E196" s="20" t="s">
        <v>23</v>
      </c>
      <c r="F196" s="19" t="s">
        <v>58</v>
      </c>
      <c r="G196" s="21"/>
      <c r="H196" s="21"/>
      <c r="I196" s="5"/>
      <c r="J196" s="5"/>
      <c r="K196" s="5"/>
      <c r="L196" s="5"/>
      <c r="M196" s="5"/>
      <c r="O196" s="5"/>
      <c r="P196" s="54" t="s">
        <v>914</v>
      </c>
      <c r="Q196" s="52" t="s">
        <v>914</v>
      </c>
      <c r="R196" s="52" t="s">
        <v>914</v>
      </c>
      <c r="S196" s="52" t="s">
        <v>914</v>
      </c>
      <c r="T196" s="5"/>
      <c r="U196" s="5"/>
      <c r="V196" s="52" t="s">
        <v>914</v>
      </c>
      <c r="W196" s="52" t="s">
        <v>914</v>
      </c>
      <c r="X196" s="52" t="s">
        <v>914</v>
      </c>
      <c r="Y196" s="52" t="s">
        <v>914</v>
      </c>
      <c r="Z196" s="53" t="s">
        <v>914</v>
      </c>
      <c r="AC196" s="53" t="s">
        <v>914</v>
      </c>
      <c r="AD196" s="52" t="s">
        <v>914</v>
      </c>
      <c r="AE196" s="53" t="s">
        <v>914</v>
      </c>
      <c r="AF196" s="53" t="s">
        <v>914</v>
      </c>
      <c r="AH196" s="5"/>
      <c r="AJ196" s="53" t="s">
        <v>914</v>
      </c>
      <c r="AK196" s="53" t="s">
        <v>914</v>
      </c>
      <c r="AL196" s="53" t="s">
        <v>914</v>
      </c>
      <c r="AM196" s="22">
        <f t="shared" si="12"/>
        <v>16</v>
      </c>
    </row>
    <row r="197" spans="1:39" ht="15.75" x14ac:dyDescent="0.25">
      <c r="A197" s="19" t="s">
        <v>55</v>
      </c>
      <c r="B197" s="19" t="s">
        <v>683</v>
      </c>
      <c r="C197" s="20" t="s">
        <v>684</v>
      </c>
      <c r="D197" s="20" t="s">
        <v>10</v>
      </c>
      <c r="E197" s="20" t="s">
        <v>10</v>
      </c>
      <c r="F197" s="19" t="s">
        <v>58</v>
      </c>
      <c r="G197" s="21"/>
      <c r="H197" s="21"/>
      <c r="I197" s="5"/>
      <c r="J197" s="5"/>
      <c r="K197" s="5"/>
      <c r="L197" s="52" t="s">
        <v>914</v>
      </c>
      <c r="M197" s="5"/>
      <c r="O197" s="52" t="s">
        <v>914</v>
      </c>
      <c r="P197" s="54"/>
      <c r="Q197" s="5"/>
      <c r="R197" s="52" t="s">
        <v>914</v>
      </c>
      <c r="S197" s="5"/>
      <c r="T197" s="5"/>
      <c r="U197" s="5"/>
      <c r="V197" s="5"/>
      <c r="W197" s="5"/>
      <c r="X197" s="5"/>
      <c r="Y197" s="5"/>
      <c r="AD197" s="52" t="s">
        <v>914</v>
      </c>
      <c r="AG197" s="5"/>
      <c r="AH197" s="5"/>
      <c r="AJ197" s="53" t="s">
        <v>914</v>
      </c>
      <c r="AL197" s="53" t="s">
        <v>914</v>
      </c>
      <c r="AM197" s="22">
        <f t="shared" si="12"/>
        <v>6</v>
      </c>
    </row>
    <row r="198" spans="1:39" ht="15.75" x14ac:dyDescent="0.25">
      <c r="A198" s="19" t="s">
        <v>55</v>
      </c>
      <c r="B198" s="19" t="s">
        <v>685</v>
      </c>
      <c r="C198" s="20" t="s">
        <v>686</v>
      </c>
      <c r="D198" s="20" t="s">
        <v>13</v>
      </c>
      <c r="E198" s="20" t="s">
        <v>13</v>
      </c>
      <c r="F198" s="19" t="s">
        <v>58</v>
      </c>
      <c r="G198" s="21"/>
      <c r="H198" s="21"/>
      <c r="I198" s="5"/>
      <c r="J198" s="5"/>
      <c r="K198" s="5"/>
      <c r="L198" s="52" t="s">
        <v>914</v>
      </c>
      <c r="M198" s="5"/>
      <c r="O198" s="5"/>
      <c r="P198" s="54" t="s">
        <v>914</v>
      </c>
      <c r="Q198" s="52" t="s">
        <v>914</v>
      </c>
      <c r="R198" s="52" t="s">
        <v>914</v>
      </c>
      <c r="S198" s="52" t="s">
        <v>914</v>
      </c>
      <c r="T198" s="5"/>
      <c r="U198" s="5"/>
      <c r="V198" s="5"/>
      <c r="W198" s="52" t="s">
        <v>914</v>
      </c>
      <c r="X198" s="52" t="s">
        <v>914</v>
      </c>
      <c r="Y198" s="5"/>
      <c r="AD198" s="52" t="s">
        <v>914</v>
      </c>
      <c r="AE198" s="53" t="s">
        <v>914</v>
      </c>
      <c r="AF198" s="53" t="s">
        <v>914</v>
      </c>
      <c r="AH198" s="5"/>
      <c r="AK198" s="53" t="s">
        <v>914</v>
      </c>
      <c r="AL198" s="53" t="s">
        <v>914</v>
      </c>
      <c r="AM198" s="22">
        <f t="shared" si="12"/>
        <v>12</v>
      </c>
    </row>
    <row r="199" spans="1:39" ht="15.75" x14ac:dyDescent="0.25">
      <c r="A199" s="19" t="s">
        <v>55</v>
      </c>
      <c r="B199" s="19" t="s">
        <v>691</v>
      </c>
      <c r="C199" s="20" t="s">
        <v>692</v>
      </c>
      <c r="D199" s="20" t="s">
        <v>10</v>
      </c>
      <c r="E199" s="20" t="s">
        <v>10</v>
      </c>
      <c r="F199" s="19" t="s">
        <v>58</v>
      </c>
      <c r="G199" s="21"/>
      <c r="H199" s="21"/>
      <c r="I199" s="5"/>
      <c r="J199" s="5"/>
      <c r="K199" s="5"/>
      <c r="L199" s="52" t="s">
        <v>914</v>
      </c>
      <c r="M199" s="5"/>
      <c r="O199" s="5"/>
      <c r="P199" s="54"/>
      <c r="Q199" s="5"/>
      <c r="R199" s="52" t="s">
        <v>914</v>
      </c>
      <c r="S199" s="5"/>
      <c r="T199" s="5"/>
      <c r="U199" s="5"/>
      <c r="V199" s="5"/>
      <c r="W199" s="5"/>
      <c r="X199" s="5"/>
      <c r="Y199" s="5"/>
      <c r="AD199" s="5"/>
      <c r="AH199" s="5"/>
      <c r="AM199" s="22">
        <f t="shared" si="12"/>
        <v>2</v>
      </c>
    </row>
    <row r="200" spans="1:39" ht="15.75" x14ac:dyDescent="0.25">
      <c r="A200" s="19" t="s">
        <v>55</v>
      </c>
      <c r="B200" s="19" t="s">
        <v>695</v>
      </c>
      <c r="C200" s="20" t="s">
        <v>696</v>
      </c>
      <c r="D200" s="20" t="s">
        <v>21</v>
      </c>
      <c r="E200" s="20" t="s">
        <v>21</v>
      </c>
      <c r="F200" s="19" t="s">
        <v>58</v>
      </c>
      <c r="G200" s="21"/>
      <c r="H200" s="21"/>
      <c r="I200" s="5"/>
      <c r="J200" s="5"/>
      <c r="K200" s="5"/>
      <c r="L200" s="52" t="s">
        <v>914</v>
      </c>
      <c r="M200" s="5"/>
      <c r="O200" s="52" t="s">
        <v>914</v>
      </c>
      <c r="P200" s="54" t="s">
        <v>914</v>
      </c>
      <c r="Q200" s="52" t="s">
        <v>914</v>
      </c>
      <c r="R200" s="52" t="s">
        <v>914</v>
      </c>
      <c r="S200" s="52" t="s">
        <v>914</v>
      </c>
      <c r="T200" s="5"/>
      <c r="U200" s="5"/>
      <c r="V200" s="52" t="s">
        <v>914</v>
      </c>
      <c r="W200" s="52" t="s">
        <v>914</v>
      </c>
      <c r="X200" s="52" t="s">
        <v>914</v>
      </c>
      <c r="Y200" s="52" t="s">
        <v>914</v>
      </c>
      <c r="AA200" s="5"/>
      <c r="AC200" s="53" t="s">
        <v>914</v>
      </c>
      <c r="AD200" s="52" t="s">
        <v>914</v>
      </c>
      <c r="AE200" s="53" t="s">
        <v>914</v>
      </c>
      <c r="AF200" s="53" t="s">
        <v>914</v>
      </c>
      <c r="AH200" s="5"/>
      <c r="AJ200" s="53" t="s">
        <v>914</v>
      </c>
      <c r="AK200" s="53" t="s">
        <v>914</v>
      </c>
      <c r="AM200" s="22">
        <f t="shared" si="12"/>
        <v>16</v>
      </c>
    </row>
    <row r="201" spans="1:39" ht="15.75" x14ac:dyDescent="0.25">
      <c r="A201" s="19" t="s">
        <v>55</v>
      </c>
      <c r="B201" s="19" t="s">
        <v>697</v>
      </c>
      <c r="C201" s="20" t="s">
        <v>698</v>
      </c>
      <c r="D201" s="20" t="s">
        <v>21</v>
      </c>
      <c r="E201" s="20" t="s">
        <v>21</v>
      </c>
      <c r="F201" s="19" t="s">
        <v>58</v>
      </c>
      <c r="G201" s="21"/>
      <c r="H201" s="21"/>
      <c r="I201" s="5"/>
      <c r="J201" s="5"/>
      <c r="K201" s="5"/>
      <c r="L201" s="52" t="s">
        <v>914</v>
      </c>
      <c r="M201" s="5"/>
      <c r="N201" s="5"/>
      <c r="O201" s="52" t="s">
        <v>914</v>
      </c>
      <c r="P201" s="54" t="s">
        <v>914</v>
      </c>
      <c r="Q201" s="52" t="s">
        <v>914</v>
      </c>
      <c r="R201" s="5"/>
      <c r="S201" s="52" t="s">
        <v>914</v>
      </c>
      <c r="T201" s="5"/>
      <c r="U201" s="5"/>
      <c r="V201" s="52" t="s">
        <v>914</v>
      </c>
      <c r="W201" s="52" t="s">
        <v>914</v>
      </c>
      <c r="X201" s="52" t="s">
        <v>914</v>
      </c>
      <c r="Y201" s="52" t="s">
        <v>914</v>
      </c>
      <c r="AA201" s="5"/>
      <c r="AC201" s="53" t="s">
        <v>914</v>
      </c>
      <c r="AD201" s="52" t="s">
        <v>914</v>
      </c>
      <c r="AE201" s="53" t="s">
        <v>914</v>
      </c>
      <c r="AF201" s="53" t="s">
        <v>914</v>
      </c>
      <c r="AG201" s="5"/>
      <c r="AH201" s="5"/>
      <c r="AJ201" s="53" t="s">
        <v>914</v>
      </c>
      <c r="AL201" s="53" t="s">
        <v>914</v>
      </c>
      <c r="AM201" s="22">
        <f t="shared" si="12"/>
        <v>15</v>
      </c>
    </row>
    <row r="202" spans="1:39" ht="15.75" x14ac:dyDescent="0.25">
      <c r="A202" s="19" t="s">
        <v>55</v>
      </c>
      <c r="B202" s="19" t="s">
        <v>699</v>
      </c>
      <c r="C202" s="20" t="s">
        <v>700</v>
      </c>
      <c r="D202" s="20" t="s">
        <v>21</v>
      </c>
      <c r="E202" s="20" t="s">
        <v>21</v>
      </c>
      <c r="F202" s="19" t="s">
        <v>58</v>
      </c>
      <c r="G202" s="21"/>
      <c r="H202" s="21"/>
      <c r="I202" s="5"/>
      <c r="J202" s="5"/>
      <c r="K202" s="5"/>
      <c r="L202" s="52" t="s">
        <v>914</v>
      </c>
      <c r="M202" s="5"/>
      <c r="N202" s="5"/>
      <c r="O202" s="52" t="s">
        <v>914</v>
      </c>
      <c r="P202" s="54" t="s">
        <v>914</v>
      </c>
      <c r="Q202" s="52" t="s">
        <v>914</v>
      </c>
      <c r="R202" s="5"/>
      <c r="S202" s="52" t="s">
        <v>914</v>
      </c>
      <c r="T202" s="5"/>
      <c r="U202" s="5"/>
      <c r="V202" s="52" t="s">
        <v>914</v>
      </c>
      <c r="W202" s="52" t="s">
        <v>914</v>
      </c>
      <c r="X202" s="52" t="s">
        <v>914</v>
      </c>
      <c r="Y202" s="52" t="s">
        <v>914</v>
      </c>
      <c r="Z202" s="53" t="s">
        <v>914</v>
      </c>
      <c r="AA202" s="5"/>
      <c r="AC202" s="53" t="s">
        <v>914</v>
      </c>
      <c r="AD202" s="52" t="s">
        <v>914</v>
      </c>
      <c r="AE202" s="53" t="s">
        <v>914</v>
      </c>
      <c r="AF202" s="53" t="s">
        <v>914</v>
      </c>
      <c r="AG202" s="52" t="s">
        <v>914</v>
      </c>
      <c r="AH202" s="5"/>
      <c r="AJ202" s="53" t="s">
        <v>914</v>
      </c>
      <c r="AK202" s="53" t="s">
        <v>914</v>
      </c>
      <c r="AL202" s="53" t="s">
        <v>914</v>
      </c>
      <c r="AM202" s="22">
        <f t="shared" si="12"/>
        <v>18</v>
      </c>
    </row>
    <row r="203" spans="1:39" ht="15.75" x14ac:dyDescent="0.25">
      <c r="A203" s="19" t="s">
        <v>55</v>
      </c>
      <c r="B203" s="19" t="s">
        <v>704</v>
      </c>
      <c r="C203" s="20" t="s">
        <v>990</v>
      </c>
      <c r="D203" s="20" t="s">
        <v>10</v>
      </c>
      <c r="E203" s="20" t="s">
        <v>10</v>
      </c>
      <c r="F203" s="19" t="s">
        <v>58</v>
      </c>
      <c r="G203" s="21"/>
      <c r="H203" s="21"/>
      <c r="I203" s="5"/>
      <c r="J203" s="5"/>
      <c r="K203" s="5"/>
      <c r="L203" s="52" t="s">
        <v>914</v>
      </c>
      <c r="M203" s="5"/>
      <c r="O203" s="5"/>
      <c r="P203" s="54" t="s">
        <v>915</v>
      </c>
      <c r="Q203" s="54" t="s">
        <v>914</v>
      </c>
      <c r="R203" s="52" t="s">
        <v>914</v>
      </c>
      <c r="S203" s="5"/>
      <c r="T203" s="5"/>
      <c r="U203" s="5"/>
      <c r="V203" s="5"/>
      <c r="W203" s="52" t="s">
        <v>914</v>
      </c>
      <c r="X203" s="52" t="s">
        <v>914</v>
      </c>
      <c r="Y203" s="5"/>
      <c r="AC203" s="53" t="s">
        <v>914</v>
      </c>
      <c r="AD203" s="5"/>
      <c r="AE203" s="53" t="s">
        <v>914</v>
      </c>
      <c r="AG203" s="5"/>
      <c r="AH203" s="5"/>
      <c r="AJ203" s="53" t="s">
        <v>914</v>
      </c>
      <c r="AK203" s="53" t="s">
        <v>914</v>
      </c>
      <c r="AL203" s="53" t="s">
        <v>914</v>
      </c>
      <c r="AM203" s="22">
        <f t="shared" si="12"/>
        <v>11</v>
      </c>
    </row>
    <row r="204" spans="1:39" ht="15.75" x14ac:dyDescent="0.25">
      <c r="A204" s="19" t="s">
        <v>55</v>
      </c>
      <c r="B204" s="19" t="s">
        <v>706</v>
      </c>
      <c r="C204" s="20" t="s">
        <v>703</v>
      </c>
      <c r="D204" s="20" t="s">
        <v>14</v>
      </c>
      <c r="E204" s="20" t="s">
        <v>14</v>
      </c>
      <c r="F204" s="19" t="s">
        <v>58</v>
      </c>
      <c r="G204" s="21"/>
      <c r="H204" s="21"/>
      <c r="I204" s="5" t="s">
        <v>914</v>
      </c>
      <c r="J204" s="5"/>
      <c r="K204" s="5"/>
      <c r="L204" s="52" t="s">
        <v>914</v>
      </c>
      <c r="M204" s="52" t="s">
        <v>914</v>
      </c>
      <c r="O204" s="5"/>
      <c r="P204" s="54" t="s">
        <v>914</v>
      </c>
      <c r="Q204" s="53" t="s">
        <v>914</v>
      </c>
      <c r="R204" s="52" t="s">
        <v>914</v>
      </c>
      <c r="S204" s="52" t="s">
        <v>914</v>
      </c>
      <c r="T204" s="52" t="s">
        <v>914</v>
      </c>
      <c r="U204" s="5"/>
      <c r="V204" s="52" t="s">
        <v>914</v>
      </c>
      <c r="W204" s="52" t="s">
        <v>914</v>
      </c>
      <c r="X204" s="52" t="s">
        <v>914</v>
      </c>
      <c r="Y204" s="52" t="s">
        <v>914</v>
      </c>
      <c r="Z204" s="53" t="s">
        <v>914</v>
      </c>
      <c r="AA204" s="53" t="s">
        <v>914</v>
      </c>
      <c r="AC204" s="53"/>
      <c r="AD204" s="52" t="s">
        <v>914</v>
      </c>
      <c r="AE204" s="53" t="s">
        <v>914</v>
      </c>
      <c r="AF204" s="53" t="s">
        <v>914</v>
      </c>
      <c r="AG204" s="52" t="s">
        <v>914</v>
      </c>
      <c r="AH204" s="52" t="s">
        <v>914</v>
      </c>
      <c r="AJ204" s="53" t="s">
        <v>914</v>
      </c>
      <c r="AK204" s="53" t="s">
        <v>914</v>
      </c>
      <c r="AL204" s="53" t="s">
        <v>914</v>
      </c>
      <c r="AM204" s="22">
        <f t="shared" si="12"/>
        <v>22</v>
      </c>
    </row>
    <row r="205" spans="1:39" ht="15.75" x14ac:dyDescent="0.25">
      <c r="A205" s="19" t="s">
        <v>55</v>
      </c>
      <c r="B205" s="19" t="s">
        <v>709</v>
      </c>
      <c r="C205" s="20" t="s">
        <v>710</v>
      </c>
      <c r="D205" s="20" t="s">
        <v>21</v>
      </c>
      <c r="E205" s="20" t="s">
        <v>21</v>
      </c>
      <c r="F205" s="19" t="s">
        <v>58</v>
      </c>
      <c r="G205" s="21"/>
      <c r="H205" s="21"/>
      <c r="I205" s="5"/>
      <c r="J205" s="5"/>
      <c r="K205" s="5"/>
      <c r="L205" s="52" t="s">
        <v>914</v>
      </c>
      <c r="M205" s="5"/>
      <c r="O205" s="52" t="s">
        <v>914</v>
      </c>
      <c r="P205" s="54"/>
      <c r="Q205" s="52" t="s">
        <v>914</v>
      </c>
      <c r="R205" s="52" t="s">
        <v>914</v>
      </c>
      <c r="S205" s="52" t="s">
        <v>914</v>
      </c>
      <c r="T205" s="5"/>
      <c r="U205" s="5"/>
      <c r="V205" s="52" t="s">
        <v>914</v>
      </c>
      <c r="W205" s="52" t="s">
        <v>914</v>
      </c>
      <c r="X205" s="52" t="s">
        <v>914</v>
      </c>
      <c r="Y205" s="52" t="s">
        <v>914</v>
      </c>
      <c r="Z205" s="53" t="s">
        <v>914</v>
      </c>
      <c r="AA205" s="5"/>
      <c r="AC205" s="53" t="s">
        <v>914</v>
      </c>
      <c r="AD205" s="52" t="s">
        <v>914</v>
      </c>
      <c r="AE205" s="53" t="s">
        <v>914</v>
      </c>
      <c r="AF205" s="53" t="s">
        <v>914</v>
      </c>
      <c r="AG205" s="52" t="s">
        <v>914</v>
      </c>
      <c r="AH205" s="5"/>
      <c r="AJ205" s="53" t="s">
        <v>914</v>
      </c>
      <c r="AK205" s="53" t="s">
        <v>914</v>
      </c>
      <c r="AL205" s="53" t="s">
        <v>914</v>
      </c>
      <c r="AM205" s="22">
        <f t="shared" si="12"/>
        <v>18</v>
      </c>
    </row>
    <row r="206" spans="1:39" ht="15.75" x14ac:dyDescent="0.25">
      <c r="A206" s="19" t="s">
        <v>55</v>
      </c>
      <c r="B206" s="19" t="s">
        <v>711</v>
      </c>
      <c r="C206" s="20" t="s">
        <v>712</v>
      </c>
      <c r="D206" s="20" t="s">
        <v>21</v>
      </c>
      <c r="E206" s="20" t="s">
        <v>21</v>
      </c>
      <c r="F206" s="19" t="s">
        <v>58</v>
      </c>
      <c r="G206" s="21"/>
      <c r="H206" s="21"/>
      <c r="I206" s="5"/>
      <c r="J206" s="5"/>
      <c r="K206" s="5"/>
      <c r="L206" s="5"/>
      <c r="M206" s="5"/>
      <c r="O206" s="5"/>
      <c r="P206" s="54" t="s">
        <v>914</v>
      </c>
      <c r="Q206" s="5"/>
      <c r="R206" s="5"/>
      <c r="S206" s="5"/>
      <c r="T206" s="5"/>
      <c r="U206" s="5"/>
      <c r="V206" s="5"/>
      <c r="W206" s="5"/>
      <c r="X206" s="5"/>
      <c r="Y206" s="5"/>
      <c r="AH206" s="5"/>
      <c r="AM206" s="22">
        <f t="shared" si="12"/>
        <v>1</v>
      </c>
    </row>
    <row r="207" spans="1:39" ht="15.75" x14ac:dyDescent="0.25">
      <c r="A207" s="19" t="s">
        <v>55</v>
      </c>
      <c r="B207" s="19" t="s">
        <v>713</v>
      </c>
      <c r="C207" s="20" t="s">
        <v>714</v>
      </c>
      <c r="D207" s="20" t="s">
        <v>23</v>
      </c>
      <c r="E207" s="20" t="s">
        <v>23</v>
      </c>
      <c r="F207" s="19" t="s">
        <v>58</v>
      </c>
      <c r="G207" s="21"/>
      <c r="H207" s="21"/>
      <c r="I207" s="5"/>
      <c r="J207" s="5"/>
      <c r="K207" s="5"/>
      <c r="L207" s="5"/>
      <c r="M207" s="5"/>
      <c r="O207" s="5"/>
      <c r="P207" s="54"/>
      <c r="Q207" s="52" t="s">
        <v>915</v>
      </c>
      <c r="R207" s="52" t="s">
        <v>915</v>
      </c>
      <c r="S207" s="52"/>
      <c r="T207" s="5" t="s">
        <v>874</v>
      </c>
      <c r="U207" s="5"/>
      <c r="V207" s="5"/>
      <c r="W207" s="52" t="s">
        <v>915</v>
      </c>
      <c r="X207" s="52" t="s">
        <v>915</v>
      </c>
      <c r="Y207" s="52" t="s">
        <v>915</v>
      </c>
      <c r="AH207" s="5"/>
      <c r="AL207" s="53" t="s">
        <v>914</v>
      </c>
      <c r="AM207" s="22">
        <f t="shared" si="12"/>
        <v>7</v>
      </c>
    </row>
    <row r="208" spans="1:39" ht="15.75" x14ac:dyDescent="0.25">
      <c r="A208" s="19" t="s">
        <v>55</v>
      </c>
      <c r="B208" s="19" t="s">
        <v>715</v>
      </c>
      <c r="C208" s="20" t="s">
        <v>69</v>
      </c>
      <c r="D208" s="20" t="s">
        <v>11</v>
      </c>
      <c r="E208" s="20" t="s">
        <v>11</v>
      </c>
      <c r="F208" s="19" t="s">
        <v>58</v>
      </c>
      <c r="G208" s="21"/>
      <c r="H208" s="21"/>
      <c r="I208" s="5"/>
      <c r="J208" s="5"/>
      <c r="K208" s="5"/>
      <c r="L208" s="5"/>
      <c r="M208" s="5"/>
      <c r="O208" s="5"/>
      <c r="P208" s="54" t="s">
        <v>915</v>
      </c>
      <c r="Q208" s="5"/>
      <c r="R208" s="5"/>
      <c r="S208" s="5"/>
      <c r="T208" s="5"/>
      <c r="U208" s="5"/>
      <c r="V208" s="5"/>
      <c r="W208" s="52" t="s">
        <v>914</v>
      </c>
      <c r="X208" s="52" t="s">
        <v>914</v>
      </c>
      <c r="Y208" s="52" t="s">
        <v>914</v>
      </c>
      <c r="AC208" s="53" t="s">
        <v>914</v>
      </c>
      <c r="AD208" s="52" t="s">
        <v>914</v>
      </c>
      <c r="AE208" s="53" t="s">
        <v>914</v>
      </c>
      <c r="AF208" s="53" t="s">
        <v>914</v>
      </c>
      <c r="AH208" s="5"/>
      <c r="AJ208" s="53" t="s">
        <v>914</v>
      </c>
      <c r="AK208" s="53" t="s">
        <v>914</v>
      </c>
      <c r="AM208" s="22">
        <f t="shared" ref="AM208:AM271" si="13">COUNTA(I208:AL208)</f>
        <v>10</v>
      </c>
    </row>
    <row r="209" spans="1:39" ht="15.75" x14ac:dyDescent="0.25">
      <c r="A209" s="19" t="s">
        <v>55</v>
      </c>
      <c r="B209" s="19" t="s">
        <v>716</v>
      </c>
      <c r="C209" s="20" t="s">
        <v>70</v>
      </c>
      <c r="D209" s="20" t="s">
        <v>11</v>
      </c>
      <c r="E209" s="20" t="s">
        <v>11</v>
      </c>
      <c r="F209" s="19" t="s">
        <v>58</v>
      </c>
      <c r="G209" s="21"/>
      <c r="H209" s="21"/>
      <c r="I209" s="5"/>
      <c r="J209" s="5"/>
      <c r="K209" s="5"/>
      <c r="L209" s="5"/>
      <c r="M209" s="5"/>
      <c r="O209" s="5"/>
      <c r="P209" s="54"/>
      <c r="Q209" s="5"/>
      <c r="R209" s="5"/>
      <c r="S209" s="5"/>
      <c r="T209" s="5"/>
      <c r="U209" s="5"/>
      <c r="V209" s="5"/>
      <c r="W209" s="52" t="s">
        <v>914</v>
      </c>
      <c r="X209" s="52" t="s">
        <v>914</v>
      </c>
      <c r="Y209" s="52" t="s">
        <v>914</v>
      </c>
      <c r="AC209" s="53" t="s">
        <v>914</v>
      </c>
      <c r="AD209" s="52" t="s">
        <v>914</v>
      </c>
      <c r="AE209" s="53" t="s">
        <v>914</v>
      </c>
      <c r="AF209" s="53" t="s">
        <v>914</v>
      </c>
      <c r="AH209" s="5"/>
      <c r="AJ209" s="53" t="s">
        <v>914</v>
      </c>
      <c r="AK209" s="53" t="s">
        <v>914</v>
      </c>
      <c r="AM209" s="22">
        <f t="shared" si="13"/>
        <v>9</v>
      </c>
    </row>
    <row r="210" spans="1:39" ht="15.75" x14ac:dyDescent="0.25">
      <c r="A210" s="19" t="s">
        <v>55</v>
      </c>
      <c r="B210" s="19" t="s">
        <v>717</v>
      </c>
      <c r="C210" s="20" t="s">
        <v>71</v>
      </c>
      <c r="D210" s="20" t="s">
        <v>11</v>
      </c>
      <c r="E210" s="20" t="s">
        <v>11</v>
      </c>
      <c r="F210" s="19" t="s">
        <v>58</v>
      </c>
      <c r="G210" s="21"/>
      <c r="H210" s="21"/>
      <c r="I210" s="5"/>
      <c r="J210" s="5"/>
      <c r="K210" s="5"/>
      <c r="L210" s="5"/>
      <c r="M210" s="5"/>
      <c r="O210" s="5"/>
      <c r="P210" s="54"/>
      <c r="Q210" s="52" t="s">
        <v>914</v>
      </c>
      <c r="R210" s="5"/>
      <c r="S210" s="5"/>
      <c r="T210" s="5"/>
      <c r="U210" s="5"/>
      <c r="V210" s="5"/>
      <c r="W210" s="52" t="s">
        <v>914</v>
      </c>
      <c r="X210" s="5"/>
      <c r="Y210" s="52" t="s">
        <v>914</v>
      </c>
      <c r="AC210" s="53" t="s">
        <v>914</v>
      </c>
      <c r="AD210" s="52" t="s">
        <v>914</v>
      </c>
      <c r="AE210" s="53" t="s">
        <v>914</v>
      </c>
      <c r="AF210" s="53" t="s">
        <v>914</v>
      </c>
      <c r="AH210" s="5"/>
      <c r="AJ210" s="53" t="s">
        <v>914</v>
      </c>
      <c r="AK210" s="53" t="s">
        <v>914</v>
      </c>
      <c r="AM210" s="22">
        <f t="shared" si="13"/>
        <v>9</v>
      </c>
    </row>
    <row r="211" spans="1:39" ht="15.75" x14ac:dyDescent="0.25">
      <c r="A211" s="19" t="s">
        <v>55</v>
      </c>
      <c r="B211" s="19" t="s">
        <v>718</v>
      </c>
      <c r="C211" s="20" t="s">
        <v>72</v>
      </c>
      <c r="D211" s="20" t="s">
        <v>11</v>
      </c>
      <c r="E211" s="20" t="s">
        <v>11</v>
      </c>
      <c r="F211" s="19" t="s">
        <v>58</v>
      </c>
      <c r="G211" s="21"/>
      <c r="H211" s="21"/>
      <c r="I211" s="5"/>
      <c r="J211" s="5"/>
      <c r="K211" s="5"/>
      <c r="L211" s="5"/>
      <c r="M211" s="5"/>
      <c r="O211" s="5"/>
      <c r="P211" s="54"/>
      <c r="Q211" s="5"/>
      <c r="R211" s="5"/>
      <c r="S211" s="5"/>
      <c r="T211" s="5"/>
      <c r="U211" s="5"/>
      <c r="V211" s="5"/>
      <c r="W211" s="52" t="s">
        <v>914</v>
      </c>
      <c r="X211" s="52" t="s">
        <v>914</v>
      </c>
      <c r="Y211" s="52" t="s">
        <v>914</v>
      </c>
      <c r="AC211" s="53" t="s">
        <v>914</v>
      </c>
      <c r="AD211" s="52" t="s">
        <v>914</v>
      </c>
      <c r="AE211" s="53" t="s">
        <v>914</v>
      </c>
      <c r="AF211" s="53" t="s">
        <v>914</v>
      </c>
      <c r="AH211" s="5"/>
      <c r="AJ211" s="53" t="s">
        <v>914</v>
      </c>
      <c r="AK211" s="53" t="s">
        <v>914</v>
      </c>
      <c r="AM211" s="22">
        <f t="shared" si="13"/>
        <v>9</v>
      </c>
    </row>
    <row r="212" spans="1:39" ht="15.75" x14ac:dyDescent="0.25">
      <c r="A212" s="19" t="s">
        <v>55</v>
      </c>
      <c r="B212" s="19" t="s">
        <v>719</v>
      </c>
      <c r="C212" s="20" t="s">
        <v>74</v>
      </c>
      <c r="D212" s="20" t="s">
        <v>11</v>
      </c>
      <c r="E212" s="20" t="s">
        <v>11</v>
      </c>
      <c r="F212" s="19" t="s">
        <v>58</v>
      </c>
      <c r="G212" s="21"/>
      <c r="H212" s="21"/>
      <c r="I212" s="5"/>
      <c r="J212" s="5"/>
      <c r="K212" s="5"/>
      <c r="L212" s="5"/>
      <c r="M212" s="5"/>
      <c r="O212" s="5"/>
      <c r="P212" s="54"/>
      <c r="Q212" s="5"/>
      <c r="R212" s="5"/>
      <c r="S212" s="5"/>
      <c r="T212" s="5"/>
      <c r="U212" s="5"/>
      <c r="V212" s="5"/>
      <c r="W212" s="52" t="s">
        <v>914</v>
      </c>
      <c r="X212" s="5"/>
      <c r="Y212" s="52" t="s">
        <v>914</v>
      </c>
      <c r="AC212" s="53" t="s">
        <v>914</v>
      </c>
      <c r="AD212" s="52" t="s">
        <v>914</v>
      </c>
      <c r="AE212" s="53" t="s">
        <v>914</v>
      </c>
      <c r="AF212" s="53" t="s">
        <v>914</v>
      </c>
      <c r="AH212" s="5"/>
      <c r="AJ212" s="53" t="s">
        <v>914</v>
      </c>
      <c r="AK212" s="53" t="s">
        <v>914</v>
      </c>
      <c r="AM212" s="22">
        <f t="shared" si="13"/>
        <v>8</v>
      </c>
    </row>
    <row r="213" spans="1:39" ht="15.75" x14ac:dyDescent="0.25">
      <c r="A213" s="19" t="s">
        <v>55</v>
      </c>
      <c r="B213" s="19" t="s">
        <v>721</v>
      </c>
      <c r="C213" s="20" t="s">
        <v>76</v>
      </c>
      <c r="D213" s="20" t="s">
        <v>11</v>
      </c>
      <c r="E213" s="20" t="s">
        <v>11</v>
      </c>
      <c r="F213" s="19" t="s">
        <v>58</v>
      </c>
      <c r="G213" s="21"/>
      <c r="H213" s="21"/>
      <c r="I213" s="5"/>
      <c r="J213" s="5"/>
      <c r="K213" s="5"/>
      <c r="L213" s="5"/>
      <c r="M213" s="5"/>
      <c r="O213" s="5"/>
      <c r="P213" s="54"/>
      <c r="Q213" s="5"/>
      <c r="R213" s="5"/>
      <c r="S213" s="5"/>
      <c r="T213" s="5"/>
      <c r="U213" s="5"/>
      <c r="V213" s="5"/>
      <c r="W213" s="52" t="s">
        <v>914</v>
      </c>
      <c r="X213" s="52" t="s">
        <v>914</v>
      </c>
      <c r="Y213" s="52" t="s">
        <v>914</v>
      </c>
      <c r="AC213" s="53" t="s">
        <v>914</v>
      </c>
      <c r="AD213" s="52" t="s">
        <v>914</v>
      </c>
      <c r="AE213" s="53" t="s">
        <v>914</v>
      </c>
      <c r="AF213" s="53" t="s">
        <v>914</v>
      </c>
      <c r="AH213" s="5"/>
      <c r="AJ213" s="53" t="s">
        <v>914</v>
      </c>
      <c r="AK213" s="53" t="s">
        <v>914</v>
      </c>
      <c r="AM213" s="22">
        <f t="shared" si="13"/>
        <v>9</v>
      </c>
    </row>
    <row r="214" spans="1:39" ht="15.75" x14ac:dyDescent="0.25">
      <c r="A214" s="19" t="s">
        <v>55</v>
      </c>
      <c r="B214" s="19" t="s">
        <v>723</v>
      </c>
      <c r="C214" s="20" t="s">
        <v>81</v>
      </c>
      <c r="D214" s="20" t="s">
        <v>11</v>
      </c>
      <c r="E214" s="20" t="s">
        <v>11</v>
      </c>
      <c r="F214" s="19" t="s">
        <v>58</v>
      </c>
      <c r="G214" s="21"/>
      <c r="H214" s="21"/>
      <c r="I214" s="5"/>
      <c r="J214" s="5"/>
      <c r="K214" s="5"/>
      <c r="L214" s="5"/>
      <c r="M214" s="5"/>
      <c r="O214" s="5"/>
      <c r="P214" s="54"/>
      <c r="Q214" s="5"/>
      <c r="R214" s="5"/>
      <c r="S214" s="5"/>
      <c r="T214" s="5"/>
      <c r="U214" s="5"/>
      <c r="V214" s="5"/>
      <c r="W214" s="52" t="s">
        <v>914</v>
      </c>
      <c r="X214" s="52" t="s">
        <v>914</v>
      </c>
      <c r="Y214" s="52" t="s">
        <v>914</v>
      </c>
      <c r="AC214" s="53" t="s">
        <v>914</v>
      </c>
      <c r="AD214" s="52" t="s">
        <v>914</v>
      </c>
      <c r="AE214" s="53" t="s">
        <v>914</v>
      </c>
      <c r="AF214" s="53" t="s">
        <v>914</v>
      </c>
      <c r="AH214" s="5"/>
      <c r="AJ214" s="53" t="s">
        <v>914</v>
      </c>
      <c r="AK214" s="53" t="s">
        <v>914</v>
      </c>
      <c r="AM214" s="22">
        <f t="shared" si="13"/>
        <v>9</v>
      </c>
    </row>
    <row r="215" spans="1:39" ht="15.75" x14ac:dyDescent="0.25">
      <c r="A215" s="19" t="s">
        <v>55</v>
      </c>
      <c r="B215" s="19" t="s">
        <v>724</v>
      </c>
      <c r="C215" s="20" t="s">
        <v>83</v>
      </c>
      <c r="D215" s="20" t="s">
        <v>11</v>
      </c>
      <c r="E215" s="20" t="s">
        <v>11</v>
      </c>
      <c r="F215" s="19" t="s">
        <v>58</v>
      </c>
      <c r="G215" s="21"/>
      <c r="H215" s="21"/>
      <c r="I215" s="5"/>
      <c r="J215" s="5"/>
      <c r="K215" s="5"/>
      <c r="L215" s="52" t="s">
        <v>914</v>
      </c>
      <c r="M215" s="5"/>
      <c r="O215" s="52" t="s">
        <v>914</v>
      </c>
      <c r="P215" s="54"/>
      <c r="Q215" s="5"/>
      <c r="R215" s="5"/>
      <c r="S215" s="5"/>
      <c r="T215" s="5"/>
      <c r="U215" s="5"/>
      <c r="V215" s="5"/>
      <c r="W215" s="5"/>
      <c r="X215" s="52" t="s">
        <v>914</v>
      </c>
      <c r="Y215" s="52" t="s">
        <v>914</v>
      </c>
      <c r="Z215" s="53" t="s">
        <v>914</v>
      </c>
      <c r="AC215" s="53" t="s">
        <v>914</v>
      </c>
      <c r="AD215" s="52" t="s">
        <v>914</v>
      </c>
      <c r="AE215" s="53" t="s">
        <v>914</v>
      </c>
      <c r="AF215" s="53" t="s">
        <v>914</v>
      </c>
      <c r="AH215" s="5"/>
      <c r="AJ215" s="53" t="s">
        <v>914</v>
      </c>
      <c r="AK215" s="53" t="s">
        <v>914</v>
      </c>
      <c r="AM215" s="22">
        <f t="shared" si="13"/>
        <v>11</v>
      </c>
    </row>
    <row r="216" spans="1:39" ht="15.75" x14ac:dyDescent="0.25">
      <c r="A216" s="19" t="s">
        <v>55</v>
      </c>
      <c r="B216" s="19" t="s">
        <v>725</v>
      </c>
      <c r="C216" s="20" t="s">
        <v>84</v>
      </c>
      <c r="D216" s="20" t="s">
        <v>11</v>
      </c>
      <c r="E216" s="20" t="s">
        <v>11</v>
      </c>
      <c r="F216" s="19" t="s">
        <v>58</v>
      </c>
      <c r="G216" s="21"/>
      <c r="H216" s="21"/>
      <c r="I216" s="5"/>
      <c r="J216" s="5"/>
      <c r="K216" s="5"/>
      <c r="L216" s="5"/>
      <c r="M216" s="5"/>
      <c r="O216" s="5"/>
      <c r="P216" s="54"/>
      <c r="Q216" s="5"/>
      <c r="R216" s="5"/>
      <c r="S216" s="5"/>
      <c r="T216" s="5"/>
      <c r="U216" s="5"/>
      <c r="V216" s="5"/>
      <c r="W216" s="52" t="s">
        <v>914</v>
      </c>
      <c r="X216" s="52" t="s">
        <v>914</v>
      </c>
      <c r="Y216" s="52" t="s">
        <v>914</v>
      </c>
      <c r="AC216" s="53" t="s">
        <v>914</v>
      </c>
      <c r="AD216" s="52" t="s">
        <v>914</v>
      </c>
      <c r="AE216" s="53" t="s">
        <v>914</v>
      </c>
      <c r="AF216" s="53" t="s">
        <v>914</v>
      </c>
      <c r="AH216" s="5"/>
      <c r="AJ216" s="53" t="s">
        <v>914</v>
      </c>
      <c r="AK216" s="53" t="s">
        <v>914</v>
      </c>
      <c r="AM216" s="22">
        <f t="shared" si="13"/>
        <v>9</v>
      </c>
    </row>
    <row r="217" spans="1:39" ht="15.75" x14ac:dyDescent="0.25">
      <c r="A217" s="19" t="s">
        <v>55</v>
      </c>
      <c r="B217" s="19" t="s">
        <v>726</v>
      </c>
      <c r="C217" s="20" t="s">
        <v>85</v>
      </c>
      <c r="D217" s="20" t="s">
        <v>11</v>
      </c>
      <c r="E217" s="20" t="s">
        <v>11</v>
      </c>
      <c r="F217" s="19" t="s">
        <v>58</v>
      </c>
      <c r="G217" s="21"/>
      <c r="H217" s="21"/>
      <c r="I217" s="5"/>
      <c r="J217" s="5"/>
      <c r="K217" s="5"/>
      <c r="L217" s="5"/>
      <c r="M217" s="5"/>
      <c r="O217" s="5"/>
      <c r="P217" s="54"/>
      <c r="Q217" s="5"/>
      <c r="R217" s="5"/>
      <c r="S217" s="5"/>
      <c r="T217" s="5"/>
      <c r="U217" s="5"/>
      <c r="V217" s="5"/>
      <c r="W217" s="52" t="s">
        <v>914</v>
      </c>
      <c r="X217" s="52" t="s">
        <v>914</v>
      </c>
      <c r="Y217" s="52" t="s">
        <v>914</v>
      </c>
      <c r="AC217" s="53" t="s">
        <v>914</v>
      </c>
      <c r="AD217" s="52" t="s">
        <v>914</v>
      </c>
      <c r="AE217" s="53" t="s">
        <v>914</v>
      </c>
      <c r="AF217" s="53" t="s">
        <v>914</v>
      </c>
      <c r="AH217" s="5"/>
      <c r="AJ217" s="53" t="s">
        <v>914</v>
      </c>
      <c r="AK217" s="53" t="s">
        <v>914</v>
      </c>
      <c r="AM217" s="22">
        <f t="shared" si="13"/>
        <v>9</v>
      </c>
    </row>
    <row r="218" spans="1:39" ht="15.75" x14ac:dyDescent="0.25">
      <c r="A218" s="19" t="s">
        <v>55</v>
      </c>
      <c r="B218" s="19" t="s">
        <v>727</v>
      </c>
      <c r="C218" s="20" t="s">
        <v>81</v>
      </c>
      <c r="D218" s="20" t="s">
        <v>11</v>
      </c>
      <c r="E218" s="20" t="s">
        <v>11</v>
      </c>
      <c r="F218" s="19" t="s">
        <v>58</v>
      </c>
      <c r="G218" s="21"/>
      <c r="H218" s="21"/>
      <c r="I218" s="5"/>
      <c r="J218" s="5"/>
      <c r="K218" s="5"/>
      <c r="L218" s="5"/>
      <c r="M218" s="5"/>
      <c r="O218" s="5"/>
      <c r="P218" s="54"/>
      <c r="Q218" s="5"/>
      <c r="R218" s="5"/>
      <c r="S218" s="5"/>
      <c r="T218" s="5"/>
      <c r="U218" s="5"/>
      <c r="V218" s="5"/>
      <c r="W218" s="52" t="s">
        <v>914</v>
      </c>
      <c r="X218" s="52" t="s">
        <v>914</v>
      </c>
      <c r="Y218" s="52" t="s">
        <v>914</v>
      </c>
      <c r="AC218" s="53" t="s">
        <v>914</v>
      </c>
      <c r="AD218" s="52" t="s">
        <v>914</v>
      </c>
      <c r="AE218" s="53" t="s">
        <v>914</v>
      </c>
      <c r="AF218" s="53" t="s">
        <v>914</v>
      </c>
      <c r="AH218" s="5"/>
      <c r="AJ218" s="53" t="s">
        <v>914</v>
      </c>
      <c r="AK218" s="53" t="s">
        <v>914</v>
      </c>
      <c r="AM218" s="22">
        <f t="shared" si="13"/>
        <v>9</v>
      </c>
    </row>
    <row r="219" spans="1:39" ht="15.75" x14ac:dyDescent="0.25">
      <c r="A219" s="19" t="s">
        <v>55</v>
      </c>
      <c r="B219" s="19" t="s">
        <v>728</v>
      </c>
      <c r="C219" s="20" t="s">
        <v>86</v>
      </c>
      <c r="D219" s="20" t="s">
        <v>11</v>
      </c>
      <c r="E219" s="20" t="s">
        <v>11</v>
      </c>
      <c r="F219" s="19" t="s">
        <v>58</v>
      </c>
      <c r="G219" s="21"/>
      <c r="H219" s="21"/>
      <c r="I219" s="5"/>
      <c r="J219" s="5"/>
      <c r="K219" s="5"/>
      <c r="L219" s="5"/>
      <c r="M219" s="5"/>
      <c r="O219" s="5"/>
      <c r="P219" s="54"/>
      <c r="Q219" s="5"/>
      <c r="R219" s="5"/>
      <c r="S219" s="5"/>
      <c r="T219" s="5"/>
      <c r="U219" s="5"/>
      <c r="V219" s="5"/>
      <c r="W219" s="52" t="s">
        <v>914</v>
      </c>
      <c r="X219" s="52" t="s">
        <v>914</v>
      </c>
      <c r="Y219" s="52" t="s">
        <v>914</v>
      </c>
      <c r="AC219" s="53" t="s">
        <v>914</v>
      </c>
      <c r="AD219" s="52" t="s">
        <v>914</v>
      </c>
      <c r="AE219" s="53" t="s">
        <v>914</v>
      </c>
      <c r="AH219" s="5"/>
      <c r="AK219" s="53" t="s">
        <v>914</v>
      </c>
      <c r="AM219" s="22">
        <f t="shared" si="13"/>
        <v>7</v>
      </c>
    </row>
    <row r="220" spans="1:39" ht="15.75" x14ac:dyDescent="0.25">
      <c r="A220" s="19" t="s">
        <v>55</v>
      </c>
      <c r="B220" s="19" t="s">
        <v>729</v>
      </c>
      <c r="C220" s="20" t="s">
        <v>73</v>
      </c>
      <c r="D220" s="20" t="s">
        <v>11</v>
      </c>
      <c r="E220" s="20" t="s">
        <v>11</v>
      </c>
      <c r="F220" s="19" t="s">
        <v>58</v>
      </c>
      <c r="G220" s="21"/>
      <c r="H220" s="21"/>
      <c r="I220" s="5"/>
      <c r="J220" s="5"/>
      <c r="K220" s="5"/>
      <c r="L220" s="5"/>
      <c r="M220" s="5"/>
      <c r="O220" s="5"/>
      <c r="P220" s="54"/>
      <c r="Q220" s="52" t="s">
        <v>914</v>
      </c>
      <c r="R220" s="5"/>
      <c r="S220" s="5"/>
      <c r="T220" s="5"/>
      <c r="U220" s="5"/>
      <c r="V220" s="5"/>
      <c r="W220" s="52" t="s">
        <v>914</v>
      </c>
      <c r="X220" s="52" t="s">
        <v>914</v>
      </c>
      <c r="Y220" s="52" t="s">
        <v>914</v>
      </c>
      <c r="AC220" s="53" t="s">
        <v>914</v>
      </c>
      <c r="AD220" s="52" t="s">
        <v>914</v>
      </c>
      <c r="AE220" s="53" t="s">
        <v>914</v>
      </c>
      <c r="AF220" s="53" t="s">
        <v>914</v>
      </c>
      <c r="AH220" s="5"/>
      <c r="AJ220" s="53" t="s">
        <v>914</v>
      </c>
      <c r="AK220" s="53" t="s">
        <v>914</v>
      </c>
      <c r="AM220" s="22">
        <f t="shared" si="13"/>
        <v>10</v>
      </c>
    </row>
    <row r="221" spans="1:39" ht="15.75" x14ac:dyDescent="0.25">
      <c r="A221" s="19" t="s">
        <v>55</v>
      </c>
      <c r="B221" s="19" t="s">
        <v>730</v>
      </c>
      <c r="C221" s="20" t="s">
        <v>731</v>
      </c>
      <c r="D221" s="20" t="s">
        <v>11</v>
      </c>
      <c r="E221" s="20" t="s">
        <v>11</v>
      </c>
      <c r="F221" s="19" t="s">
        <v>58</v>
      </c>
      <c r="G221" s="21"/>
      <c r="H221" s="21"/>
      <c r="I221" s="5"/>
      <c r="J221" s="5"/>
      <c r="K221" s="5"/>
      <c r="L221" s="5"/>
      <c r="M221" s="5"/>
      <c r="O221" s="5"/>
      <c r="P221" s="54"/>
      <c r="Q221" s="5"/>
      <c r="R221" s="5"/>
      <c r="S221" s="5"/>
      <c r="T221" s="5"/>
      <c r="U221" s="5"/>
      <c r="V221" s="5"/>
      <c r="W221" s="52" t="s">
        <v>914</v>
      </c>
      <c r="X221" s="52" t="s">
        <v>914</v>
      </c>
      <c r="Y221" s="52" t="s">
        <v>914</v>
      </c>
      <c r="AC221" s="53" t="s">
        <v>914</v>
      </c>
      <c r="AD221" s="52" t="s">
        <v>914</v>
      </c>
      <c r="AE221" s="53" t="s">
        <v>914</v>
      </c>
      <c r="AF221" s="53" t="s">
        <v>914</v>
      </c>
      <c r="AH221" s="5"/>
      <c r="AK221" s="53" t="s">
        <v>914</v>
      </c>
      <c r="AM221" s="22">
        <f t="shared" si="13"/>
        <v>8</v>
      </c>
    </row>
    <row r="222" spans="1:39" ht="15.75" x14ac:dyDescent="0.25">
      <c r="A222" s="19" t="s">
        <v>55</v>
      </c>
      <c r="B222" s="19" t="s">
        <v>732</v>
      </c>
      <c r="C222" s="20" t="s">
        <v>733</v>
      </c>
      <c r="D222" s="20" t="s">
        <v>11</v>
      </c>
      <c r="E222" s="20" t="s">
        <v>11</v>
      </c>
      <c r="F222" s="19" t="s">
        <v>58</v>
      </c>
      <c r="G222" s="21"/>
      <c r="H222" s="21"/>
      <c r="I222" s="5"/>
      <c r="J222" s="5"/>
      <c r="K222" s="5"/>
      <c r="L222" s="5"/>
      <c r="M222" s="5"/>
      <c r="O222" s="5"/>
      <c r="P222" s="54"/>
      <c r="Q222" s="5"/>
      <c r="R222" s="5"/>
      <c r="S222" s="5"/>
      <c r="T222" s="5"/>
      <c r="U222" s="5"/>
      <c r="V222" s="5"/>
      <c r="W222" s="5"/>
      <c r="X222" s="52" t="s">
        <v>914</v>
      </c>
      <c r="Y222" s="52" t="s">
        <v>914</v>
      </c>
      <c r="AC222" s="53" t="s">
        <v>914</v>
      </c>
      <c r="AD222" s="52" t="s">
        <v>914</v>
      </c>
      <c r="AE222" s="53" t="s">
        <v>914</v>
      </c>
      <c r="AF222" s="53" t="s">
        <v>914</v>
      </c>
      <c r="AH222" s="5"/>
      <c r="AK222" s="53" t="s">
        <v>914</v>
      </c>
      <c r="AM222" s="22">
        <f t="shared" si="13"/>
        <v>7</v>
      </c>
    </row>
    <row r="223" spans="1:39" ht="15.75" x14ac:dyDescent="0.25">
      <c r="A223" s="19" t="s">
        <v>55</v>
      </c>
      <c r="B223" s="19" t="s">
        <v>736</v>
      </c>
      <c r="C223" s="20" t="s">
        <v>737</v>
      </c>
      <c r="D223" s="20" t="s">
        <v>11</v>
      </c>
      <c r="E223" s="20" t="s">
        <v>11</v>
      </c>
      <c r="F223" s="19" t="s">
        <v>58</v>
      </c>
      <c r="G223" s="21"/>
      <c r="H223" s="21"/>
      <c r="I223" s="5"/>
      <c r="J223" s="5"/>
      <c r="K223" s="5"/>
      <c r="L223" s="52" t="s">
        <v>914</v>
      </c>
      <c r="M223" s="5"/>
      <c r="O223" s="52" t="s">
        <v>914</v>
      </c>
      <c r="P223" s="54"/>
      <c r="Q223" s="52" t="s">
        <v>914</v>
      </c>
      <c r="R223" s="52" t="s">
        <v>914</v>
      </c>
      <c r="S223" s="52" t="s">
        <v>914</v>
      </c>
      <c r="T223" s="5"/>
      <c r="U223" s="5"/>
      <c r="V223" s="52" t="s">
        <v>914</v>
      </c>
      <c r="W223" s="52" t="s">
        <v>914</v>
      </c>
      <c r="X223" s="52" t="s">
        <v>914</v>
      </c>
      <c r="Y223" s="52" t="s">
        <v>914</v>
      </c>
      <c r="Z223" s="53" t="s">
        <v>914</v>
      </c>
      <c r="AA223" s="5"/>
      <c r="AC223" s="53" t="s">
        <v>914</v>
      </c>
      <c r="AD223" s="52" t="s">
        <v>914</v>
      </c>
      <c r="AE223" s="53" t="s">
        <v>914</v>
      </c>
      <c r="AG223" s="52" t="s">
        <v>914</v>
      </c>
      <c r="AH223" s="5"/>
      <c r="AJ223" s="53" t="s">
        <v>914</v>
      </c>
      <c r="AK223" s="53" t="s">
        <v>914</v>
      </c>
      <c r="AL223" s="53" t="s">
        <v>914</v>
      </c>
      <c r="AM223" s="22">
        <f t="shared" si="13"/>
        <v>17</v>
      </c>
    </row>
    <row r="224" spans="1:39" ht="15.75" x14ac:dyDescent="0.25">
      <c r="A224" s="19" t="s">
        <v>55</v>
      </c>
      <c r="B224" s="19" t="s">
        <v>738</v>
      </c>
      <c r="C224" s="20" t="s">
        <v>739</v>
      </c>
      <c r="D224" s="20" t="s">
        <v>11</v>
      </c>
      <c r="E224" s="20" t="s">
        <v>11</v>
      </c>
      <c r="F224" s="19" t="s">
        <v>58</v>
      </c>
      <c r="G224" s="21"/>
      <c r="H224" s="21"/>
      <c r="I224" s="5"/>
      <c r="J224" s="5"/>
      <c r="K224" s="5"/>
      <c r="L224" s="5"/>
      <c r="M224" s="5"/>
      <c r="O224" s="5"/>
      <c r="P224" s="54" t="s">
        <v>914</v>
      </c>
      <c r="Q224" s="5"/>
      <c r="R224" s="5"/>
      <c r="S224" s="5"/>
      <c r="T224" s="5"/>
      <c r="U224" s="5"/>
      <c r="V224" s="5"/>
      <c r="W224" s="5"/>
      <c r="X224" s="5"/>
      <c r="Y224" s="5"/>
      <c r="AH224" s="5"/>
      <c r="AM224" s="22">
        <f t="shared" si="13"/>
        <v>1</v>
      </c>
    </row>
    <row r="225" spans="1:39" ht="15.75" x14ac:dyDescent="0.25">
      <c r="A225" s="19" t="s">
        <v>55</v>
      </c>
      <c r="B225" s="19" t="s">
        <v>740</v>
      </c>
      <c r="C225" s="20" t="s">
        <v>741</v>
      </c>
      <c r="D225" s="20" t="s">
        <v>11</v>
      </c>
      <c r="E225" s="20" t="s">
        <v>11</v>
      </c>
      <c r="F225" s="19" t="s">
        <v>58</v>
      </c>
      <c r="G225" s="21"/>
      <c r="H225" s="21"/>
      <c r="I225" s="5"/>
      <c r="J225" s="5"/>
      <c r="K225" s="5"/>
      <c r="L225" s="52" t="s">
        <v>914</v>
      </c>
      <c r="M225" s="5"/>
      <c r="O225" s="52" t="s">
        <v>914</v>
      </c>
      <c r="P225" s="54"/>
      <c r="Q225" s="52" t="s">
        <v>914</v>
      </c>
      <c r="R225" s="52" t="s">
        <v>914</v>
      </c>
      <c r="S225" s="52" t="s">
        <v>914</v>
      </c>
      <c r="T225" s="5"/>
      <c r="U225" s="5"/>
      <c r="V225" s="52" t="s">
        <v>914</v>
      </c>
      <c r="W225" s="52" t="s">
        <v>914</v>
      </c>
      <c r="X225" s="52" t="s">
        <v>914</v>
      </c>
      <c r="Y225" s="52" t="s">
        <v>914</v>
      </c>
      <c r="Z225" s="53" t="s">
        <v>914</v>
      </c>
      <c r="AA225" s="5"/>
      <c r="AC225" s="53" t="s">
        <v>914</v>
      </c>
      <c r="AD225" s="52" t="s">
        <v>914</v>
      </c>
      <c r="AE225" s="53" t="s">
        <v>914</v>
      </c>
      <c r="AF225" s="53" t="s">
        <v>914</v>
      </c>
      <c r="AG225" s="52" t="s">
        <v>914</v>
      </c>
      <c r="AH225" s="5"/>
      <c r="AJ225" s="53" t="s">
        <v>914</v>
      </c>
      <c r="AK225" s="53" t="s">
        <v>914</v>
      </c>
      <c r="AL225" s="53" t="s">
        <v>914</v>
      </c>
      <c r="AM225" s="22">
        <f t="shared" si="13"/>
        <v>18</v>
      </c>
    </row>
    <row r="226" spans="1:39" ht="15.75" x14ac:dyDescent="0.25">
      <c r="A226" s="19" t="s">
        <v>55</v>
      </c>
      <c r="B226" s="19" t="s">
        <v>742</v>
      </c>
      <c r="C226" s="20" t="s">
        <v>743</v>
      </c>
      <c r="D226" s="20" t="s">
        <v>11</v>
      </c>
      <c r="E226" s="20" t="s">
        <v>11</v>
      </c>
      <c r="F226" s="19" t="s">
        <v>58</v>
      </c>
      <c r="G226" s="21"/>
      <c r="H226" s="21"/>
      <c r="I226" s="5"/>
      <c r="J226" s="5"/>
      <c r="K226" s="5"/>
      <c r="L226" s="52" t="s">
        <v>914</v>
      </c>
      <c r="M226" s="5"/>
      <c r="O226" s="52" t="s">
        <v>914</v>
      </c>
      <c r="P226" s="54" t="s">
        <v>914</v>
      </c>
      <c r="Q226" s="52" t="s">
        <v>914</v>
      </c>
      <c r="R226" s="52" t="s">
        <v>914</v>
      </c>
      <c r="S226" s="52" t="s">
        <v>914</v>
      </c>
      <c r="T226" s="5"/>
      <c r="U226" s="5"/>
      <c r="V226" s="52" t="s">
        <v>914</v>
      </c>
      <c r="W226" s="52" t="s">
        <v>914</v>
      </c>
      <c r="X226" s="52" t="s">
        <v>914</v>
      </c>
      <c r="Y226" s="52" t="s">
        <v>914</v>
      </c>
      <c r="Z226" s="53" t="s">
        <v>914</v>
      </c>
      <c r="AA226" s="5"/>
      <c r="AC226" s="53" t="s">
        <v>914</v>
      </c>
      <c r="AD226" s="52" t="s">
        <v>914</v>
      </c>
      <c r="AE226" s="53" t="s">
        <v>914</v>
      </c>
      <c r="AG226" s="52" t="s">
        <v>914</v>
      </c>
      <c r="AH226" s="5"/>
      <c r="AJ226" s="53" t="s">
        <v>914</v>
      </c>
      <c r="AL226" s="53" t="s">
        <v>914</v>
      </c>
      <c r="AM226" s="22">
        <f t="shared" si="13"/>
        <v>17</v>
      </c>
    </row>
    <row r="227" spans="1:39" ht="15.75" x14ac:dyDescent="0.25">
      <c r="A227" s="19" t="s">
        <v>55</v>
      </c>
      <c r="B227" s="19" t="s">
        <v>744</v>
      </c>
      <c r="C227" s="20" t="s">
        <v>745</v>
      </c>
      <c r="D227" s="20" t="s">
        <v>21</v>
      </c>
      <c r="E227" s="20" t="s">
        <v>21</v>
      </c>
      <c r="F227" s="19" t="s">
        <v>58</v>
      </c>
      <c r="G227" s="21"/>
      <c r="H227" s="21"/>
      <c r="I227" s="5"/>
      <c r="J227" s="5"/>
      <c r="K227" s="5"/>
      <c r="L227" s="5"/>
      <c r="M227" s="5"/>
      <c r="O227" s="5"/>
      <c r="P227" s="54" t="s">
        <v>914</v>
      </c>
      <c r="Q227" s="5"/>
      <c r="R227" s="5"/>
      <c r="S227" s="5"/>
      <c r="T227" s="5"/>
      <c r="U227" s="5"/>
      <c r="V227" s="5"/>
      <c r="W227" s="5"/>
      <c r="X227" s="5"/>
      <c r="Y227" s="5"/>
      <c r="AH227" s="5"/>
      <c r="AM227" s="22">
        <f t="shared" si="13"/>
        <v>1</v>
      </c>
    </row>
    <row r="228" spans="1:39" ht="15.75" x14ac:dyDescent="0.25">
      <c r="A228" s="19" t="s">
        <v>55</v>
      </c>
      <c r="B228" s="19" t="s">
        <v>748</v>
      </c>
      <c r="C228" s="20" t="s">
        <v>749</v>
      </c>
      <c r="D228" s="20" t="s">
        <v>21</v>
      </c>
      <c r="E228" s="20" t="s">
        <v>21</v>
      </c>
      <c r="F228" s="19" t="s">
        <v>58</v>
      </c>
      <c r="G228" s="21"/>
      <c r="H228" s="21"/>
      <c r="I228" s="5"/>
      <c r="J228" s="5"/>
      <c r="K228" s="5"/>
      <c r="L228" s="52" t="s">
        <v>914</v>
      </c>
      <c r="M228" s="5"/>
      <c r="O228" s="52" t="s">
        <v>914</v>
      </c>
      <c r="P228" s="54"/>
      <c r="Q228" s="52" t="s">
        <v>914</v>
      </c>
      <c r="R228" s="52" t="s">
        <v>914</v>
      </c>
      <c r="S228" s="52" t="s">
        <v>914</v>
      </c>
      <c r="T228" s="5"/>
      <c r="U228" s="5"/>
      <c r="V228" s="52" t="s">
        <v>914</v>
      </c>
      <c r="W228" s="52" t="s">
        <v>914</v>
      </c>
      <c r="X228" s="52" t="s">
        <v>914</v>
      </c>
      <c r="Y228" s="52" t="s">
        <v>914</v>
      </c>
      <c r="Z228" s="53" t="s">
        <v>914</v>
      </c>
      <c r="AA228" s="5"/>
      <c r="AC228" s="53" t="s">
        <v>914</v>
      </c>
      <c r="AD228" s="52" t="s">
        <v>914</v>
      </c>
      <c r="AE228" s="53" t="s">
        <v>914</v>
      </c>
      <c r="AF228" s="53" t="s">
        <v>914</v>
      </c>
      <c r="AG228" s="52" t="s">
        <v>914</v>
      </c>
      <c r="AH228" s="5"/>
      <c r="AJ228" s="53" t="s">
        <v>914</v>
      </c>
      <c r="AK228" s="53" t="s">
        <v>914</v>
      </c>
      <c r="AL228" s="53" t="s">
        <v>914</v>
      </c>
      <c r="AM228" s="22">
        <f t="shared" si="13"/>
        <v>18</v>
      </c>
    </row>
    <row r="229" spans="1:39" ht="15.75" x14ac:dyDescent="0.25">
      <c r="A229" s="19" t="s">
        <v>55</v>
      </c>
      <c r="B229" s="19" t="s">
        <v>750</v>
      </c>
      <c r="C229" s="20" t="s">
        <v>751</v>
      </c>
      <c r="D229" s="20" t="s">
        <v>21</v>
      </c>
      <c r="E229" s="20" t="s">
        <v>21</v>
      </c>
      <c r="F229" s="19" t="s">
        <v>58</v>
      </c>
      <c r="G229" s="21"/>
      <c r="H229" s="21"/>
      <c r="I229" s="5"/>
      <c r="J229" s="5"/>
      <c r="K229" s="5"/>
      <c r="L229" s="5"/>
      <c r="M229" s="5"/>
      <c r="O229" s="5"/>
      <c r="P229" s="54" t="s">
        <v>914</v>
      </c>
      <c r="Q229" s="5"/>
      <c r="R229" s="5"/>
      <c r="S229" s="5"/>
      <c r="T229" s="5"/>
      <c r="U229" s="5"/>
      <c r="V229" s="5"/>
      <c r="W229" s="5"/>
      <c r="X229" s="5"/>
      <c r="Y229" s="5"/>
      <c r="AH229" s="5"/>
      <c r="AM229" s="22">
        <f t="shared" si="13"/>
        <v>1</v>
      </c>
    </row>
    <row r="230" spans="1:39" ht="15.75" x14ac:dyDescent="0.25">
      <c r="A230" s="19" t="s">
        <v>55</v>
      </c>
      <c r="B230" s="19" t="s">
        <v>755</v>
      </c>
      <c r="C230" s="20" t="s">
        <v>756</v>
      </c>
      <c r="D230" s="20" t="s">
        <v>21</v>
      </c>
      <c r="E230" s="20" t="s">
        <v>21</v>
      </c>
      <c r="F230" s="19" t="s">
        <v>58</v>
      </c>
      <c r="G230" s="21"/>
      <c r="H230" s="21"/>
      <c r="I230" s="5"/>
      <c r="J230" s="5"/>
      <c r="K230" s="5"/>
      <c r="L230" s="52" t="s">
        <v>914</v>
      </c>
      <c r="M230" s="5"/>
      <c r="N230" s="5"/>
      <c r="O230" s="52" t="s">
        <v>914</v>
      </c>
      <c r="P230" s="54"/>
      <c r="Q230" s="52" t="s">
        <v>914</v>
      </c>
      <c r="R230" s="5"/>
      <c r="S230" s="52" t="s">
        <v>914</v>
      </c>
      <c r="T230" s="5"/>
      <c r="U230" s="5"/>
      <c r="V230" s="52" t="s">
        <v>914</v>
      </c>
      <c r="W230" s="52" t="s">
        <v>914</v>
      </c>
      <c r="X230" s="52" t="s">
        <v>914</v>
      </c>
      <c r="Y230" s="52" t="s">
        <v>914</v>
      </c>
      <c r="Z230" s="53" t="s">
        <v>914</v>
      </c>
      <c r="AA230" s="5"/>
      <c r="AC230" s="53" t="s">
        <v>914</v>
      </c>
      <c r="AD230" s="52" t="s">
        <v>914</v>
      </c>
      <c r="AE230" s="53" t="s">
        <v>914</v>
      </c>
      <c r="AF230" s="53" t="s">
        <v>914</v>
      </c>
      <c r="AG230" s="52" t="s">
        <v>914</v>
      </c>
      <c r="AH230" s="5"/>
      <c r="AJ230" s="53" t="s">
        <v>914</v>
      </c>
      <c r="AK230" s="53" t="s">
        <v>914</v>
      </c>
      <c r="AL230" s="53" t="s">
        <v>914</v>
      </c>
      <c r="AM230" s="22">
        <f t="shared" si="13"/>
        <v>17</v>
      </c>
    </row>
    <row r="231" spans="1:39" ht="15.75" x14ac:dyDescent="0.25">
      <c r="A231" s="19" t="s">
        <v>55</v>
      </c>
      <c r="B231" s="19" t="s">
        <v>757</v>
      </c>
      <c r="C231" s="20" t="s">
        <v>882</v>
      </c>
      <c r="D231" s="20" t="s">
        <v>29</v>
      </c>
      <c r="E231" s="20" t="s">
        <v>29</v>
      </c>
      <c r="F231" s="19" t="s">
        <v>58</v>
      </c>
      <c r="G231" s="21"/>
      <c r="H231" s="21"/>
      <c r="I231" s="5"/>
      <c r="J231" s="5"/>
      <c r="K231" s="5"/>
      <c r="L231" s="52" t="s">
        <v>914</v>
      </c>
      <c r="M231" s="5"/>
      <c r="O231" s="52" t="s">
        <v>914</v>
      </c>
      <c r="P231" s="54" t="s">
        <v>914</v>
      </c>
      <c r="Q231" s="5"/>
      <c r="R231" s="52" t="s">
        <v>914</v>
      </c>
      <c r="S231" s="5"/>
      <c r="T231" s="5"/>
      <c r="U231" s="5"/>
      <c r="V231" s="52" t="s">
        <v>914</v>
      </c>
      <c r="W231" s="52" t="s">
        <v>914</v>
      </c>
      <c r="X231" s="5"/>
      <c r="Y231" s="52" t="s">
        <v>914</v>
      </c>
      <c r="Z231" s="53" t="s">
        <v>914</v>
      </c>
      <c r="AC231" s="53" t="s">
        <v>914</v>
      </c>
      <c r="AE231" s="53" t="s">
        <v>914</v>
      </c>
      <c r="AF231" s="53" t="s">
        <v>914</v>
      </c>
      <c r="AH231" s="5"/>
      <c r="AJ231" s="53" t="s">
        <v>914</v>
      </c>
      <c r="AL231" s="53" t="s">
        <v>914</v>
      </c>
      <c r="AM231" s="22">
        <f t="shared" si="13"/>
        <v>13</v>
      </c>
    </row>
    <row r="232" spans="1:39" ht="15.75" x14ac:dyDescent="0.25">
      <c r="A232" s="19" t="s">
        <v>55</v>
      </c>
      <c r="B232" s="19" t="s">
        <v>759</v>
      </c>
      <c r="C232" s="20" t="s">
        <v>760</v>
      </c>
      <c r="D232" s="20" t="s">
        <v>21</v>
      </c>
      <c r="E232" s="20" t="s">
        <v>21</v>
      </c>
      <c r="F232" s="19" t="s">
        <v>58</v>
      </c>
      <c r="G232" s="21"/>
      <c r="H232" s="21"/>
      <c r="I232" s="5"/>
      <c r="J232" s="5"/>
      <c r="K232" s="5"/>
      <c r="L232" s="52" t="s">
        <v>914</v>
      </c>
      <c r="M232" s="5"/>
      <c r="O232" s="52" t="s">
        <v>914</v>
      </c>
      <c r="P232" s="54"/>
      <c r="Q232" s="52" t="s">
        <v>914</v>
      </c>
      <c r="R232" s="52" t="s">
        <v>914</v>
      </c>
      <c r="S232" s="52" t="s">
        <v>914</v>
      </c>
      <c r="T232" s="5"/>
      <c r="U232" s="5"/>
      <c r="V232" s="52" t="s">
        <v>914</v>
      </c>
      <c r="W232" s="52" t="s">
        <v>914</v>
      </c>
      <c r="X232" s="52" t="s">
        <v>914</v>
      </c>
      <c r="Y232" s="52" t="s">
        <v>914</v>
      </c>
      <c r="Z232" s="53" t="s">
        <v>914</v>
      </c>
      <c r="AA232" s="5"/>
      <c r="AC232" s="53" t="s">
        <v>914</v>
      </c>
      <c r="AD232" s="52" t="s">
        <v>914</v>
      </c>
      <c r="AE232" s="53" t="s">
        <v>914</v>
      </c>
      <c r="AF232" s="53" t="s">
        <v>914</v>
      </c>
      <c r="AG232" s="52"/>
      <c r="AH232" s="5"/>
      <c r="AJ232" s="53" t="s">
        <v>914</v>
      </c>
      <c r="AK232" s="53" t="s">
        <v>914</v>
      </c>
      <c r="AL232" s="53" t="s">
        <v>914</v>
      </c>
      <c r="AM232" s="22">
        <f t="shared" si="13"/>
        <v>17</v>
      </c>
    </row>
    <row r="233" spans="1:39" ht="15.75" x14ac:dyDescent="0.25">
      <c r="A233" s="19" t="s">
        <v>55</v>
      </c>
      <c r="B233" s="19" t="s">
        <v>761</v>
      </c>
      <c r="C233" s="20" t="s">
        <v>762</v>
      </c>
      <c r="D233" s="20" t="s">
        <v>21</v>
      </c>
      <c r="E233" s="20" t="s">
        <v>21</v>
      </c>
      <c r="F233" s="19" t="s">
        <v>58</v>
      </c>
      <c r="G233" s="21"/>
      <c r="H233" s="21"/>
      <c r="I233" s="5"/>
      <c r="J233" s="5"/>
      <c r="K233" s="5"/>
      <c r="L233" s="5"/>
      <c r="M233" s="5"/>
      <c r="O233" s="5"/>
      <c r="P233" s="54" t="s">
        <v>914</v>
      </c>
      <c r="Q233" s="5"/>
      <c r="R233" s="5"/>
      <c r="S233" s="5"/>
      <c r="T233" s="5"/>
      <c r="U233" s="5"/>
      <c r="V233" s="5"/>
      <c r="W233" s="5"/>
      <c r="X233" s="5"/>
      <c r="Y233" s="5"/>
      <c r="AH233" s="5"/>
      <c r="AM233" s="22">
        <f t="shared" si="13"/>
        <v>1</v>
      </c>
    </row>
    <row r="234" spans="1:39" ht="15.75" x14ac:dyDescent="0.25">
      <c r="A234" s="19" t="s">
        <v>55</v>
      </c>
      <c r="B234" s="19" t="s">
        <v>763</v>
      </c>
      <c r="C234" s="20" t="s">
        <v>764</v>
      </c>
      <c r="D234" s="20" t="s">
        <v>21</v>
      </c>
      <c r="E234" s="20" t="s">
        <v>21</v>
      </c>
      <c r="F234" s="19" t="s">
        <v>58</v>
      </c>
      <c r="G234" s="21"/>
      <c r="H234" s="21"/>
      <c r="I234" s="5"/>
      <c r="J234" s="5"/>
      <c r="K234" s="5"/>
      <c r="L234" s="52" t="s">
        <v>914</v>
      </c>
      <c r="M234" s="5"/>
      <c r="O234" s="52" t="s">
        <v>914</v>
      </c>
      <c r="P234" s="54"/>
      <c r="Q234" s="5"/>
      <c r="R234" s="52" t="s">
        <v>914</v>
      </c>
      <c r="S234" s="52" t="s">
        <v>914</v>
      </c>
      <c r="T234" s="5"/>
      <c r="U234" s="5"/>
      <c r="V234" s="52" t="s">
        <v>914</v>
      </c>
      <c r="W234" s="52" t="s">
        <v>914</v>
      </c>
      <c r="X234" s="52" t="s">
        <v>914</v>
      </c>
      <c r="Y234" s="52" t="s">
        <v>914</v>
      </c>
      <c r="Z234" s="53" t="s">
        <v>914</v>
      </c>
      <c r="AA234" s="5"/>
      <c r="AC234" s="53" t="s">
        <v>914</v>
      </c>
      <c r="AD234" s="52" t="s">
        <v>914</v>
      </c>
      <c r="AE234" s="53" t="s">
        <v>914</v>
      </c>
      <c r="AG234" s="52" t="s">
        <v>914</v>
      </c>
      <c r="AH234" s="5"/>
      <c r="AM234" s="22">
        <f t="shared" si="13"/>
        <v>13</v>
      </c>
    </row>
    <row r="235" spans="1:39" ht="15.75" x14ac:dyDescent="0.25">
      <c r="A235" s="19" t="s">
        <v>55</v>
      </c>
      <c r="B235" s="19" t="s">
        <v>765</v>
      </c>
      <c r="C235" s="20" t="s">
        <v>766</v>
      </c>
      <c r="D235" s="20" t="s">
        <v>19</v>
      </c>
      <c r="E235" s="20" t="s">
        <v>19</v>
      </c>
      <c r="F235" s="19" t="s">
        <v>58</v>
      </c>
      <c r="G235" s="21"/>
      <c r="H235" s="21"/>
      <c r="I235" s="5"/>
      <c r="J235" s="5"/>
      <c r="K235" s="5"/>
      <c r="L235" s="5"/>
      <c r="M235" s="5"/>
      <c r="O235" s="5"/>
      <c r="P235" s="54" t="s">
        <v>914</v>
      </c>
      <c r="Q235" s="5"/>
      <c r="R235" s="5"/>
      <c r="S235" s="5"/>
      <c r="T235" s="5"/>
      <c r="U235" s="5"/>
      <c r="V235" s="5"/>
      <c r="W235" s="5"/>
      <c r="X235" s="5"/>
      <c r="Y235" s="5"/>
      <c r="AH235" s="5"/>
      <c r="AJ235" s="53"/>
      <c r="AM235" s="22">
        <f t="shared" si="13"/>
        <v>1</v>
      </c>
    </row>
    <row r="236" spans="1:39" ht="15.75" x14ac:dyDescent="0.25">
      <c r="A236" s="19" t="s">
        <v>55</v>
      </c>
      <c r="B236" s="19" t="s">
        <v>789</v>
      </c>
      <c r="C236" s="20" t="s">
        <v>883</v>
      </c>
      <c r="D236" s="20" t="s">
        <v>21</v>
      </c>
      <c r="E236" s="20" t="s">
        <v>21</v>
      </c>
      <c r="F236" s="19" t="s">
        <v>58</v>
      </c>
      <c r="G236" s="21"/>
      <c r="H236" s="21"/>
      <c r="I236" s="5"/>
      <c r="J236" s="5"/>
      <c r="K236" s="5"/>
      <c r="L236" s="52" t="s">
        <v>914</v>
      </c>
      <c r="M236" s="5"/>
      <c r="O236" s="52" t="s">
        <v>914</v>
      </c>
      <c r="P236" s="54"/>
      <c r="Q236" s="52" t="s">
        <v>914</v>
      </c>
      <c r="R236" s="5"/>
      <c r="S236" s="52" t="s">
        <v>914</v>
      </c>
      <c r="T236" s="5"/>
      <c r="U236" s="5"/>
      <c r="V236" s="52" t="s">
        <v>914</v>
      </c>
      <c r="W236" s="52" t="s">
        <v>914</v>
      </c>
      <c r="X236" s="5"/>
      <c r="Y236" s="52" t="s">
        <v>914</v>
      </c>
      <c r="Z236" s="53" t="s">
        <v>914</v>
      </c>
      <c r="AA236" s="5"/>
      <c r="AC236" s="53" t="s">
        <v>914</v>
      </c>
      <c r="AD236" s="5"/>
      <c r="AF236" s="53" t="s">
        <v>914</v>
      </c>
      <c r="AG236" s="5"/>
      <c r="AH236" s="5"/>
      <c r="AJ236" s="53" t="s">
        <v>914</v>
      </c>
      <c r="AK236" s="53" t="s">
        <v>914</v>
      </c>
      <c r="AL236" s="53" t="s">
        <v>914</v>
      </c>
      <c r="AM236" s="22">
        <f t="shared" si="13"/>
        <v>13</v>
      </c>
    </row>
    <row r="237" spans="1:39" ht="15.75" x14ac:dyDescent="0.25">
      <c r="A237" s="19" t="s">
        <v>55</v>
      </c>
      <c r="B237" s="19" t="s">
        <v>793</v>
      </c>
      <c r="C237" s="20" t="s">
        <v>794</v>
      </c>
      <c r="D237" s="20" t="s">
        <v>21</v>
      </c>
      <c r="E237" s="20" t="s">
        <v>21</v>
      </c>
      <c r="F237" s="19" t="s">
        <v>58</v>
      </c>
      <c r="G237" s="21"/>
      <c r="H237" s="21"/>
      <c r="I237" s="5"/>
      <c r="J237" s="5"/>
      <c r="K237" s="5"/>
      <c r="L237" s="52" t="s">
        <v>914</v>
      </c>
      <c r="M237" s="5"/>
      <c r="N237" s="5"/>
      <c r="O237" s="52" t="s">
        <v>914</v>
      </c>
      <c r="P237" s="54" t="s">
        <v>914</v>
      </c>
      <c r="Q237" s="52" t="s">
        <v>914</v>
      </c>
      <c r="R237" s="5"/>
      <c r="S237" s="52" t="s">
        <v>914</v>
      </c>
      <c r="T237" s="5"/>
      <c r="U237" s="5"/>
      <c r="V237" s="52" t="s">
        <v>914</v>
      </c>
      <c r="W237" s="52" t="s">
        <v>914</v>
      </c>
      <c r="X237" s="52" t="s">
        <v>914</v>
      </c>
      <c r="Y237" s="52" t="s">
        <v>914</v>
      </c>
      <c r="Z237" s="53" t="s">
        <v>914</v>
      </c>
      <c r="AA237" s="5"/>
      <c r="AC237" s="53" t="s">
        <v>914</v>
      </c>
      <c r="AD237" s="52" t="s">
        <v>914</v>
      </c>
      <c r="AE237" s="53" t="s">
        <v>914</v>
      </c>
      <c r="AF237" s="53" t="s">
        <v>914</v>
      </c>
      <c r="AG237" s="52" t="s">
        <v>914</v>
      </c>
      <c r="AH237" s="5"/>
      <c r="AJ237" s="53" t="s">
        <v>914</v>
      </c>
      <c r="AK237" s="53" t="s">
        <v>914</v>
      </c>
      <c r="AL237" s="53" t="s">
        <v>914</v>
      </c>
      <c r="AM237" s="22">
        <f t="shared" si="13"/>
        <v>18</v>
      </c>
    </row>
    <row r="238" spans="1:39" ht="15.75" x14ac:dyDescent="0.25">
      <c r="A238" s="19" t="s">
        <v>55</v>
      </c>
      <c r="B238" s="19" t="s">
        <v>804</v>
      </c>
      <c r="C238" s="20" t="s">
        <v>105</v>
      </c>
      <c r="D238" s="20" t="s">
        <v>13</v>
      </c>
      <c r="E238" s="20" t="s">
        <v>13</v>
      </c>
      <c r="F238" s="19" t="s">
        <v>58</v>
      </c>
      <c r="G238" s="21"/>
      <c r="H238" s="21"/>
      <c r="I238" s="5"/>
      <c r="J238" s="5"/>
      <c r="K238" s="5"/>
      <c r="L238" s="5"/>
      <c r="M238" s="5"/>
      <c r="O238" s="5"/>
      <c r="P238" s="54" t="s">
        <v>914</v>
      </c>
      <c r="Q238" s="52" t="s">
        <v>914</v>
      </c>
      <c r="R238" s="52" t="s">
        <v>914</v>
      </c>
      <c r="S238" s="52" t="s">
        <v>914</v>
      </c>
      <c r="T238" s="5"/>
      <c r="U238" s="5"/>
      <c r="V238" s="5"/>
      <c r="W238" s="52" t="s">
        <v>914</v>
      </c>
      <c r="X238" s="5"/>
      <c r="Y238" s="5"/>
      <c r="AH238" s="5"/>
      <c r="AK238" s="53" t="s">
        <v>914</v>
      </c>
      <c r="AL238" s="53" t="s">
        <v>914</v>
      </c>
      <c r="AM238" s="22">
        <f t="shared" si="13"/>
        <v>7</v>
      </c>
    </row>
    <row r="239" spans="1:39" ht="15.75" x14ac:dyDescent="0.25">
      <c r="A239" s="19" t="s">
        <v>55</v>
      </c>
      <c r="B239" s="19" t="s">
        <v>806</v>
      </c>
      <c r="C239" s="20" t="s">
        <v>102</v>
      </c>
      <c r="D239" s="20" t="s">
        <v>22</v>
      </c>
      <c r="E239" s="20" t="s">
        <v>22</v>
      </c>
      <c r="F239" s="19" t="s">
        <v>58</v>
      </c>
      <c r="G239" s="21"/>
      <c r="H239" s="21"/>
      <c r="I239" s="5"/>
      <c r="J239" s="5"/>
      <c r="K239" s="5"/>
      <c r="L239" s="5"/>
      <c r="M239" s="5"/>
      <c r="O239" s="5"/>
      <c r="P239" s="54" t="s">
        <v>914</v>
      </c>
      <c r="Q239" s="5"/>
      <c r="R239" s="5"/>
      <c r="S239" s="5"/>
      <c r="T239" s="5"/>
      <c r="U239" s="5"/>
      <c r="V239" s="5"/>
      <c r="W239" s="5"/>
      <c r="X239" s="5"/>
      <c r="Y239" s="52" t="s">
        <v>914</v>
      </c>
      <c r="Z239" s="53" t="s">
        <v>914</v>
      </c>
      <c r="AC239" s="53" t="s">
        <v>914</v>
      </c>
      <c r="AD239" s="52" t="s">
        <v>914</v>
      </c>
      <c r="AE239" s="53" t="s">
        <v>914</v>
      </c>
      <c r="AF239" s="53" t="s">
        <v>914</v>
      </c>
      <c r="AH239" s="5"/>
      <c r="AJ239" s="53" t="s">
        <v>914</v>
      </c>
      <c r="AK239" s="53" t="s">
        <v>914</v>
      </c>
      <c r="AM239" s="22">
        <f t="shared" si="13"/>
        <v>9</v>
      </c>
    </row>
    <row r="240" spans="1:39" ht="15.75" x14ac:dyDescent="0.25">
      <c r="A240" s="19" t="s">
        <v>55</v>
      </c>
      <c r="B240" s="19" t="s">
        <v>807</v>
      </c>
      <c r="C240" s="20" t="s">
        <v>91</v>
      </c>
      <c r="D240" s="20" t="s">
        <v>22</v>
      </c>
      <c r="E240" s="20" t="s">
        <v>22</v>
      </c>
      <c r="F240" s="19" t="s">
        <v>58</v>
      </c>
      <c r="G240" s="21"/>
      <c r="H240" s="21"/>
      <c r="I240" s="5"/>
      <c r="J240" s="5"/>
      <c r="K240" s="5"/>
      <c r="L240" s="52" t="s">
        <v>914</v>
      </c>
      <c r="M240" s="5"/>
      <c r="O240" s="52" t="s">
        <v>914</v>
      </c>
      <c r="P240" s="54"/>
      <c r="Q240" s="5"/>
      <c r="R240" s="5"/>
      <c r="S240" s="5"/>
      <c r="T240" s="5"/>
      <c r="U240" s="5"/>
      <c r="V240" s="5"/>
      <c r="W240" s="5"/>
      <c r="X240" s="52" t="s">
        <v>914</v>
      </c>
      <c r="Y240" s="52" t="s">
        <v>914</v>
      </c>
      <c r="Z240" s="53" t="s">
        <v>914</v>
      </c>
      <c r="AC240" s="53" t="s">
        <v>914</v>
      </c>
      <c r="AD240" s="52" t="s">
        <v>914</v>
      </c>
      <c r="AE240" s="53" t="s">
        <v>914</v>
      </c>
      <c r="AF240" s="53" t="s">
        <v>914</v>
      </c>
      <c r="AH240" s="5"/>
      <c r="AJ240" s="53" t="s">
        <v>914</v>
      </c>
      <c r="AK240" s="53" t="s">
        <v>914</v>
      </c>
      <c r="AM240" s="22">
        <f t="shared" si="13"/>
        <v>11</v>
      </c>
    </row>
    <row r="241" spans="1:39" ht="15.75" x14ac:dyDescent="0.25">
      <c r="A241" s="19" t="s">
        <v>55</v>
      </c>
      <c r="B241" s="19"/>
      <c r="C241" s="20" t="s">
        <v>884</v>
      </c>
      <c r="D241" s="20" t="s">
        <v>27</v>
      </c>
      <c r="E241" s="20" t="s">
        <v>27</v>
      </c>
      <c r="F241" s="19" t="s">
        <v>58</v>
      </c>
      <c r="G241" s="21"/>
      <c r="H241" s="21"/>
      <c r="I241" s="5" t="s">
        <v>874</v>
      </c>
      <c r="J241" s="5"/>
      <c r="K241" s="5"/>
      <c r="L241" s="52" t="s">
        <v>915</v>
      </c>
      <c r="M241" s="52" t="s">
        <v>915</v>
      </c>
      <c r="N241" s="5"/>
      <c r="O241" s="52" t="s">
        <v>915</v>
      </c>
      <c r="P241" s="54"/>
      <c r="Q241" s="52" t="s">
        <v>915</v>
      </c>
      <c r="R241" s="52" t="s">
        <v>915</v>
      </c>
      <c r="S241" s="5" t="s">
        <v>874</v>
      </c>
      <c r="T241" s="5" t="s">
        <v>874</v>
      </c>
      <c r="U241" s="5"/>
      <c r="V241" s="52" t="s">
        <v>915</v>
      </c>
      <c r="W241" s="52" t="s">
        <v>915</v>
      </c>
      <c r="X241" s="52" t="s">
        <v>915</v>
      </c>
      <c r="Y241" s="52" t="s">
        <v>915</v>
      </c>
      <c r="Z241" s="52" t="s">
        <v>915</v>
      </c>
      <c r="AA241" s="52" t="s">
        <v>915</v>
      </c>
      <c r="AB241" s="5"/>
      <c r="AC241" s="52" t="s">
        <v>915</v>
      </c>
      <c r="AD241" s="52" t="s">
        <v>915</v>
      </c>
      <c r="AE241" s="52" t="s">
        <v>915</v>
      </c>
      <c r="AF241" s="52" t="s">
        <v>915</v>
      </c>
      <c r="AG241" s="52" t="s">
        <v>915</v>
      </c>
      <c r="AH241" s="52" t="s">
        <v>915</v>
      </c>
      <c r="AJ241" s="52" t="s">
        <v>915</v>
      </c>
      <c r="AK241" s="52" t="s">
        <v>915</v>
      </c>
      <c r="AL241" s="52" t="s">
        <v>915</v>
      </c>
      <c r="AM241" s="22">
        <f t="shared" si="13"/>
        <v>23</v>
      </c>
    </row>
    <row r="242" spans="1:39" ht="15.75" x14ac:dyDescent="0.25">
      <c r="A242" s="19" t="s">
        <v>55</v>
      </c>
      <c r="B242" s="19"/>
      <c r="C242" s="20" t="s">
        <v>884</v>
      </c>
      <c r="D242" s="20" t="s">
        <v>27</v>
      </c>
      <c r="E242" s="20" t="s">
        <v>27</v>
      </c>
      <c r="F242" s="19" t="s">
        <v>58</v>
      </c>
      <c r="G242" s="21"/>
      <c r="H242" s="21"/>
      <c r="I242" s="5" t="s">
        <v>874</v>
      </c>
      <c r="J242" s="5"/>
      <c r="K242" s="5"/>
      <c r="L242" s="52" t="s">
        <v>915</v>
      </c>
      <c r="M242" s="52" t="s">
        <v>915</v>
      </c>
      <c r="N242" s="5"/>
      <c r="O242" s="52" t="s">
        <v>915</v>
      </c>
      <c r="P242" s="54" t="s">
        <v>915</v>
      </c>
      <c r="Q242" s="52" t="s">
        <v>915</v>
      </c>
      <c r="R242" s="52" t="s">
        <v>915</v>
      </c>
      <c r="S242" s="5" t="s">
        <v>874</v>
      </c>
      <c r="T242" s="5" t="s">
        <v>874</v>
      </c>
      <c r="U242" s="5"/>
      <c r="V242" s="52" t="s">
        <v>915</v>
      </c>
      <c r="W242" s="52" t="s">
        <v>915</v>
      </c>
      <c r="X242" s="52" t="s">
        <v>915</v>
      </c>
      <c r="Y242" s="52" t="s">
        <v>915</v>
      </c>
      <c r="Z242" s="52" t="s">
        <v>915</v>
      </c>
      <c r="AA242" s="52" t="s">
        <v>915</v>
      </c>
      <c r="AB242" s="5"/>
      <c r="AC242" s="52" t="s">
        <v>915</v>
      </c>
      <c r="AD242" s="52" t="s">
        <v>915</v>
      </c>
      <c r="AE242" s="52" t="s">
        <v>915</v>
      </c>
      <c r="AF242" s="52" t="s">
        <v>915</v>
      </c>
      <c r="AG242" s="52" t="s">
        <v>915</v>
      </c>
      <c r="AH242" s="52" t="s">
        <v>915</v>
      </c>
      <c r="AJ242" s="52" t="s">
        <v>915</v>
      </c>
      <c r="AK242" s="52" t="s">
        <v>915</v>
      </c>
      <c r="AL242" s="52" t="s">
        <v>915</v>
      </c>
      <c r="AM242" s="22">
        <f t="shared" si="13"/>
        <v>24</v>
      </c>
    </row>
    <row r="243" spans="1:39" ht="15.75" x14ac:dyDescent="0.25">
      <c r="A243" s="19" t="s">
        <v>55</v>
      </c>
      <c r="B243" s="19" t="s">
        <v>481</v>
      </c>
      <c r="C243" s="20" t="s">
        <v>482</v>
      </c>
      <c r="D243" s="20" t="s">
        <v>8</v>
      </c>
      <c r="E243" s="20" t="s">
        <v>8</v>
      </c>
      <c r="F243" s="19" t="s">
        <v>58</v>
      </c>
      <c r="G243" s="21"/>
      <c r="H243" s="21"/>
      <c r="I243" s="5"/>
      <c r="J243" s="5"/>
      <c r="K243" s="5"/>
      <c r="L243" s="5"/>
      <c r="M243" s="5"/>
      <c r="O243" s="5"/>
      <c r="P243" s="54" t="s">
        <v>914</v>
      </c>
      <c r="Q243" s="5"/>
      <c r="R243" s="5"/>
      <c r="S243" s="5"/>
      <c r="T243" s="5"/>
      <c r="U243" s="5"/>
      <c r="V243" s="5"/>
      <c r="W243" s="52" t="s">
        <v>914</v>
      </c>
      <c r="X243" s="52" t="s">
        <v>914</v>
      </c>
      <c r="Y243" s="52" t="s">
        <v>914</v>
      </c>
      <c r="AC243" s="53" t="s">
        <v>914</v>
      </c>
      <c r="AD243" s="53" t="s">
        <v>914</v>
      </c>
      <c r="AE243" s="53" t="s">
        <v>914</v>
      </c>
      <c r="AH243" s="5"/>
      <c r="AJ243" s="53" t="s">
        <v>914</v>
      </c>
      <c r="AM243" s="22">
        <f t="shared" si="13"/>
        <v>8</v>
      </c>
    </row>
    <row r="244" spans="1:39" ht="15.75" x14ac:dyDescent="0.25">
      <c r="A244" s="19" t="s">
        <v>55</v>
      </c>
      <c r="B244" s="19" t="s">
        <v>754</v>
      </c>
      <c r="C244" s="20" t="s">
        <v>78</v>
      </c>
      <c r="D244" s="20" t="s">
        <v>21</v>
      </c>
      <c r="E244" s="20" t="s">
        <v>21</v>
      </c>
      <c r="F244" s="19" t="s">
        <v>58</v>
      </c>
      <c r="G244" s="21"/>
      <c r="H244" s="21"/>
      <c r="I244" s="5"/>
      <c r="J244" s="5"/>
      <c r="K244" s="5"/>
      <c r="L244" s="52" t="s">
        <v>914</v>
      </c>
      <c r="M244" s="5"/>
      <c r="O244" s="52" t="s">
        <v>914</v>
      </c>
      <c r="P244" s="54"/>
      <c r="Q244" s="52" t="s">
        <v>914</v>
      </c>
      <c r="R244" s="52" t="s">
        <v>914</v>
      </c>
      <c r="S244" s="52" t="s">
        <v>914</v>
      </c>
      <c r="T244" s="5"/>
      <c r="U244" s="5"/>
      <c r="V244" s="52" t="s">
        <v>914</v>
      </c>
      <c r="W244" s="52" t="s">
        <v>914</v>
      </c>
      <c r="X244" s="52" t="s">
        <v>914</v>
      </c>
      <c r="Y244" s="52" t="s">
        <v>914</v>
      </c>
      <c r="Z244" s="53" t="s">
        <v>914</v>
      </c>
      <c r="AA244" s="5"/>
      <c r="AC244" s="53" t="s">
        <v>914</v>
      </c>
      <c r="AD244" s="52" t="s">
        <v>914</v>
      </c>
      <c r="AE244" s="53" t="s">
        <v>914</v>
      </c>
      <c r="AG244" s="52" t="s">
        <v>914</v>
      </c>
      <c r="AH244" s="5"/>
      <c r="AJ244" s="53" t="s">
        <v>914</v>
      </c>
      <c r="AK244" s="53" t="s">
        <v>914</v>
      </c>
      <c r="AL244" s="53" t="s">
        <v>914</v>
      </c>
      <c r="AM244" s="22">
        <f t="shared" si="13"/>
        <v>17</v>
      </c>
    </row>
    <row r="245" spans="1:39" ht="15.75" x14ac:dyDescent="0.25">
      <c r="A245" s="19" t="s">
        <v>55</v>
      </c>
      <c r="B245" s="19" t="s">
        <v>801</v>
      </c>
      <c r="C245" s="20" t="s">
        <v>885</v>
      </c>
      <c r="D245" s="20" t="s">
        <v>21</v>
      </c>
      <c r="E245" s="20" t="s">
        <v>21</v>
      </c>
      <c r="F245" s="19" t="s">
        <v>58</v>
      </c>
      <c r="G245" s="21"/>
      <c r="H245" s="21"/>
      <c r="I245" s="5"/>
      <c r="J245" s="5"/>
      <c r="K245" s="5"/>
      <c r="L245" s="5"/>
      <c r="M245" s="5"/>
      <c r="O245" s="5"/>
      <c r="P245" s="54" t="s">
        <v>914</v>
      </c>
      <c r="Q245" s="5"/>
      <c r="R245" s="5"/>
      <c r="S245" s="5"/>
      <c r="T245" s="5"/>
      <c r="U245" s="5"/>
      <c r="V245" s="5"/>
      <c r="W245" s="5"/>
      <c r="X245" s="5"/>
      <c r="Y245" s="5"/>
      <c r="AA245" s="5"/>
      <c r="AD245" s="5"/>
      <c r="AH245" s="5"/>
      <c r="AM245" s="22">
        <f t="shared" si="13"/>
        <v>1</v>
      </c>
    </row>
    <row r="246" spans="1:39" ht="15.75" x14ac:dyDescent="0.25">
      <c r="A246" s="19" t="s">
        <v>55</v>
      </c>
      <c r="B246" s="19" t="s">
        <v>620</v>
      </c>
      <c r="C246" s="20" t="s">
        <v>621</v>
      </c>
      <c r="D246" s="20" t="s">
        <v>28</v>
      </c>
      <c r="E246" s="20" t="s">
        <v>28</v>
      </c>
      <c r="F246" s="19" t="s">
        <v>58</v>
      </c>
      <c r="G246" s="21"/>
      <c r="H246" s="21"/>
      <c r="I246" s="5"/>
      <c r="J246" s="5"/>
      <c r="K246" s="5"/>
      <c r="L246" s="5"/>
      <c r="M246" s="5"/>
      <c r="O246" s="5"/>
      <c r="P246" s="54"/>
      <c r="Q246" s="5"/>
      <c r="R246" s="5"/>
      <c r="S246" s="5"/>
      <c r="T246" s="5"/>
      <c r="U246" s="5"/>
      <c r="V246" s="5"/>
      <c r="W246" s="52" t="s">
        <v>914</v>
      </c>
      <c r="X246" s="52" t="s">
        <v>914</v>
      </c>
      <c r="Y246" s="52" t="s">
        <v>914</v>
      </c>
      <c r="AC246" s="53" t="s">
        <v>914</v>
      </c>
      <c r="AD246" s="52" t="s">
        <v>914</v>
      </c>
      <c r="AE246" s="53" t="s">
        <v>914</v>
      </c>
      <c r="AF246" s="53" t="s">
        <v>914</v>
      </c>
      <c r="AH246" s="52" t="s">
        <v>915</v>
      </c>
      <c r="AJ246" s="53" t="s">
        <v>914</v>
      </c>
      <c r="AK246" s="53" t="s">
        <v>914</v>
      </c>
      <c r="AM246" s="22">
        <f t="shared" si="13"/>
        <v>10</v>
      </c>
    </row>
    <row r="247" spans="1:39" ht="15.75" x14ac:dyDescent="0.25">
      <c r="A247" s="19" t="s">
        <v>55</v>
      </c>
      <c r="B247" s="19" t="s">
        <v>160</v>
      </c>
      <c r="C247" s="20" t="s">
        <v>161</v>
      </c>
      <c r="D247" s="20" t="s">
        <v>22</v>
      </c>
      <c r="E247" s="20" t="s">
        <v>11</v>
      </c>
      <c r="F247" s="19" t="s">
        <v>58</v>
      </c>
      <c r="G247" s="21"/>
      <c r="H247" s="21"/>
      <c r="I247" s="5"/>
      <c r="J247" s="5"/>
      <c r="K247" s="5"/>
      <c r="L247" s="5"/>
      <c r="M247" s="5"/>
      <c r="O247" s="5"/>
      <c r="P247" s="54"/>
      <c r="Q247" s="5"/>
      <c r="R247" s="5"/>
      <c r="S247" s="5"/>
      <c r="T247" s="5"/>
      <c r="U247" s="5"/>
      <c r="V247" s="5"/>
      <c r="W247" s="52" t="s">
        <v>914</v>
      </c>
      <c r="X247" s="52" t="s">
        <v>914</v>
      </c>
      <c r="Y247" s="52" t="s">
        <v>914</v>
      </c>
      <c r="AC247" s="53" t="s">
        <v>914</v>
      </c>
      <c r="AD247" s="52" t="s">
        <v>914</v>
      </c>
      <c r="AE247" s="53" t="s">
        <v>914</v>
      </c>
      <c r="AF247" s="53" t="s">
        <v>914</v>
      </c>
      <c r="AH247" s="5"/>
      <c r="AJ247" s="53" t="s">
        <v>914</v>
      </c>
      <c r="AK247" s="53" t="s">
        <v>914</v>
      </c>
      <c r="AM247" s="22">
        <f t="shared" si="13"/>
        <v>9</v>
      </c>
    </row>
    <row r="248" spans="1:39" ht="15.75" x14ac:dyDescent="0.25">
      <c r="A248" s="19" t="s">
        <v>55</v>
      </c>
      <c r="B248" s="19" t="s">
        <v>248</v>
      </c>
      <c r="C248" s="20" t="s">
        <v>249</v>
      </c>
      <c r="D248" s="20" t="s">
        <v>11</v>
      </c>
      <c r="E248" s="20" t="s">
        <v>11</v>
      </c>
      <c r="F248" s="19" t="s">
        <v>58</v>
      </c>
      <c r="G248" s="21"/>
      <c r="H248" s="21"/>
      <c r="I248" s="5"/>
      <c r="J248" s="5"/>
      <c r="K248" s="5"/>
      <c r="L248" s="5"/>
      <c r="M248" s="5"/>
      <c r="O248" s="5"/>
      <c r="P248" s="54"/>
      <c r="Q248" s="5"/>
      <c r="R248" s="5"/>
      <c r="S248" s="5"/>
      <c r="T248" s="5"/>
      <c r="U248" s="5"/>
      <c r="V248" s="5"/>
      <c r="W248" s="52" t="s">
        <v>914</v>
      </c>
      <c r="X248" s="52" t="s">
        <v>914</v>
      </c>
      <c r="Y248" s="52" t="s">
        <v>914</v>
      </c>
      <c r="AC248" s="53" t="s">
        <v>914</v>
      </c>
      <c r="AD248" s="52" t="s">
        <v>914</v>
      </c>
      <c r="AE248" s="53" t="s">
        <v>914</v>
      </c>
      <c r="AF248" s="53" t="s">
        <v>914</v>
      </c>
      <c r="AH248" s="5"/>
      <c r="AJ248" s="53" t="s">
        <v>914</v>
      </c>
      <c r="AK248" s="53" t="s">
        <v>914</v>
      </c>
      <c r="AM248" s="22">
        <f t="shared" si="13"/>
        <v>9</v>
      </c>
    </row>
    <row r="249" spans="1:39" ht="15.75" x14ac:dyDescent="0.25">
      <c r="A249" s="19" t="s">
        <v>55</v>
      </c>
      <c r="B249" s="19" t="s">
        <v>395</v>
      </c>
      <c r="C249" s="20" t="s">
        <v>396</v>
      </c>
      <c r="D249" s="20" t="s">
        <v>11</v>
      </c>
      <c r="E249" s="20" t="s">
        <v>11</v>
      </c>
      <c r="F249" s="19" t="s">
        <v>58</v>
      </c>
      <c r="G249" s="21"/>
      <c r="H249" s="21"/>
      <c r="I249" s="5"/>
      <c r="J249" s="5"/>
      <c r="K249" s="5"/>
      <c r="L249" s="5"/>
      <c r="M249" s="5"/>
      <c r="O249" s="5"/>
      <c r="P249" s="54"/>
      <c r="Q249" s="5"/>
      <c r="R249" s="5"/>
      <c r="S249" s="5"/>
      <c r="T249" s="5"/>
      <c r="U249" s="5"/>
      <c r="V249" s="5"/>
      <c r="W249" s="52" t="s">
        <v>914</v>
      </c>
      <c r="X249" s="52" t="s">
        <v>914</v>
      </c>
      <c r="Y249" s="52" t="s">
        <v>914</v>
      </c>
      <c r="AC249" s="53" t="s">
        <v>914</v>
      </c>
      <c r="AD249" s="52" t="s">
        <v>914</v>
      </c>
      <c r="AE249" s="53" t="s">
        <v>914</v>
      </c>
      <c r="AF249" s="53" t="s">
        <v>914</v>
      </c>
      <c r="AH249" s="5"/>
      <c r="AJ249" s="53" t="s">
        <v>914</v>
      </c>
      <c r="AK249" s="53" t="s">
        <v>914</v>
      </c>
      <c r="AM249" s="22">
        <f t="shared" si="13"/>
        <v>9</v>
      </c>
    </row>
    <row r="250" spans="1:39" ht="15.75" x14ac:dyDescent="0.25">
      <c r="A250" s="19" t="s">
        <v>55</v>
      </c>
      <c r="B250" s="19" t="s">
        <v>720</v>
      </c>
      <c r="C250" s="20" t="s">
        <v>75</v>
      </c>
      <c r="D250" s="20" t="s">
        <v>11</v>
      </c>
      <c r="E250" s="20" t="s">
        <v>11</v>
      </c>
      <c r="F250" s="19" t="s">
        <v>58</v>
      </c>
      <c r="G250" s="21"/>
      <c r="H250" s="21"/>
      <c r="I250" s="5"/>
      <c r="J250" s="5"/>
      <c r="K250" s="5"/>
      <c r="L250" s="5"/>
      <c r="M250" s="5"/>
      <c r="O250" s="5"/>
      <c r="P250" s="54"/>
      <c r="Q250" s="5"/>
      <c r="R250" s="5"/>
      <c r="S250" s="5"/>
      <c r="T250" s="5"/>
      <c r="U250" s="5"/>
      <c r="V250" s="5"/>
      <c r="W250" s="52" t="s">
        <v>914</v>
      </c>
      <c r="X250" s="52" t="s">
        <v>914</v>
      </c>
      <c r="Y250" s="52" t="s">
        <v>914</v>
      </c>
      <c r="AC250" s="53" t="s">
        <v>914</v>
      </c>
      <c r="AD250" s="52" t="s">
        <v>914</v>
      </c>
      <c r="AE250" s="53" t="s">
        <v>914</v>
      </c>
      <c r="AF250" s="53" t="s">
        <v>914</v>
      </c>
      <c r="AH250" s="5"/>
      <c r="AJ250" s="53" t="s">
        <v>914</v>
      </c>
      <c r="AK250" s="53" t="s">
        <v>914</v>
      </c>
      <c r="AM250" s="22">
        <f t="shared" si="13"/>
        <v>9</v>
      </c>
    </row>
    <row r="251" spans="1:39" ht="15.75" x14ac:dyDescent="0.25">
      <c r="A251" s="19" t="s">
        <v>55</v>
      </c>
      <c r="B251" s="19" t="s">
        <v>280</v>
      </c>
      <c r="C251" s="20" t="s">
        <v>281</v>
      </c>
      <c r="D251" s="20" t="s">
        <v>11</v>
      </c>
      <c r="E251" s="20" t="s">
        <v>11</v>
      </c>
      <c r="F251" s="19" t="s">
        <v>58</v>
      </c>
      <c r="G251" s="21"/>
      <c r="H251" s="21"/>
      <c r="I251" s="5"/>
      <c r="J251" s="5"/>
      <c r="K251" s="5"/>
      <c r="L251" s="5"/>
      <c r="M251" s="5"/>
      <c r="O251" s="5"/>
      <c r="P251" s="54"/>
      <c r="Q251" s="5"/>
      <c r="R251" s="5"/>
      <c r="S251" s="5"/>
      <c r="T251" s="5"/>
      <c r="U251" s="5"/>
      <c r="V251" s="5"/>
      <c r="W251" s="52" t="s">
        <v>914</v>
      </c>
      <c r="X251" s="52" t="s">
        <v>914</v>
      </c>
      <c r="Y251" s="52" t="s">
        <v>914</v>
      </c>
      <c r="AC251" s="53" t="s">
        <v>914</v>
      </c>
      <c r="AD251" s="52" t="s">
        <v>914</v>
      </c>
      <c r="AE251" s="53" t="s">
        <v>914</v>
      </c>
      <c r="AF251" s="53" t="s">
        <v>914</v>
      </c>
      <c r="AH251" s="5"/>
      <c r="AJ251" s="53" t="s">
        <v>914</v>
      </c>
      <c r="AK251" s="53" t="s">
        <v>914</v>
      </c>
      <c r="AM251" s="22">
        <f t="shared" si="13"/>
        <v>9</v>
      </c>
    </row>
    <row r="252" spans="1:39" ht="15.75" x14ac:dyDescent="0.25">
      <c r="A252" s="19" t="s">
        <v>55</v>
      </c>
      <c r="B252" s="19" t="s">
        <v>217</v>
      </c>
      <c r="C252" s="20" t="s">
        <v>218</v>
      </c>
      <c r="D252" s="20" t="s">
        <v>11</v>
      </c>
      <c r="E252" s="20" t="s">
        <v>11</v>
      </c>
      <c r="F252" s="19" t="s">
        <v>58</v>
      </c>
      <c r="G252" s="21"/>
      <c r="H252" s="21"/>
      <c r="I252" s="5"/>
      <c r="J252" s="5"/>
      <c r="K252" s="5"/>
      <c r="L252" s="5"/>
      <c r="M252" s="5"/>
      <c r="O252" s="5"/>
      <c r="P252" s="54"/>
      <c r="Q252" s="5"/>
      <c r="R252" s="5"/>
      <c r="S252" s="5"/>
      <c r="T252" s="5"/>
      <c r="U252" s="5"/>
      <c r="V252" s="5"/>
      <c r="W252" s="52" t="s">
        <v>914</v>
      </c>
      <c r="X252" s="52" t="s">
        <v>914</v>
      </c>
      <c r="Y252" s="52" t="s">
        <v>914</v>
      </c>
      <c r="AC252" s="53" t="s">
        <v>914</v>
      </c>
      <c r="AD252" s="52" t="s">
        <v>914</v>
      </c>
      <c r="AE252" s="53" t="s">
        <v>914</v>
      </c>
      <c r="AF252" s="53" t="s">
        <v>914</v>
      </c>
      <c r="AH252" s="5"/>
      <c r="AJ252" s="53" t="s">
        <v>914</v>
      </c>
      <c r="AK252" s="53" t="s">
        <v>914</v>
      </c>
      <c r="AM252" s="22">
        <f t="shared" si="13"/>
        <v>9</v>
      </c>
    </row>
    <row r="253" spans="1:39" ht="15.75" x14ac:dyDescent="0.25">
      <c r="A253" s="19" t="s">
        <v>55</v>
      </c>
      <c r="B253" s="19" t="s">
        <v>288</v>
      </c>
      <c r="C253" s="20" t="s">
        <v>289</v>
      </c>
      <c r="D253" s="20" t="s">
        <v>11</v>
      </c>
      <c r="E253" s="20" t="s">
        <v>11</v>
      </c>
      <c r="F253" s="19" t="s">
        <v>58</v>
      </c>
      <c r="G253" s="21"/>
      <c r="H253" s="21"/>
      <c r="I253" s="5"/>
      <c r="J253" s="5"/>
      <c r="K253" s="5"/>
      <c r="L253" s="5"/>
      <c r="M253" s="5"/>
      <c r="O253" s="5"/>
      <c r="P253" s="54"/>
      <c r="Q253" s="5"/>
      <c r="R253" s="5"/>
      <c r="S253" s="5"/>
      <c r="T253" s="5"/>
      <c r="U253" s="5"/>
      <c r="V253" s="5"/>
      <c r="W253" s="52" t="s">
        <v>914</v>
      </c>
      <c r="X253" s="52" t="s">
        <v>914</v>
      </c>
      <c r="Y253" s="52" t="s">
        <v>914</v>
      </c>
      <c r="AC253" s="53" t="s">
        <v>914</v>
      </c>
      <c r="AD253" s="52" t="s">
        <v>914</v>
      </c>
      <c r="AE253" s="53" t="s">
        <v>914</v>
      </c>
      <c r="AF253" s="53" t="s">
        <v>914</v>
      </c>
      <c r="AH253" s="5"/>
      <c r="AJ253" s="53" t="s">
        <v>914</v>
      </c>
      <c r="AK253" s="53" t="s">
        <v>914</v>
      </c>
      <c r="AM253" s="22">
        <f t="shared" si="13"/>
        <v>9</v>
      </c>
    </row>
    <row r="254" spans="1:39" ht="15.75" x14ac:dyDescent="0.25">
      <c r="A254" s="19" t="s">
        <v>55</v>
      </c>
      <c r="B254" s="19" t="s">
        <v>805</v>
      </c>
      <c r="C254" s="20" t="s">
        <v>125</v>
      </c>
      <c r="D254" s="20" t="s">
        <v>22</v>
      </c>
      <c r="E254" s="20" t="s">
        <v>22</v>
      </c>
      <c r="F254" s="19" t="s">
        <v>58</v>
      </c>
      <c r="G254" s="21"/>
      <c r="H254" s="21"/>
      <c r="I254" s="5"/>
      <c r="J254" s="5"/>
      <c r="K254" s="5"/>
      <c r="L254" s="5"/>
      <c r="M254" s="5"/>
      <c r="O254" s="5"/>
      <c r="P254" s="54"/>
      <c r="Q254" s="5"/>
      <c r="R254" s="5"/>
      <c r="S254" s="5"/>
      <c r="T254" s="5"/>
      <c r="U254" s="5"/>
      <c r="V254" s="5"/>
      <c r="W254" s="52" t="s">
        <v>914</v>
      </c>
      <c r="X254" s="52" t="s">
        <v>914</v>
      </c>
      <c r="Y254" s="5"/>
      <c r="Z254" s="53" t="s">
        <v>914</v>
      </c>
      <c r="AC254" s="53" t="s">
        <v>914</v>
      </c>
      <c r="AD254" s="52" t="s">
        <v>914</v>
      </c>
      <c r="AE254" s="53" t="s">
        <v>914</v>
      </c>
      <c r="AF254" s="53" t="s">
        <v>914</v>
      </c>
      <c r="AH254" s="5"/>
      <c r="AJ254" s="53" t="s">
        <v>914</v>
      </c>
      <c r="AK254" s="53" t="s">
        <v>914</v>
      </c>
      <c r="AM254" s="22">
        <f t="shared" si="13"/>
        <v>9</v>
      </c>
    </row>
    <row r="255" spans="1:39" ht="15.75" x14ac:dyDescent="0.25">
      <c r="A255" s="19" t="s">
        <v>55</v>
      </c>
      <c r="B255" s="19" t="s">
        <v>616</v>
      </c>
      <c r="C255" s="20" t="s">
        <v>617</v>
      </c>
      <c r="D255" s="20" t="s">
        <v>28</v>
      </c>
      <c r="E255" s="20" t="s">
        <v>28</v>
      </c>
      <c r="F255" s="19" t="s">
        <v>58</v>
      </c>
      <c r="G255" s="21"/>
      <c r="H255" s="21"/>
      <c r="I255" s="5"/>
      <c r="J255" s="5"/>
      <c r="K255" s="5"/>
      <c r="L255" s="5"/>
      <c r="M255" s="5"/>
      <c r="O255" s="5"/>
      <c r="P255" s="54"/>
      <c r="Q255" s="5"/>
      <c r="R255" s="5"/>
      <c r="S255" s="5"/>
      <c r="T255" s="5"/>
      <c r="U255" s="5"/>
      <c r="V255" s="5"/>
      <c r="W255" s="5"/>
      <c r="X255" s="52" t="s">
        <v>914</v>
      </c>
      <c r="Y255" s="52" t="s">
        <v>914</v>
      </c>
      <c r="AE255" s="53" t="s">
        <v>914</v>
      </c>
      <c r="AF255" s="53" t="s">
        <v>914</v>
      </c>
      <c r="AH255" s="5"/>
      <c r="AJ255" s="53" t="s">
        <v>914</v>
      </c>
      <c r="AK255" s="53" t="s">
        <v>914</v>
      </c>
      <c r="AM255" s="22">
        <f t="shared" si="13"/>
        <v>6</v>
      </c>
    </row>
    <row r="256" spans="1:39" ht="15.75" x14ac:dyDescent="0.25">
      <c r="A256" s="19" t="s">
        <v>55</v>
      </c>
      <c r="B256" s="19" t="s">
        <v>568</v>
      </c>
      <c r="C256" s="20" t="s">
        <v>569</v>
      </c>
      <c r="D256" s="20" t="s">
        <v>11</v>
      </c>
      <c r="E256" s="20" t="s">
        <v>11</v>
      </c>
      <c r="F256" s="19" t="s">
        <v>58</v>
      </c>
      <c r="G256" s="21"/>
      <c r="H256" s="21"/>
      <c r="I256" s="5"/>
      <c r="J256" s="5"/>
      <c r="K256" s="5"/>
      <c r="L256" s="5"/>
      <c r="M256" s="5"/>
      <c r="O256" s="5"/>
      <c r="P256" s="54"/>
      <c r="Q256" s="5"/>
      <c r="R256" s="5"/>
      <c r="S256" s="5"/>
      <c r="T256" s="5"/>
      <c r="U256" s="5"/>
      <c r="V256" s="5"/>
      <c r="W256" s="52" t="s">
        <v>914</v>
      </c>
      <c r="X256" s="52" t="s">
        <v>914</v>
      </c>
      <c r="Y256" s="52" t="s">
        <v>914</v>
      </c>
      <c r="AC256" s="53" t="s">
        <v>914</v>
      </c>
      <c r="AD256" s="52" t="s">
        <v>914</v>
      </c>
      <c r="AE256" s="53" t="s">
        <v>914</v>
      </c>
      <c r="AF256" s="53" t="s">
        <v>914</v>
      </c>
      <c r="AH256" s="5"/>
      <c r="AJ256" s="53" t="s">
        <v>914</v>
      </c>
      <c r="AK256" s="53" t="s">
        <v>914</v>
      </c>
      <c r="AM256" s="22">
        <f t="shared" si="13"/>
        <v>9</v>
      </c>
    </row>
    <row r="257" spans="1:39 16360:16378" ht="15.75" x14ac:dyDescent="0.25">
      <c r="A257" s="19" t="s">
        <v>55</v>
      </c>
      <c r="B257" s="19" t="s">
        <v>797</v>
      </c>
      <c r="C257" s="20" t="s">
        <v>798</v>
      </c>
      <c r="D257" s="20" t="s">
        <v>21</v>
      </c>
      <c r="E257" s="20" t="s">
        <v>21</v>
      </c>
      <c r="F257" s="19" t="s">
        <v>58</v>
      </c>
      <c r="G257" s="21"/>
      <c r="H257" s="21"/>
      <c r="I257" s="5"/>
      <c r="J257" s="5"/>
      <c r="K257" s="5"/>
      <c r="L257" s="52" t="s">
        <v>914</v>
      </c>
      <c r="M257" s="5"/>
      <c r="O257" s="5"/>
      <c r="P257" s="54"/>
      <c r="Q257" s="52" t="s">
        <v>914</v>
      </c>
      <c r="R257" s="5"/>
      <c r="S257" s="52" t="s">
        <v>914</v>
      </c>
      <c r="T257" s="5"/>
      <c r="U257" s="5"/>
      <c r="V257" s="52" t="s">
        <v>914</v>
      </c>
      <c r="W257" s="52" t="s">
        <v>914</v>
      </c>
      <c r="X257" s="52" t="s">
        <v>914</v>
      </c>
      <c r="Y257" s="52" t="s">
        <v>914</v>
      </c>
      <c r="Z257" s="53" t="s">
        <v>914</v>
      </c>
      <c r="AA257" s="5"/>
      <c r="AC257" s="53" t="s">
        <v>914</v>
      </c>
      <c r="AD257" s="52" t="s">
        <v>914</v>
      </c>
      <c r="AE257" s="53" t="s">
        <v>914</v>
      </c>
      <c r="AF257" s="53" t="s">
        <v>914</v>
      </c>
      <c r="AG257" s="52" t="s">
        <v>914</v>
      </c>
      <c r="AH257" s="5"/>
      <c r="AK257" s="53" t="s">
        <v>914</v>
      </c>
      <c r="AL257" s="53" t="s">
        <v>914</v>
      </c>
      <c r="AM257" s="22">
        <f t="shared" si="13"/>
        <v>15</v>
      </c>
    </row>
    <row r="258" spans="1:39 16360:16378" ht="15.75" x14ac:dyDescent="0.25">
      <c r="A258" s="19" t="s">
        <v>55</v>
      </c>
      <c r="B258" s="19" t="s">
        <v>799</v>
      </c>
      <c r="C258" s="20" t="s">
        <v>800</v>
      </c>
      <c r="D258" s="20" t="s">
        <v>21</v>
      </c>
      <c r="E258" s="20" t="s">
        <v>21</v>
      </c>
      <c r="F258" s="19" t="s">
        <v>58</v>
      </c>
      <c r="G258" s="21"/>
      <c r="H258" s="21"/>
      <c r="I258" s="5"/>
      <c r="J258" s="5"/>
      <c r="K258" s="5"/>
      <c r="L258" s="52" t="s">
        <v>914</v>
      </c>
      <c r="M258" s="5"/>
      <c r="O258" s="52" t="s">
        <v>914</v>
      </c>
      <c r="P258" s="54" t="s">
        <v>914</v>
      </c>
      <c r="Q258" s="5"/>
      <c r="R258" s="5"/>
      <c r="S258" s="5"/>
      <c r="T258" s="5"/>
      <c r="U258" s="5"/>
      <c r="V258" s="5"/>
      <c r="W258" s="5"/>
      <c r="X258" s="5"/>
      <c r="Y258" s="5"/>
      <c r="AA258" s="5"/>
      <c r="AG258" s="5"/>
      <c r="AH258" s="5"/>
      <c r="AM258" s="22">
        <f t="shared" si="13"/>
        <v>3</v>
      </c>
    </row>
    <row r="259" spans="1:39 16360:16378" ht="15.75" x14ac:dyDescent="0.25">
      <c r="A259" s="19" t="s">
        <v>55</v>
      </c>
      <c r="B259" s="19" t="s">
        <v>802</v>
      </c>
      <c r="C259" s="20" t="s">
        <v>803</v>
      </c>
      <c r="D259" s="20" t="s">
        <v>21</v>
      </c>
      <c r="E259" s="20" t="s">
        <v>21</v>
      </c>
      <c r="F259" s="19" t="s">
        <v>58</v>
      </c>
      <c r="G259" s="21"/>
      <c r="H259" s="21"/>
      <c r="I259" s="5"/>
      <c r="J259" s="5"/>
      <c r="K259" s="5"/>
      <c r="L259" s="52" t="s">
        <v>914</v>
      </c>
      <c r="M259" s="5"/>
      <c r="O259" s="52" t="s">
        <v>914</v>
      </c>
      <c r="P259" s="54"/>
      <c r="Q259" s="52" t="s">
        <v>914</v>
      </c>
      <c r="R259" s="5"/>
      <c r="S259" s="52" t="s">
        <v>914</v>
      </c>
      <c r="T259" s="5"/>
      <c r="U259" s="5"/>
      <c r="V259" s="52" t="s">
        <v>914</v>
      </c>
      <c r="W259" s="52" t="s">
        <v>914</v>
      </c>
      <c r="X259" s="52" t="s">
        <v>914</v>
      </c>
      <c r="Y259" s="52" t="s">
        <v>914</v>
      </c>
      <c r="Z259" s="53" t="s">
        <v>914</v>
      </c>
      <c r="AA259" s="5"/>
      <c r="AC259" s="53" t="s">
        <v>914</v>
      </c>
      <c r="AD259" s="52" t="s">
        <v>914</v>
      </c>
      <c r="AE259" s="53" t="s">
        <v>914</v>
      </c>
      <c r="AF259" s="53" t="s">
        <v>914</v>
      </c>
      <c r="AG259" s="52" t="s">
        <v>914</v>
      </c>
      <c r="AH259" s="5"/>
      <c r="AK259" s="53" t="s">
        <v>914</v>
      </c>
      <c r="AL259" s="53" t="s">
        <v>914</v>
      </c>
      <c r="AM259" s="22">
        <f t="shared" si="13"/>
        <v>16</v>
      </c>
    </row>
    <row r="260" spans="1:39 16360:16378" ht="15.75" x14ac:dyDescent="0.25">
      <c r="A260" s="19" t="s">
        <v>55</v>
      </c>
      <c r="B260" s="19" t="s">
        <v>296</v>
      </c>
      <c r="C260" s="20" t="s">
        <v>297</v>
      </c>
      <c r="D260" s="20" t="s">
        <v>18</v>
      </c>
      <c r="E260" s="20" t="s">
        <v>18</v>
      </c>
      <c r="F260" s="19" t="s">
        <v>58</v>
      </c>
      <c r="G260" s="21"/>
      <c r="H260" s="21"/>
      <c r="I260" s="5"/>
      <c r="J260" s="5"/>
      <c r="K260" s="5"/>
      <c r="L260" s="52" t="s">
        <v>914</v>
      </c>
      <c r="M260" s="5"/>
      <c r="O260" s="52" t="s">
        <v>914</v>
      </c>
      <c r="P260" s="54" t="s">
        <v>914</v>
      </c>
      <c r="Q260" s="52" t="s">
        <v>914</v>
      </c>
      <c r="R260" s="52" t="s">
        <v>914</v>
      </c>
      <c r="S260" s="52" t="s">
        <v>914</v>
      </c>
      <c r="T260" s="5"/>
      <c r="U260" s="5"/>
      <c r="V260" s="52" t="s">
        <v>914</v>
      </c>
      <c r="W260" s="52" t="s">
        <v>914</v>
      </c>
      <c r="X260" s="52" t="s">
        <v>914</v>
      </c>
      <c r="Y260" s="52" t="s">
        <v>914</v>
      </c>
      <c r="Z260" s="53" t="s">
        <v>914</v>
      </c>
      <c r="AC260" s="53" t="s">
        <v>914</v>
      </c>
      <c r="AD260" s="52" t="s">
        <v>914</v>
      </c>
      <c r="AE260" s="53" t="s">
        <v>914</v>
      </c>
      <c r="AH260" s="5"/>
      <c r="AJ260" s="53" t="s">
        <v>914</v>
      </c>
      <c r="AK260" s="53" t="s">
        <v>914</v>
      </c>
      <c r="AL260" s="53" t="s">
        <v>914</v>
      </c>
      <c r="AM260" s="22">
        <f t="shared" si="13"/>
        <v>17</v>
      </c>
    </row>
    <row r="261" spans="1:39 16360:16378" ht="15.75" x14ac:dyDescent="0.25">
      <c r="A261" s="19" t="s">
        <v>55</v>
      </c>
      <c r="B261" s="19" t="s">
        <v>829</v>
      </c>
      <c r="C261" s="20" t="s">
        <v>830</v>
      </c>
      <c r="D261" s="20" t="s">
        <v>21</v>
      </c>
      <c r="E261" s="20" t="s">
        <v>21</v>
      </c>
      <c r="F261" s="19" t="s">
        <v>58</v>
      </c>
      <c r="G261" s="21"/>
      <c r="H261" s="21"/>
      <c r="I261" s="5"/>
      <c r="J261" s="5"/>
      <c r="K261" s="5"/>
      <c r="L261" s="5"/>
      <c r="M261" s="5"/>
      <c r="O261" s="52" t="s">
        <v>914</v>
      </c>
      <c r="P261" s="54" t="s">
        <v>914</v>
      </c>
      <c r="Q261" s="52" t="s">
        <v>914</v>
      </c>
      <c r="R261" s="5"/>
      <c r="S261" s="5"/>
      <c r="T261" s="5"/>
      <c r="U261" s="5"/>
      <c r="V261" s="5"/>
      <c r="W261" s="5"/>
      <c r="X261" s="5"/>
      <c r="Y261" s="5"/>
      <c r="AA261" s="5"/>
      <c r="AD261" s="5"/>
      <c r="AG261" s="5"/>
      <c r="AH261" s="5"/>
      <c r="AM261" s="22">
        <f t="shared" si="13"/>
        <v>3</v>
      </c>
    </row>
    <row r="262" spans="1:39 16360:16378" ht="15.75" x14ac:dyDescent="0.25">
      <c r="A262" s="19" t="s">
        <v>55</v>
      </c>
      <c r="B262" s="19" t="s">
        <v>827</v>
      </c>
      <c r="C262" s="20" t="s">
        <v>828</v>
      </c>
      <c r="D262" s="20" t="s">
        <v>21</v>
      </c>
      <c r="E262" s="20" t="s">
        <v>21</v>
      </c>
      <c r="F262" s="19" t="s">
        <v>58</v>
      </c>
      <c r="G262" s="21"/>
      <c r="H262" s="21"/>
      <c r="I262" s="5"/>
      <c r="J262" s="5"/>
      <c r="K262" s="5"/>
      <c r="L262" s="5"/>
      <c r="M262" s="5"/>
      <c r="O262" s="5"/>
      <c r="P262" s="54" t="s">
        <v>914</v>
      </c>
      <c r="Q262" s="5"/>
      <c r="R262" s="5"/>
      <c r="S262" s="5"/>
      <c r="T262" s="5"/>
      <c r="U262" s="5"/>
      <c r="V262" s="5"/>
      <c r="W262" s="5"/>
      <c r="X262" s="5"/>
      <c r="Y262" s="5"/>
      <c r="AH262" s="5"/>
      <c r="AM262" s="22">
        <f t="shared" si="13"/>
        <v>1</v>
      </c>
    </row>
    <row r="263" spans="1:39 16360:16378" ht="15.75" x14ac:dyDescent="0.25">
      <c r="A263" s="19" t="s">
        <v>55</v>
      </c>
      <c r="B263" s="19" t="s">
        <v>191</v>
      </c>
      <c r="C263" s="20" t="s">
        <v>192</v>
      </c>
      <c r="D263" s="20" t="s">
        <v>18</v>
      </c>
      <c r="E263" s="20" t="s">
        <v>18</v>
      </c>
      <c r="F263" s="19" t="s">
        <v>58</v>
      </c>
      <c r="G263" s="21"/>
      <c r="H263" s="21"/>
      <c r="I263" s="5"/>
      <c r="J263" s="5"/>
      <c r="K263" s="5"/>
      <c r="L263" s="5"/>
      <c r="M263" s="5"/>
      <c r="O263" s="5"/>
      <c r="P263" s="54"/>
      <c r="Q263" s="5"/>
      <c r="R263" s="5"/>
      <c r="S263" s="5"/>
      <c r="T263" s="5"/>
      <c r="U263" s="5"/>
      <c r="V263" s="5"/>
      <c r="W263" s="52" t="s">
        <v>914</v>
      </c>
      <c r="X263" s="5"/>
      <c r="Y263" s="5"/>
      <c r="AC263" s="53" t="s">
        <v>914</v>
      </c>
      <c r="AD263" s="52" t="s">
        <v>914</v>
      </c>
      <c r="AE263" s="53" t="s">
        <v>914</v>
      </c>
      <c r="AF263" s="53" t="s">
        <v>914</v>
      </c>
      <c r="AH263" s="5"/>
      <c r="AM263" s="22">
        <f t="shared" si="13"/>
        <v>5</v>
      </c>
    </row>
    <row r="264" spans="1:39 16360:16378" ht="15.75" x14ac:dyDescent="0.25">
      <c r="A264" s="19" t="s">
        <v>55</v>
      </c>
      <c r="B264" s="19" t="s">
        <v>143</v>
      </c>
      <c r="C264" s="20" t="s">
        <v>144</v>
      </c>
      <c r="D264" s="20" t="s">
        <v>25</v>
      </c>
      <c r="E264" s="20" t="s">
        <v>25</v>
      </c>
      <c r="F264" s="19" t="s">
        <v>58</v>
      </c>
      <c r="G264" s="21"/>
      <c r="H264" s="21"/>
      <c r="I264" s="5"/>
      <c r="J264" s="5"/>
      <c r="K264" s="5"/>
      <c r="L264" s="5"/>
      <c r="M264" s="5"/>
      <c r="O264" s="5"/>
      <c r="P264" s="54"/>
      <c r="Q264" s="5"/>
      <c r="R264" s="5"/>
      <c r="S264" s="5"/>
      <c r="T264" s="5"/>
      <c r="U264" s="5"/>
      <c r="V264" s="52" t="s">
        <v>914</v>
      </c>
      <c r="W264" s="52" t="s">
        <v>914</v>
      </c>
      <c r="X264" s="52" t="s">
        <v>914</v>
      </c>
      <c r="Y264" s="52" t="s">
        <v>914</v>
      </c>
      <c r="Z264" s="53" t="s">
        <v>914</v>
      </c>
      <c r="AC264" s="53" t="s">
        <v>914</v>
      </c>
      <c r="AD264" s="52" t="s">
        <v>914</v>
      </c>
      <c r="AE264" s="53" t="s">
        <v>914</v>
      </c>
      <c r="AF264" s="53" t="s">
        <v>914</v>
      </c>
      <c r="AH264" s="5"/>
      <c r="AK264" s="53" t="s">
        <v>914</v>
      </c>
      <c r="AL264" s="53" t="s">
        <v>914</v>
      </c>
      <c r="AM264" s="22">
        <f t="shared" si="13"/>
        <v>11</v>
      </c>
    </row>
    <row r="265" spans="1:39 16360:16378" ht="15.75" x14ac:dyDescent="0.25">
      <c r="A265" s="19" t="s">
        <v>55</v>
      </c>
      <c r="B265" s="19" t="s">
        <v>370</v>
      </c>
      <c r="C265" s="20" t="s">
        <v>371</v>
      </c>
      <c r="D265" s="20" t="s">
        <v>25</v>
      </c>
      <c r="E265" s="20" t="s">
        <v>25</v>
      </c>
      <c r="F265" s="19" t="s">
        <v>58</v>
      </c>
      <c r="G265" s="21"/>
      <c r="H265" s="21"/>
      <c r="I265" s="5"/>
      <c r="J265" s="5"/>
      <c r="K265" s="5"/>
      <c r="L265" s="5"/>
      <c r="M265" s="5"/>
      <c r="O265" s="5"/>
      <c r="P265" s="54"/>
      <c r="Q265" s="5"/>
      <c r="R265" s="5"/>
      <c r="S265" s="5"/>
      <c r="T265" s="5"/>
      <c r="U265" s="5"/>
      <c r="V265" s="52" t="s">
        <v>914</v>
      </c>
      <c r="W265" s="52" t="s">
        <v>914</v>
      </c>
      <c r="X265" s="52" t="s">
        <v>914</v>
      </c>
      <c r="Y265" s="52" t="s">
        <v>914</v>
      </c>
      <c r="Z265" s="53" t="s">
        <v>914</v>
      </c>
      <c r="AC265" s="53" t="s">
        <v>914</v>
      </c>
      <c r="AD265" s="52" t="s">
        <v>914</v>
      </c>
      <c r="AE265" s="53" t="s">
        <v>914</v>
      </c>
      <c r="AF265" s="53" t="s">
        <v>914</v>
      </c>
      <c r="AH265" s="5"/>
      <c r="AK265" s="53" t="s">
        <v>914</v>
      </c>
      <c r="AL265" s="53" t="s">
        <v>914</v>
      </c>
      <c r="AM265" s="22">
        <f t="shared" si="13"/>
        <v>11</v>
      </c>
    </row>
    <row r="266" spans="1:39 16360:16378" ht="15.75" x14ac:dyDescent="0.25">
      <c r="A266" s="19" t="s">
        <v>55</v>
      </c>
      <c r="B266" s="19" t="s">
        <v>782</v>
      </c>
      <c r="C266" s="20" t="s">
        <v>783</v>
      </c>
      <c r="D266" s="20" t="s">
        <v>18</v>
      </c>
      <c r="E266" s="20" t="s">
        <v>18</v>
      </c>
      <c r="F266" s="19" t="s">
        <v>58</v>
      </c>
      <c r="G266" s="21"/>
      <c r="H266" s="21"/>
      <c r="I266" s="5"/>
      <c r="J266" s="5"/>
      <c r="K266" s="5"/>
      <c r="L266" s="52" t="s">
        <v>914</v>
      </c>
      <c r="M266" s="5"/>
      <c r="O266" s="5"/>
      <c r="P266" s="54"/>
      <c r="Q266" s="5"/>
      <c r="R266" s="5"/>
      <c r="S266" s="5"/>
      <c r="T266" s="5"/>
      <c r="U266" s="5"/>
      <c r="V266" s="5"/>
      <c r="W266" s="5"/>
      <c r="X266" s="5"/>
      <c r="Y266" s="5"/>
      <c r="AF266" s="53" t="s">
        <v>914</v>
      </c>
      <c r="AH266" s="5"/>
      <c r="AJ266" s="53" t="s">
        <v>914</v>
      </c>
      <c r="AK266" s="53" t="s">
        <v>914</v>
      </c>
      <c r="AL266" s="53" t="s">
        <v>914</v>
      </c>
      <c r="AM266" s="22">
        <f t="shared" si="13"/>
        <v>5</v>
      </c>
    </row>
    <row r="267" spans="1:39 16360:16378" ht="15.75" x14ac:dyDescent="0.25">
      <c r="A267" s="19" t="s">
        <v>55</v>
      </c>
      <c r="B267" s="19" t="s">
        <v>405</v>
      </c>
      <c r="C267" s="20" t="s">
        <v>406</v>
      </c>
      <c r="D267" s="20" t="s">
        <v>28</v>
      </c>
      <c r="E267" s="20" t="s">
        <v>28</v>
      </c>
      <c r="F267" s="19" t="s">
        <v>58</v>
      </c>
      <c r="G267" s="21"/>
      <c r="H267" s="21"/>
      <c r="I267" s="5"/>
      <c r="J267" s="5"/>
      <c r="K267" s="5"/>
      <c r="L267" s="5"/>
      <c r="M267" s="5"/>
      <c r="N267" s="5"/>
      <c r="P267" s="54"/>
      <c r="W267" s="52" t="s">
        <v>914</v>
      </c>
      <c r="X267" s="5"/>
      <c r="Y267" s="5"/>
      <c r="AC267" s="53" t="s">
        <v>914</v>
      </c>
      <c r="AD267" s="52" t="s">
        <v>914</v>
      </c>
      <c r="AE267" s="53" t="s">
        <v>914</v>
      </c>
      <c r="AF267" s="53" t="s">
        <v>914</v>
      </c>
      <c r="AG267" s="5"/>
      <c r="AH267" s="5"/>
      <c r="AI267" s="5"/>
      <c r="AJ267" s="53" t="s">
        <v>914</v>
      </c>
      <c r="AK267" s="53" t="s">
        <v>914</v>
      </c>
      <c r="AL267" s="5"/>
      <c r="AM267" s="22">
        <f t="shared" si="13"/>
        <v>7</v>
      </c>
      <c r="XEQ267" s="19"/>
      <c r="XER267" s="19"/>
      <c r="XES267" s="20"/>
      <c r="XET267" s="20"/>
      <c r="XEU267" s="20"/>
      <c r="XEV267" s="19"/>
      <c r="XEW267" s="21"/>
      <c r="XEX267" s="21"/>
    </row>
    <row r="268" spans="1:39 16360:16378" ht="15.75" x14ac:dyDescent="0.25">
      <c r="A268" s="19" t="s">
        <v>55</v>
      </c>
      <c r="B268" s="19" t="s">
        <v>264</v>
      </c>
      <c r="C268" s="20" t="s">
        <v>265</v>
      </c>
      <c r="D268" s="20" t="s">
        <v>18</v>
      </c>
      <c r="E268" s="20" t="s">
        <v>18</v>
      </c>
      <c r="F268" s="19" t="s">
        <v>58</v>
      </c>
      <c r="G268" s="21"/>
      <c r="H268" s="21"/>
      <c r="L268" s="52" t="s">
        <v>914</v>
      </c>
      <c r="O268" s="52" t="s">
        <v>914</v>
      </c>
      <c r="P268" s="54"/>
      <c r="Q268" s="52" t="s">
        <v>914</v>
      </c>
      <c r="R268" s="52" t="s">
        <v>914</v>
      </c>
      <c r="T268" s="22"/>
      <c r="U268" s="5"/>
      <c r="V268" s="52" t="s">
        <v>914</v>
      </c>
      <c r="W268" s="52" t="s">
        <v>914</v>
      </c>
      <c r="X268" s="52" t="s">
        <v>914</v>
      </c>
      <c r="Y268" s="5"/>
      <c r="Z268" s="5"/>
      <c r="AA268" s="5"/>
      <c r="AB268" s="5"/>
      <c r="AC268" s="5"/>
      <c r="AD268" s="52" t="s">
        <v>914</v>
      </c>
      <c r="AE268" s="53" t="s">
        <v>914</v>
      </c>
      <c r="AH268" s="5"/>
      <c r="AI268" s="5"/>
      <c r="AJ268" s="5"/>
      <c r="AK268" s="53" t="s">
        <v>914</v>
      </c>
      <c r="AL268" s="53" t="s">
        <v>914</v>
      </c>
      <c r="AM268" s="22">
        <f t="shared" si="13"/>
        <v>11</v>
      </c>
      <c r="XEF268" s="19"/>
      <c r="XEG268" s="19"/>
      <c r="XEH268" s="20"/>
      <c r="XEI268" s="20"/>
      <c r="XEJ268" s="20"/>
      <c r="XEK268" s="19"/>
      <c r="XEL268" s="21"/>
      <c r="XEM268" s="21"/>
      <c r="XEQ268" s="19"/>
      <c r="XER268" s="19"/>
      <c r="XES268" s="20"/>
      <c r="XET268" s="20"/>
      <c r="XEU268" s="20"/>
      <c r="XEV268" s="19"/>
      <c r="XEW268" s="21"/>
      <c r="XEX268" s="21"/>
    </row>
    <row r="269" spans="1:39 16360:16378" ht="15.75" x14ac:dyDescent="0.25">
      <c r="A269" s="19" t="s">
        <v>55</v>
      </c>
      <c r="B269" s="19" t="s">
        <v>558</v>
      </c>
      <c r="C269" s="20" t="s">
        <v>559</v>
      </c>
      <c r="D269" s="20" t="s">
        <v>11</v>
      </c>
      <c r="E269" s="20" t="s">
        <v>11</v>
      </c>
      <c r="F269" s="19" t="s">
        <v>58</v>
      </c>
      <c r="G269" s="21"/>
      <c r="H269" s="21"/>
      <c r="I269" s="5"/>
      <c r="J269" s="5"/>
      <c r="K269" s="5"/>
      <c r="L269" s="5"/>
      <c r="M269" s="5"/>
      <c r="N269" s="5"/>
      <c r="P269" s="54" t="s">
        <v>914</v>
      </c>
      <c r="W269" s="52" t="s">
        <v>914</v>
      </c>
      <c r="X269" s="52" t="s">
        <v>914</v>
      </c>
      <c r="Y269" s="52" t="s">
        <v>914</v>
      </c>
      <c r="AC269" s="53" t="s">
        <v>914</v>
      </c>
      <c r="AD269" s="52" t="s">
        <v>914</v>
      </c>
      <c r="AE269" s="53" t="s">
        <v>914</v>
      </c>
      <c r="AF269" s="53" t="s">
        <v>914</v>
      </c>
      <c r="AG269" s="5"/>
      <c r="AH269" s="5"/>
      <c r="AI269" s="5"/>
      <c r="AJ269" s="53" t="s">
        <v>914</v>
      </c>
      <c r="AK269" s="53" t="s">
        <v>914</v>
      </c>
      <c r="AL269" s="5"/>
      <c r="AM269" s="22">
        <f t="shared" si="13"/>
        <v>10</v>
      </c>
      <c r="XEQ269" s="19"/>
      <c r="XER269" s="19"/>
      <c r="XES269" s="20"/>
      <c r="XET269" s="20"/>
      <c r="XEU269" s="20"/>
      <c r="XEV269" s="19"/>
      <c r="XEW269" s="21"/>
      <c r="XEX269" s="21"/>
    </row>
    <row r="270" spans="1:39 16360:16378" ht="15.75" x14ac:dyDescent="0.25">
      <c r="A270" s="19" t="s">
        <v>55</v>
      </c>
      <c r="B270" s="19" t="s">
        <v>837</v>
      </c>
      <c r="C270" s="20" t="s">
        <v>886</v>
      </c>
      <c r="D270" s="20" t="s">
        <v>11</v>
      </c>
      <c r="E270" s="20" t="s">
        <v>11</v>
      </c>
      <c r="F270" s="19" t="s">
        <v>58</v>
      </c>
      <c r="G270" s="21"/>
      <c r="H270" s="21"/>
      <c r="I270" s="5"/>
      <c r="J270" s="5"/>
      <c r="K270" s="5"/>
      <c r="L270" s="5"/>
      <c r="M270" s="5"/>
      <c r="O270" s="5"/>
      <c r="P270" s="54"/>
      <c r="Q270" s="5"/>
      <c r="R270" s="5"/>
      <c r="S270" s="5"/>
      <c r="T270" s="5"/>
      <c r="U270" s="5"/>
      <c r="V270" s="5"/>
      <c r="W270" s="52" t="s">
        <v>914</v>
      </c>
      <c r="X270" s="52" t="s">
        <v>914</v>
      </c>
      <c r="Y270" s="52" t="s">
        <v>914</v>
      </c>
      <c r="AC270" s="53" t="s">
        <v>914</v>
      </c>
      <c r="AD270" s="52" t="s">
        <v>914</v>
      </c>
      <c r="AE270" s="53" t="s">
        <v>914</v>
      </c>
      <c r="AF270" s="53" t="s">
        <v>914</v>
      </c>
      <c r="AH270" s="5"/>
      <c r="AM270" s="22">
        <f t="shared" si="13"/>
        <v>7</v>
      </c>
    </row>
    <row r="271" spans="1:39 16360:16378" ht="15.75" x14ac:dyDescent="0.25">
      <c r="A271" s="19" t="s">
        <v>55</v>
      </c>
      <c r="B271" s="19" t="s">
        <v>841</v>
      </c>
      <c r="C271" s="20" t="s">
        <v>842</v>
      </c>
      <c r="D271" s="20" t="s">
        <v>11</v>
      </c>
      <c r="E271" s="20" t="s">
        <v>11</v>
      </c>
      <c r="F271" s="19" t="s">
        <v>58</v>
      </c>
      <c r="G271" s="21"/>
      <c r="H271" s="21"/>
      <c r="I271" s="5"/>
      <c r="J271" s="5"/>
      <c r="K271" s="5"/>
      <c r="L271" s="5"/>
      <c r="M271" s="5"/>
      <c r="O271" s="5"/>
      <c r="P271" s="54"/>
      <c r="Q271" s="5"/>
      <c r="R271" s="5"/>
      <c r="S271" s="5"/>
      <c r="T271" s="5"/>
      <c r="U271" s="5"/>
      <c r="V271" s="5"/>
      <c r="W271" s="52" t="s">
        <v>914</v>
      </c>
      <c r="X271" s="52" t="s">
        <v>914</v>
      </c>
      <c r="Y271" s="52" t="s">
        <v>914</v>
      </c>
      <c r="AC271" s="53" t="s">
        <v>914</v>
      </c>
      <c r="AD271" s="52" t="s">
        <v>914</v>
      </c>
      <c r="AE271" s="53" t="s">
        <v>914</v>
      </c>
      <c r="AF271" s="53" t="s">
        <v>914</v>
      </c>
      <c r="AH271" s="5"/>
      <c r="AJ271" s="53" t="s">
        <v>914</v>
      </c>
      <c r="AK271" s="53" t="s">
        <v>914</v>
      </c>
      <c r="AM271" s="22">
        <f t="shared" si="13"/>
        <v>9</v>
      </c>
    </row>
    <row r="272" spans="1:39 16360:16378" ht="15.75" x14ac:dyDescent="0.25">
      <c r="A272" s="19" t="s">
        <v>55</v>
      </c>
      <c r="B272" s="19" t="s">
        <v>820</v>
      </c>
      <c r="C272" s="20" t="s">
        <v>821</v>
      </c>
      <c r="D272" s="20" t="s">
        <v>11</v>
      </c>
      <c r="E272" s="20" t="s">
        <v>11</v>
      </c>
      <c r="F272" s="19" t="s">
        <v>58</v>
      </c>
      <c r="G272" s="21"/>
      <c r="H272" s="21"/>
      <c r="I272" s="5"/>
      <c r="J272" s="5"/>
      <c r="K272" s="5"/>
      <c r="L272" s="5"/>
      <c r="M272" s="5"/>
      <c r="O272" s="5"/>
      <c r="P272" s="54"/>
      <c r="Q272" s="5"/>
      <c r="R272" s="5"/>
      <c r="S272" s="5"/>
      <c r="T272" s="5"/>
      <c r="U272" s="5"/>
      <c r="V272" s="5"/>
      <c r="W272" s="52" t="s">
        <v>914</v>
      </c>
      <c r="X272" s="52" t="s">
        <v>914</v>
      </c>
      <c r="Y272" s="52" t="s">
        <v>914</v>
      </c>
      <c r="AC272" s="53" t="s">
        <v>914</v>
      </c>
      <c r="AD272" s="52" t="s">
        <v>914</v>
      </c>
      <c r="AE272" s="53" t="s">
        <v>914</v>
      </c>
      <c r="AF272" s="53" t="s">
        <v>914</v>
      </c>
      <c r="AH272" s="5"/>
      <c r="AK272" s="53" t="s">
        <v>914</v>
      </c>
      <c r="AM272" s="22">
        <f t="shared" ref="AM272:AM335" si="14">COUNTA(I272:AL272)</f>
        <v>8</v>
      </c>
    </row>
    <row r="273" spans="1:39 16346:16371" ht="15.75" x14ac:dyDescent="0.25">
      <c r="A273" s="19" t="s">
        <v>55</v>
      </c>
      <c r="B273" s="19" t="s">
        <v>839</v>
      </c>
      <c r="C273" s="20" t="s">
        <v>840</v>
      </c>
      <c r="D273" s="20" t="s">
        <v>11</v>
      </c>
      <c r="E273" s="20" t="s">
        <v>11</v>
      </c>
      <c r="F273" s="19" t="s">
        <v>58</v>
      </c>
      <c r="G273" s="21"/>
      <c r="H273" s="21"/>
      <c r="I273" s="5"/>
      <c r="J273" s="5"/>
      <c r="K273" s="5"/>
      <c r="L273" s="5"/>
      <c r="M273" s="5"/>
      <c r="O273" s="5"/>
      <c r="P273" s="54"/>
      <c r="Q273" s="5"/>
      <c r="R273" s="5"/>
      <c r="S273" s="5"/>
      <c r="T273" s="5"/>
      <c r="U273" s="5"/>
      <c r="V273" s="5"/>
      <c r="W273" s="52" t="s">
        <v>914</v>
      </c>
      <c r="X273" s="52" t="s">
        <v>914</v>
      </c>
      <c r="Y273" s="52" t="s">
        <v>914</v>
      </c>
      <c r="AC273" s="53" t="s">
        <v>914</v>
      </c>
      <c r="AD273" s="52" t="s">
        <v>914</v>
      </c>
      <c r="AE273" s="53" t="s">
        <v>914</v>
      </c>
      <c r="AF273" s="53" t="s">
        <v>914</v>
      </c>
      <c r="AH273" s="5"/>
      <c r="AJ273" s="53" t="s">
        <v>914</v>
      </c>
      <c r="AK273" s="53" t="s">
        <v>914</v>
      </c>
      <c r="AM273" s="22">
        <f t="shared" si="14"/>
        <v>9</v>
      </c>
    </row>
    <row r="274" spans="1:39 16346:16371" ht="15.75" x14ac:dyDescent="0.25">
      <c r="A274" s="19" t="s">
        <v>55</v>
      </c>
      <c r="B274" s="19" t="s">
        <v>812</v>
      </c>
      <c r="C274" s="20" t="s">
        <v>813</v>
      </c>
      <c r="D274" s="20" t="s">
        <v>11</v>
      </c>
      <c r="E274" s="20" t="s">
        <v>11</v>
      </c>
      <c r="F274" s="19" t="s">
        <v>58</v>
      </c>
      <c r="G274" s="21"/>
      <c r="H274" s="21"/>
      <c r="I274" s="5"/>
      <c r="J274" s="5"/>
      <c r="K274" s="5"/>
      <c r="L274" s="5"/>
      <c r="M274" s="5"/>
      <c r="O274" s="5"/>
      <c r="P274" s="54"/>
      <c r="Q274" s="5"/>
      <c r="R274" s="5"/>
      <c r="S274" s="5"/>
      <c r="T274" s="5"/>
      <c r="U274" s="5"/>
      <c r="V274" s="5"/>
      <c r="W274" s="5"/>
      <c r="X274" s="52" t="s">
        <v>914</v>
      </c>
      <c r="Y274" s="52" t="s">
        <v>914</v>
      </c>
      <c r="AC274" s="53" t="s">
        <v>914</v>
      </c>
      <c r="AD274" s="52" t="s">
        <v>914</v>
      </c>
      <c r="AE274" s="53" t="s">
        <v>914</v>
      </c>
      <c r="AF274" s="53" t="s">
        <v>914</v>
      </c>
      <c r="AH274" s="5"/>
      <c r="AJ274" s="53" t="s">
        <v>914</v>
      </c>
      <c r="AK274" s="53" t="s">
        <v>914</v>
      </c>
      <c r="AM274" s="22">
        <f t="shared" si="14"/>
        <v>8</v>
      </c>
    </row>
    <row r="275" spans="1:39 16346:16371" ht="15.75" x14ac:dyDescent="0.25">
      <c r="A275" s="19" t="s">
        <v>55</v>
      </c>
      <c r="B275" s="19" t="s">
        <v>843</v>
      </c>
      <c r="C275" s="20" t="s">
        <v>887</v>
      </c>
      <c r="D275" s="20" t="s">
        <v>11</v>
      </c>
      <c r="E275" s="20" t="s">
        <v>11</v>
      </c>
      <c r="F275" s="19" t="s">
        <v>58</v>
      </c>
      <c r="G275" s="21"/>
      <c r="H275" s="21"/>
      <c r="I275" s="5"/>
      <c r="J275" s="5"/>
      <c r="K275" s="5"/>
      <c r="L275" s="5"/>
      <c r="M275" s="5"/>
      <c r="O275" s="5"/>
      <c r="P275" s="54"/>
      <c r="Q275" s="5"/>
      <c r="R275" s="5"/>
      <c r="S275" s="5"/>
      <c r="T275" s="5"/>
      <c r="U275" s="5"/>
      <c r="V275" s="5"/>
      <c r="W275" s="52" t="s">
        <v>914</v>
      </c>
      <c r="X275" s="52" t="s">
        <v>914</v>
      </c>
      <c r="Y275" s="52" t="s">
        <v>914</v>
      </c>
      <c r="AC275" s="53" t="s">
        <v>914</v>
      </c>
      <c r="AD275" s="52" t="s">
        <v>914</v>
      </c>
      <c r="AE275" s="53" t="s">
        <v>914</v>
      </c>
      <c r="AF275" s="53" t="s">
        <v>914</v>
      </c>
      <c r="AH275" s="5"/>
      <c r="AJ275" s="53" t="s">
        <v>914</v>
      </c>
      <c r="AK275" s="53" t="s">
        <v>914</v>
      </c>
      <c r="AM275" s="22">
        <f t="shared" si="14"/>
        <v>9</v>
      </c>
    </row>
    <row r="276" spans="1:39 16346:16371" ht="15.75" x14ac:dyDescent="0.25">
      <c r="A276" s="19" t="s">
        <v>55</v>
      </c>
      <c r="B276" s="19" t="s">
        <v>722</v>
      </c>
      <c r="C276" s="20" t="s">
        <v>80</v>
      </c>
      <c r="D276" s="20" t="s">
        <v>11</v>
      </c>
      <c r="E276" s="20" t="s">
        <v>11</v>
      </c>
      <c r="F276" s="19" t="s">
        <v>58</v>
      </c>
      <c r="G276" s="21"/>
      <c r="H276" s="21"/>
      <c r="I276" s="5"/>
      <c r="J276" s="5"/>
      <c r="K276" s="5"/>
      <c r="L276" s="5"/>
      <c r="M276" s="5"/>
      <c r="O276" s="5"/>
      <c r="P276" s="54"/>
      <c r="Q276" s="5"/>
      <c r="R276" s="5"/>
      <c r="S276" s="5"/>
      <c r="T276" s="5"/>
      <c r="U276" s="5"/>
      <c r="V276" s="5"/>
      <c r="W276" s="52" t="s">
        <v>914</v>
      </c>
      <c r="X276" s="52" t="s">
        <v>914</v>
      </c>
      <c r="Y276" s="52" t="s">
        <v>914</v>
      </c>
      <c r="AC276" s="53" t="s">
        <v>914</v>
      </c>
      <c r="AD276" s="52" t="s">
        <v>914</v>
      </c>
      <c r="AE276" s="53" t="s">
        <v>914</v>
      </c>
      <c r="AF276" s="53" t="s">
        <v>914</v>
      </c>
      <c r="AH276" s="5"/>
      <c r="AJ276" s="53" t="s">
        <v>914</v>
      </c>
      <c r="AK276" s="53" t="s">
        <v>914</v>
      </c>
      <c r="AM276" s="22">
        <f t="shared" si="14"/>
        <v>9</v>
      </c>
    </row>
    <row r="277" spans="1:39 16346:16371" ht="15.75" x14ac:dyDescent="0.25">
      <c r="A277" s="19" t="s">
        <v>55</v>
      </c>
      <c r="B277" s="19" t="s">
        <v>825</v>
      </c>
      <c r="C277" s="20" t="s">
        <v>826</v>
      </c>
      <c r="D277" s="20" t="s">
        <v>11</v>
      </c>
      <c r="E277" s="20" t="s">
        <v>11</v>
      </c>
      <c r="F277" s="19" t="s">
        <v>58</v>
      </c>
      <c r="G277" s="21"/>
      <c r="H277" s="21"/>
      <c r="I277" s="5"/>
      <c r="J277" s="5"/>
      <c r="K277" s="5"/>
      <c r="L277" s="5"/>
      <c r="M277" s="5"/>
      <c r="O277" s="5"/>
      <c r="P277" s="54"/>
      <c r="Q277" s="5"/>
      <c r="R277" s="5"/>
      <c r="S277" s="5"/>
      <c r="T277" s="5"/>
      <c r="U277" s="5"/>
      <c r="V277" s="5"/>
      <c r="W277" s="52" t="s">
        <v>914</v>
      </c>
      <c r="X277" s="52" t="s">
        <v>914</v>
      </c>
      <c r="Y277" s="52" t="s">
        <v>914</v>
      </c>
      <c r="AC277" s="53" t="s">
        <v>914</v>
      </c>
      <c r="AD277" s="52" t="s">
        <v>914</v>
      </c>
      <c r="AE277" s="53" t="s">
        <v>914</v>
      </c>
      <c r="AF277" s="53" t="s">
        <v>914</v>
      </c>
      <c r="AH277" s="5"/>
      <c r="AJ277" s="53" t="s">
        <v>914</v>
      </c>
      <c r="AM277" s="22">
        <f t="shared" si="14"/>
        <v>8</v>
      </c>
    </row>
    <row r="278" spans="1:39 16346:16371" ht="15.75" x14ac:dyDescent="0.25">
      <c r="A278" s="19" t="s">
        <v>55</v>
      </c>
      <c r="B278" s="19" t="s">
        <v>523</v>
      </c>
      <c r="C278" s="23" t="s">
        <v>524</v>
      </c>
      <c r="D278" s="20" t="s">
        <v>10</v>
      </c>
      <c r="E278" s="20" t="s">
        <v>10</v>
      </c>
      <c r="F278" s="19" t="s">
        <v>58</v>
      </c>
      <c r="G278" s="21"/>
      <c r="H278" s="21"/>
      <c r="P278" s="54"/>
      <c r="Q278" s="54" t="s">
        <v>914</v>
      </c>
      <c r="R278" s="52" t="s">
        <v>914</v>
      </c>
      <c r="W278" s="5"/>
      <c r="AM278" s="22">
        <f t="shared" si="14"/>
        <v>2</v>
      </c>
    </row>
    <row r="279" spans="1:39 16346:16371" ht="15.75" x14ac:dyDescent="0.25">
      <c r="A279" s="19" t="s">
        <v>55</v>
      </c>
      <c r="B279" s="19" t="s">
        <v>298</v>
      </c>
      <c r="C279" s="23" t="s">
        <v>299</v>
      </c>
      <c r="D279" s="20" t="s">
        <v>18</v>
      </c>
      <c r="E279" s="20" t="s">
        <v>18</v>
      </c>
      <c r="F279" s="19" t="s">
        <v>58</v>
      </c>
      <c r="G279" s="21"/>
      <c r="H279" s="21"/>
      <c r="O279" s="52" t="s">
        <v>914</v>
      </c>
      <c r="P279" s="54"/>
      <c r="V279" s="52" t="s">
        <v>914</v>
      </c>
      <c r="W279" s="52" t="s">
        <v>914</v>
      </c>
      <c r="X279" s="52" t="s">
        <v>914</v>
      </c>
      <c r="AD279" s="52" t="s">
        <v>914</v>
      </c>
      <c r="AE279" s="53" t="s">
        <v>914</v>
      </c>
      <c r="AK279" s="53" t="s">
        <v>914</v>
      </c>
      <c r="AL279" s="53" t="s">
        <v>914</v>
      </c>
      <c r="AM279" s="22">
        <f t="shared" si="14"/>
        <v>8</v>
      </c>
    </row>
    <row r="280" spans="1:39 16346:16371" ht="15.75" x14ac:dyDescent="0.25">
      <c r="A280" s="19" t="s">
        <v>55</v>
      </c>
      <c r="B280" s="19" t="s">
        <v>145</v>
      </c>
      <c r="C280" s="23" t="s">
        <v>146</v>
      </c>
      <c r="D280" s="20" t="s">
        <v>8</v>
      </c>
      <c r="E280" s="20" t="s">
        <v>8</v>
      </c>
      <c r="F280" s="19" t="s">
        <v>58</v>
      </c>
      <c r="G280" s="21"/>
      <c r="H280" s="21"/>
      <c r="P280" s="54" t="s">
        <v>914</v>
      </c>
      <c r="Q280" s="52" t="s">
        <v>914</v>
      </c>
      <c r="W280" s="5"/>
      <c r="X280" s="5"/>
      <c r="Y280" s="5"/>
      <c r="AD280" s="53" t="s">
        <v>914</v>
      </c>
      <c r="AM280" s="22">
        <f t="shared" si="14"/>
        <v>3</v>
      </c>
    </row>
    <row r="281" spans="1:39 16346:16371" ht="15.75" x14ac:dyDescent="0.25">
      <c r="A281" s="19" t="s">
        <v>55</v>
      </c>
      <c r="B281" s="19" t="s">
        <v>831</v>
      </c>
      <c r="C281" s="23" t="s">
        <v>832</v>
      </c>
      <c r="D281" s="20" t="s">
        <v>10</v>
      </c>
      <c r="E281" s="20" t="s">
        <v>10</v>
      </c>
      <c r="F281" s="19" t="s">
        <v>58</v>
      </c>
      <c r="G281" s="21"/>
      <c r="H281" s="21"/>
      <c r="L281" s="52" t="s">
        <v>914</v>
      </c>
      <c r="P281" s="54"/>
      <c r="W281" s="5"/>
      <c r="X281" s="5"/>
      <c r="Y281" s="5"/>
      <c r="AM281" s="22">
        <f t="shared" si="14"/>
        <v>1</v>
      </c>
    </row>
    <row r="282" spans="1:39 16346:16371" ht="15.75" x14ac:dyDescent="0.25">
      <c r="A282" s="19" t="s">
        <v>55</v>
      </c>
      <c r="B282" s="19" t="s">
        <v>854</v>
      </c>
      <c r="C282" s="20" t="s">
        <v>888</v>
      </c>
      <c r="D282" s="20" t="s">
        <v>21</v>
      </c>
      <c r="E282" s="20" t="s">
        <v>21</v>
      </c>
      <c r="F282" s="19" t="s">
        <v>58</v>
      </c>
      <c r="G282" s="21"/>
      <c r="H282" s="21"/>
      <c r="I282" s="5"/>
      <c r="L282" s="52" t="s">
        <v>914</v>
      </c>
      <c r="O282" s="52" t="s">
        <v>914</v>
      </c>
      <c r="P282" s="54"/>
      <c r="Q282" s="52" t="s">
        <v>914</v>
      </c>
      <c r="R282" s="52" t="s">
        <v>914</v>
      </c>
      <c r="S282" s="52" t="s">
        <v>914</v>
      </c>
      <c r="V282" s="52" t="s">
        <v>914</v>
      </c>
      <c r="W282" s="52" t="s">
        <v>914</v>
      </c>
      <c r="X282" s="52" t="s">
        <v>914</v>
      </c>
      <c r="Y282" s="52" t="s">
        <v>914</v>
      </c>
      <c r="Z282" s="53" t="s">
        <v>914</v>
      </c>
      <c r="AA282" s="5"/>
      <c r="AB282" s="5"/>
      <c r="AC282" s="5"/>
      <c r="AD282" s="52" t="s">
        <v>914</v>
      </c>
      <c r="AE282" s="53" t="s">
        <v>914</v>
      </c>
      <c r="AF282" s="53" t="s">
        <v>914</v>
      </c>
      <c r="AG282" s="52"/>
      <c r="AH282" s="5"/>
      <c r="AI282" s="5"/>
      <c r="AJ282" s="53" t="s">
        <v>914</v>
      </c>
      <c r="AK282" s="53" t="s">
        <v>914</v>
      </c>
      <c r="AL282" s="53" t="s">
        <v>914</v>
      </c>
      <c r="AM282" s="22">
        <f t="shared" si="14"/>
        <v>16</v>
      </c>
      <c r="XEJ282" s="19"/>
      <c r="XEK282" s="19"/>
      <c r="XEL282" s="20"/>
      <c r="XEM282" s="20"/>
      <c r="XEN282" s="20"/>
      <c r="XEO282" s="19"/>
      <c r="XEP282" s="21"/>
      <c r="XEQ282" s="21"/>
    </row>
    <row r="283" spans="1:39 16346:16371" ht="15.75" x14ac:dyDescent="0.25">
      <c r="A283" s="19" t="s">
        <v>55</v>
      </c>
      <c r="B283" s="19" t="s">
        <v>856</v>
      </c>
      <c r="C283" s="20" t="s">
        <v>889</v>
      </c>
      <c r="D283" s="20" t="s">
        <v>21</v>
      </c>
      <c r="E283" s="20" t="s">
        <v>21</v>
      </c>
      <c r="F283" s="19" t="s">
        <v>58</v>
      </c>
      <c r="G283" s="21"/>
      <c r="H283" s="21"/>
      <c r="I283" s="5"/>
      <c r="J283" s="5"/>
      <c r="K283" s="5"/>
      <c r="L283" s="5"/>
      <c r="M283" s="5"/>
      <c r="N283" s="5"/>
      <c r="O283" s="52" t="s">
        <v>914</v>
      </c>
      <c r="P283" s="54" t="s">
        <v>914</v>
      </c>
      <c r="Q283" s="52" t="s">
        <v>914</v>
      </c>
      <c r="R283" s="52" t="s">
        <v>914</v>
      </c>
      <c r="S283" s="52" t="s">
        <v>914</v>
      </c>
      <c r="T283" s="5"/>
      <c r="U283" s="5"/>
      <c r="V283" s="52" t="s">
        <v>914</v>
      </c>
      <c r="W283" s="52" t="s">
        <v>914</v>
      </c>
      <c r="X283" s="52" t="s">
        <v>914</v>
      </c>
      <c r="Y283" s="52" t="s">
        <v>914</v>
      </c>
      <c r="Z283" s="53" t="s">
        <v>914</v>
      </c>
      <c r="AA283" s="5"/>
      <c r="AB283" s="5"/>
      <c r="AC283" s="53" t="s">
        <v>914</v>
      </c>
      <c r="AD283" s="52" t="s">
        <v>914</v>
      </c>
      <c r="AE283" s="53" t="s">
        <v>914</v>
      </c>
      <c r="AF283" s="53" t="s">
        <v>914</v>
      </c>
      <c r="AG283" s="52"/>
      <c r="AH283" s="5"/>
      <c r="AI283" s="5"/>
      <c r="AJ283" s="53" t="s">
        <v>914</v>
      </c>
      <c r="AK283" s="53" t="s">
        <v>914</v>
      </c>
      <c r="AL283" s="53" t="s">
        <v>914</v>
      </c>
      <c r="AM283" s="22">
        <f t="shared" si="14"/>
        <v>17</v>
      </c>
      <c r="XDR283" s="19"/>
      <c r="XDS283" s="19"/>
      <c r="XDT283" s="20"/>
      <c r="XDU283" s="20"/>
      <c r="XDV283" s="20"/>
      <c r="XDW283" s="19"/>
      <c r="XDX283" s="21"/>
      <c r="XDY283" s="21"/>
      <c r="XEJ283" s="19"/>
      <c r="XEK283" s="19"/>
      <c r="XEL283" s="20"/>
      <c r="XEM283" s="20"/>
      <c r="XEN283" s="20"/>
      <c r="XEO283" s="19"/>
      <c r="XEP283" s="21"/>
      <c r="XEQ283" s="21"/>
    </row>
    <row r="284" spans="1:39 16346:16371" ht="15.75" x14ac:dyDescent="0.25">
      <c r="A284" s="19" t="s">
        <v>55</v>
      </c>
      <c r="B284" s="19" t="s">
        <v>667</v>
      </c>
      <c r="C284" s="20" t="s">
        <v>668</v>
      </c>
      <c r="D284" s="20" t="s">
        <v>8</v>
      </c>
      <c r="E284" s="20" t="s">
        <v>8</v>
      </c>
      <c r="F284" s="19" t="s">
        <v>58</v>
      </c>
      <c r="G284" s="21"/>
      <c r="H284" s="21"/>
      <c r="I284" s="5"/>
      <c r="P284" s="54" t="s">
        <v>914</v>
      </c>
      <c r="X284" s="22"/>
      <c r="Y284" s="5"/>
      <c r="Z284" s="5"/>
      <c r="AA284" s="5"/>
      <c r="AB284" s="5"/>
      <c r="AC284" s="5"/>
      <c r="AD284" s="5"/>
      <c r="AE284" s="5"/>
      <c r="AF284" s="53" t="s">
        <v>914</v>
      </c>
      <c r="AG284" s="5"/>
      <c r="AH284" s="5"/>
      <c r="AI284" s="5"/>
      <c r="AJ284" s="53" t="s">
        <v>914</v>
      </c>
      <c r="AK284" s="53" t="s">
        <v>914</v>
      </c>
      <c r="AL284" s="5"/>
      <c r="AM284" s="22">
        <f t="shared" si="14"/>
        <v>4</v>
      </c>
      <c r="XEJ284" s="19"/>
      <c r="XEK284" s="19"/>
      <c r="XEL284" s="20"/>
      <c r="XEM284" s="20"/>
      <c r="XEN284" s="20"/>
      <c r="XEO284" s="19"/>
      <c r="XEP284" s="21"/>
      <c r="XEQ284" s="21"/>
    </row>
    <row r="285" spans="1:39 16346:16371" ht="15.75" x14ac:dyDescent="0.25">
      <c r="A285" s="19" t="s">
        <v>55</v>
      </c>
      <c r="B285" s="19" t="s">
        <v>453</v>
      </c>
      <c r="C285" s="20" t="s">
        <v>454</v>
      </c>
      <c r="D285" s="20" t="s">
        <v>18</v>
      </c>
      <c r="E285" s="20" t="s">
        <v>18</v>
      </c>
      <c r="F285" s="19" t="s">
        <v>58</v>
      </c>
      <c r="G285" s="21"/>
      <c r="H285" s="21"/>
      <c r="I285" s="5"/>
      <c r="P285" s="54" t="s">
        <v>914</v>
      </c>
      <c r="V285" s="52" t="s">
        <v>914</v>
      </c>
      <c r="X285" s="22"/>
      <c r="Y285" s="5"/>
      <c r="Z285" s="5"/>
      <c r="AB285" s="5"/>
      <c r="AC285" s="5"/>
      <c r="AE285" s="5"/>
      <c r="AF285" s="53" t="s">
        <v>914</v>
      </c>
      <c r="AG285" s="5"/>
      <c r="AH285" s="5"/>
      <c r="AI285" s="5"/>
      <c r="AJ285" s="5"/>
      <c r="AK285" s="5"/>
      <c r="AL285" s="5"/>
      <c r="AM285" s="22">
        <f t="shared" si="14"/>
        <v>3</v>
      </c>
      <c r="XEJ285" s="19"/>
      <c r="XEK285" s="19"/>
      <c r="XEL285" s="20"/>
      <c r="XEM285" s="20"/>
      <c r="XEN285" s="20"/>
      <c r="XEO285" s="19"/>
      <c r="XEP285" s="21"/>
      <c r="XEQ285" s="21"/>
    </row>
    <row r="286" spans="1:39 16346:16371" ht="15.75" x14ac:dyDescent="0.25">
      <c r="A286" s="19" t="s">
        <v>55</v>
      </c>
      <c r="B286" s="19" t="s">
        <v>687</v>
      </c>
      <c r="C286" s="20" t="s">
        <v>688</v>
      </c>
      <c r="D286" s="20" t="s">
        <v>18</v>
      </c>
      <c r="E286" s="20" t="s">
        <v>18</v>
      </c>
      <c r="F286" s="19" t="s">
        <v>58</v>
      </c>
      <c r="G286" s="21"/>
      <c r="H286" s="21"/>
      <c r="I286" s="5"/>
      <c r="P286" s="54" t="s">
        <v>914</v>
      </c>
      <c r="S286" s="52" t="s">
        <v>914</v>
      </c>
      <c r="V286" s="52" t="s">
        <v>914</v>
      </c>
      <c r="W286" s="52" t="s">
        <v>914</v>
      </c>
      <c r="X286" s="22"/>
      <c r="Y286" s="5"/>
      <c r="Z286" s="53" t="s">
        <v>914</v>
      </c>
      <c r="AB286" s="5"/>
      <c r="AC286" s="5"/>
      <c r="AD286" s="52" t="s">
        <v>914</v>
      </c>
      <c r="AE286" s="53" t="s">
        <v>914</v>
      </c>
      <c r="AF286" s="53" t="s">
        <v>914</v>
      </c>
      <c r="AG286" s="5"/>
      <c r="AH286" s="5"/>
      <c r="AI286" s="5"/>
      <c r="AJ286" s="53" t="s">
        <v>914</v>
      </c>
      <c r="AK286" s="53" t="s">
        <v>914</v>
      </c>
      <c r="AL286" s="5"/>
      <c r="AM286" s="22">
        <f t="shared" si="14"/>
        <v>10</v>
      </c>
      <c r="XEJ286" s="19"/>
      <c r="XEK286" s="19"/>
      <c r="XEL286" s="20"/>
      <c r="XEM286" s="20"/>
      <c r="XEN286" s="20"/>
      <c r="XEO286" s="19"/>
      <c r="XEP286" s="21"/>
      <c r="XEQ286" s="21"/>
    </row>
    <row r="287" spans="1:39 16346:16371" ht="15.75" x14ac:dyDescent="0.25">
      <c r="A287" s="19" t="s">
        <v>55</v>
      </c>
      <c r="B287" s="19" t="s">
        <v>850</v>
      </c>
      <c r="C287" s="20" t="s">
        <v>851</v>
      </c>
      <c r="D287" s="20" t="s">
        <v>22</v>
      </c>
      <c r="E287" s="20" t="s">
        <v>22</v>
      </c>
      <c r="F287" s="19" t="s">
        <v>58</v>
      </c>
      <c r="G287" s="21"/>
      <c r="H287" s="21"/>
      <c r="I287" s="5"/>
      <c r="P287" s="54" t="s">
        <v>914</v>
      </c>
      <c r="X287" s="22"/>
      <c r="Y287" s="52" t="s">
        <v>914</v>
      </c>
      <c r="Z287" s="53" t="s">
        <v>914</v>
      </c>
      <c r="AB287" s="5"/>
      <c r="AC287" s="53" t="s">
        <v>914</v>
      </c>
      <c r="AD287" s="52" t="s">
        <v>914</v>
      </c>
      <c r="AE287" s="53" t="s">
        <v>914</v>
      </c>
      <c r="AF287" s="53" t="s">
        <v>914</v>
      </c>
      <c r="AG287" s="5"/>
      <c r="AH287" s="5"/>
      <c r="AI287" s="5"/>
      <c r="AJ287" s="5"/>
      <c r="AK287" s="53" t="s">
        <v>914</v>
      </c>
      <c r="AL287" s="5"/>
      <c r="AM287" s="22">
        <f t="shared" si="14"/>
        <v>8</v>
      </c>
      <c r="XEJ287" s="19"/>
      <c r="XEK287" s="19"/>
      <c r="XEL287" s="20"/>
      <c r="XEM287" s="20"/>
      <c r="XEN287" s="20"/>
      <c r="XEO287" s="19"/>
      <c r="XEP287" s="21"/>
      <c r="XEQ287" s="21"/>
    </row>
    <row r="288" spans="1:39 16346:16371" ht="15.75" x14ac:dyDescent="0.25">
      <c r="A288" s="19" t="s">
        <v>55</v>
      </c>
      <c r="B288" s="19" t="s">
        <v>133</v>
      </c>
      <c r="C288" s="20" t="s">
        <v>134</v>
      </c>
      <c r="D288" s="20" t="s">
        <v>3</v>
      </c>
      <c r="E288" s="20" t="s">
        <v>3</v>
      </c>
      <c r="F288" s="19" t="s">
        <v>58</v>
      </c>
      <c r="G288" s="21"/>
      <c r="H288" s="21"/>
      <c r="I288" s="5"/>
      <c r="P288" s="54" t="s">
        <v>914</v>
      </c>
      <c r="X288" s="22"/>
      <c r="Y288" s="5"/>
      <c r="Z288" s="5"/>
      <c r="AB288" s="5"/>
      <c r="AC288" s="5"/>
      <c r="AE288" s="5"/>
      <c r="AF288" s="5"/>
      <c r="AG288" s="5"/>
      <c r="AH288" s="5"/>
      <c r="AI288" s="5"/>
      <c r="AJ288" s="5"/>
      <c r="AK288" s="5"/>
      <c r="AL288" s="5"/>
      <c r="AM288" s="22">
        <f t="shared" si="14"/>
        <v>1</v>
      </c>
      <c r="XEJ288" s="19"/>
      <c r="XEK288" s="19"/>
      <c r="XEL288" s="20"/>
      <c r="XEM288" s="20"/>
      <c r="XEN288" s="20"/>
      <c r="XEO288" s="19"/>
      <c r="XEP288" s="21"/>
      <c r="XEQ288" s="21"/>
    </row>
    <row r="289" spans="1:39 16361:16368" ht="15.75" x14ac:dyDescent="0.25">
      <c r="A289" s="19" t="s">
        <v>55</v>
      </c>
      <c r="B289" s="19" t="s">
        <v>814</v>
      </c>
      <c r="C289" s="20" t="s">
        <v>815</v>
      </c>
      <c r="D289" s="20" t="s">
        <v>14</v>
      </c>
      <c r="E289" s="20" t="s">
        <v>14</v>
      </c>
      <c r="F289" s="19" t="s">
        <v>58</v>
      </c>
      <c r="G289" s="21"/>
      <c r="H289" s="21"/>
      <c r="I289" s="5" t="s">
        <v>914</v>
      </c>
      <c r="L289" s="52" t="s">
        <v>914</v>
      </c>
      <c r="M289" s="52" t="s">
        <v>914</v>
      </c>
      <c r="P289" s="54" t="s">
        <v>914</v>
      </c>
      <c r="Q289" s="53" t="s">
        <v>914</v>
      </c>
      <c r="R289" s="52" t="s">
        <v>914</v>
      </c>
      <c r="S289" s="52" t="s">
        <v>914</v>
      </c>
      <c r="T289" s="52" t="s">
        <v>914</v>
      </c>
      <c r="U289" s="22"/>
      <c r="V289" s="52" t="s">
        <v>914</v>
      </c>
      <c r="W289" s="52" t="s">
        <v>914</v>
      </c>
      <c r="X289" s="52" t="s">
        <v>914</v>
      </c>
      <c r="Y289" s="52" t="s">
        <v>914</v>
      </c>
      <c r="Z289" s="53" t="s">
        <v>914</v>
      </c>
      <c r="AA289" s="53" t="s">
        <v>914</v>
      </c>
      <c r="AB289" s="5"/>
      <c r="AC289" s="53"/>
      <c r="AD289" s="52" t="s">
        <v>914</v>
      </c>
      <c r="AE289" s="53" t="s">
        <v>914</v>
      </c>
      <c r="AF289" s="53" t="s">
        <v>914</v>
      </c>
      <c r="AG289" s="52" t="s">
        <v>914</v>
      </c>
      <c r="AH289" s="52" t="s">
        <v>914</v>
      </c>
      <c r="AJ289" s="53" t="s">
        <v>914</v>
      </c>
      <c r="AK289" s="53" t="s">
        <v>914</v>
      </c>
      <c r="AL289" s="53" t="s">
        <v>914</v>
      </c>
      <c r="AM289" s="22">
        <f t="shared" si="14"/>
        <v>22</v>
      </c>
      <c r="XEG289" s="19"/>
      <c r="XEH289" s="19"/>
      <c r="XEI289" s="20"/>
      <c r="XEJ289" s="20"/>
      <c r="XEK289" s="20"/>
      <c r="XEL289" s="19"/>
      <c r="XEM289" s="21"/>
      <c r="XEN289" s="21"/>
    </row>
    <row r="290" spans="1:39 16361:16368" ht="15.75" x14ac:dyDescent="0.25">
      <c r="A290" s="19" t="s">
        <v>55</v>
      </c>
      <c r="B290" s="19" t="s">
        <v>858</v>
      </c>
      <c r="C290" s="23" t="s">
        <v>890</v>
      </c>
      <c r="D290" s="20" t="s">
        <v>21</v>
      </c>
      <c r="E290" s="20" t="s">
        <v>21</v>
      </c>
      <c r="F290" s="19" t="s">
        <v>58</v>
      </c>
      <c r="G290" s="21"/>
      <c r="H290" s="21"/>
      <c r="P290" s="54" t="s">
        <v>914</v>
      </c>
      <c r="AD290" s="5"/>
      <c r="AM290" s="22">
        <f t="shared" si="14"/>
        <v>1</v>
      </c>
    </row>
    <row r="291" spans="1:39 16361:16368" ht="15.75" x14ac:dyDescent="0.25">
      <c r="A291" s="19" t="s">
        <v>55</v>
      </c>
      <c r="B291" s="19" t="s">
        <v>866</v>
      </c>
      <c r="C291" s="23" t="s">
        <v>867</v>
      </c>
      <c r="D291" s="20" t="s">
        <v>22</v>
      </c>
      <c r="E291" s="20" t="s">
        <v>22</v>
      </c>
      <c r="F291" s="19" t="s">
        <v>58</v>
      </c>
      <c r="G291" s="21"/>
      <c r="H291" s="21"/>
      <c r="L291" s="52" t="s">
        <v>914</v>
      </c>
      <c r="O291" s="52" t="s">
        <v>914</v>
      </c>
      <c r="P291" s="54" t="s">
        <v>914</v>
      </c>
      <c r="Y291" s="52" t="s">
        <v>914</v>
      </c>
      <c r="Z291" s="53" t="s">
        <v>914</v>
      </c>
      <c r="AC291" s="53" t="s">
        <v>914</v>
      </c>
      <c r="AD291" s="52" t="s">
        <v>914</v>
      </c>
      <c r="AE291" s="53" t="s">
        <v>914</v>
      </c>
      <c r="AF291" s="53" t="s">
        <v>914</v>
      </c>
      <c r="AH291" s="5"/>
      <c r="AJ291" s="53" t="s">
        <v>914</v>
      </c>
      <c r="AK291" s="53" t="s">
        <v>914</v>
      </c>
      <c r="AM291" s="22">
        <f t="shared" si="14"/>
        <v>11</v>
      </c>
    </row>
    <row r="292" spans="1:39 16361:16368" ht="15.75" x14ac:dyDescent="0.25">
      <c r="A292" s="19" t="s">
        <v>55</v>
      </c>
      <c r="B292" s="19" t="s">
        <v>207</v>
      </c>
      <c r="C292" s="23" t="s">
        <v>208</v>
      </c>
      <c r="D292" s="20" t="s">
        <v>28</v>
      </c>
      <c r="E292" s="20" t="s">
        <v>28</v>
      </c>
      <c r="F292" s="19" t="s">
        <v>58</v>
      </c>
      <c r="G292" s="21"/>
      <c r="H292" s="21"/>
      <c r="O292" s="52" t="s">
        <v>914</v>
      </c>
      <c r="P292" s="54" t="s">
        <v>914</v>
      </c>
      <c r="Q292" s="52" t="s">
        <v>914</v>
      </c>
      <c r="R292" s="52" t="s">
        <v>914</v>
      </c>
      <c r="Y292" s="52" t="s">
        <v>914</v>
      </c>
      <c r="Z292" s="53" t="s">
        <v>914</v>
      </c>
      <c r="AH292" s="5"/>
      <c r="AL292" s="53" t="s">
        <v>914</v>
      </c>
      <c r="AM292" s="22">
        <f t="shared" si="14"/>
        <v>7</v>
      </c>
    </row>
    <row r="293" spans="1:39 16361:16368" ht="15.75" x14ac:dyDescent="0.25">
      <c r="A293" s="19" t="s">
        <v>55</v>
      </c>
      <c r="B293" s="19" t="s">
        <v>110</v>
      </c>
      <c r="C293" s="23" t="s">
        <v>111</v>
      </c>
      <c r="D293" s="20" t="s">
        <v>28</v>
      </c>
      <c r="E293" s="20" t="s">
        <v>28</v>
      </c>
      <c r="F293" s="19" t="s">
        <v>58</v>
      </c>
      <c r="G293" s="21"/>
      <c r="H293" s="21"/>
      <c r="P293" s="54" t="s">
        <v>914</v>
      </c>
      <c r="R293" s="52" t="s">
        <v>914</v>
      </c>
      <c r="AH293" s="5"/>
      <c r="AM293" s="22">
        <f t="shared" si="14"/>
        <v>2</v>
      </c>
    </row>
    <row r="294" spans="1:39 16361:16368" ht="15.75" x14ac:dyDescent="0.25">
      <c r="A294" s="19" t="s">
        <v>55</v>
      </c>
      <c r="B294" s="19" t="s">
        <v>193</v>
      </c>
      <c r="C294" s="20" t="s">
        <v>194</v>
      </c>
      <c r="D294" s="20" t="s">
        <v>14</v>
      </c>
      <c r="E294" s="20" t="s">
        <v>14</v>
      </c>
      <c r="F294" s="19" t="s">
        <v>58</v>
      </c>
      <c r="G294" s="21"/>
      <c r="H294" s="21"/>
      <c r="I294" s="5" t="s">
        <v>914</v>
      </c>
      <c r="L294" s="52" t="s">
        <v>914</v>
      </c>
      <c r="M294" s="52" t="s">
        <v>914</v>
      </c>
      <c r="P294" s="54" t="s">
        <v>914</v>
      </c>
      <c r="Q294" s="53" t="s">
        <v>914</v>
      </c>
      <c r="R294" s="52" t="s">
        <v>914</v>
      </c>
      <c r="S294" s="52" t="s">
        <v>914</v>
      </c>
      <c r="T294" s="52" t="s">
        <v>914</v>
      </c>
      <c r="V294" s="52" t="s">
        <v>914</v>
      </c>
      <c r="W294" s="52" t="s">
        <v>914</v>
      </c>
      <c r="X294" s="52" t="s">
        <v>914</v>
      </c>
      <c r="Y294" s="52" t="s">
        <v>914</v>
      </c>
      <c r="Z294" s="53" t="s">
        <v>914</v>
      </c>
      <c r="AA294" s="53" t="s">
        <v>914</v>
      </c>
      <c r="AC294" s="53" t="s">
        <v>914</v>
      </c>
      <c r="AD294" s="52"/>
      <c r="AE294" s="53" t="s">
        <v>914</v>
      </c>
      <c r="AF294" s="53" t="s">
        <v>914</v>
      </c>
      <c r="AG294" s="52" t="s">
        <v>914</v>
      </c>
      <c r="AH294" s="5"/>
      <c r="AJ294" s="53" t="s">
        <v>914</v>
      </c>
      <c r="AK294" s="53" t="s">
        <v>914</v>
      </c>
      <c r="AL294" s="53" t="s">
        <v>914</v>
      </c>
      <c r="AM294" s="22">
        <f t="shared" si="14"/>
        <v>21</v>
      </c>
    </row>
    <row r="295" spans="1:39 16361:16368" ht="15.75" x14ac:dyDescent="0.25">
      <c r="A295" s="19" t="s">
        <v>55</v>
      </c>
      <c r="B295" s="19" t="s">
        <v>312</v>
      </c>
      <c r="C295" s="20" t="s">
        <v>313</v>
      </c>
      <c r="D295" s="20" t="s">
        <v>14</v>
      </c>
      <c r="E295" s="20" t="s">
        <v>14</v>
      </c>
      <c r="F295" s="19" t="s">
        <v>58</v>
      </c>
      <c r="G295" s="21"/>
      <c r="H295" s="21"/>
      <c r="I295" s="5" t="s">
        <v>914</v>
      </c>
      <c r="L295" s="52" t="s">
        <v>914</v>
      </c>
      <c r="M295" s="52" t="s">
        <v>914</v>
      </c>
      <c r="P295" s="54" t="s">
        <v>914</v>
      </c>
      <c r="Q295" s="53" t="s">
        <v>914</v>
      </c>
      <c r="R295" s="52" t="s">
        <v>914</v>
      </c>
      <c r="S295" s="52" t="s">
        <v>914</v>
      </c>
      <c r="T295" s="52" t="s">
        <v>914</v>
      </c>
      <c r="V295" s="52" t="s">
        <v>914</v>
      </c>
      <c r="W295" s="52" t="s">
        <v>914</v>
      </c>
      <c r="X295" s="52" t="s">
        <v>914</v>
      </c>
      <c r="Y295" s="52" t="s">
        <v>914</v>
      </c>
      <c r="Z295" s="53" t="s">
        <v>914</v>
      </c>
      <c r="AA295" s="53" t="s">
        <v>914</v>
      </c>
      <c r="AC295" s="53" t="s">
        <v>914</v>
      </c>
      <c r="AE295" s="53" t="s">
        <v>914</v>
      </c>
      <c r="AF295" s="53" t="s">
        <v>914</v>
      </c>
      <c r="AH295" s="5"/>
      <c r="AJ295" s="53" t="s">
        <v>914</v>
      </c>
      <c r="AK295" s="53" t="s">
        <v>914</v>
      </c>
      <c r="AL295" s="53" t="s">
        <v>914</v>
      </c>
      <c r="AM295" s="22">
        <f t="shared" si="14"/>
        <v>20</v>
      </c>
    </row>
    <row r="296" spans="1:39 16361:16368" ht="15.75" x14ac:dyDescent="0.25">
      <c r="A296" s="19" t="s">
        <v>55</v>
      </c>
      <c r="B296" s="19" t="s">
        <v>342</v>
      </c>
      <c r="C296" s="20" t="s">
        <v>343</v>
      </c>
      <c r="D296" s="20" t="s">
        <v>14</v>
      </c>
      <c r="E296" s="20" t="s">
        <v>14</v>
      </c>
      <c r="F296" s="19" t="s">
        <v>58</v>
      </c>
      <c r="G296" s="21"/>
      <c r="H296" s="21"/>
      <c r="I296" s="5"/>
      <c r="L296" s="52" t="s">
        <v>914</v>
      </c>
      <c r="M296" s="52" t="s">
        <v>914</v>
      </c>
      <c r="P296" s="54" t="s">
        <v>914</v>
      </c>
      <c r="Q296" s="53" t="s">
        <v>914</v>
      </c>
      <c r="R296" s="52" t="s">
        <v>914</v>
      </c>
      <c r="S296" s="52" t="s">
        <v>914</v>
      </c>
      <c r="T296" s="52" t="s">
        <v>914</v>
      </c>
      <c r="V296" s="52" t="s">
        <v>914</v>
      </c>
      <c r="W296" s="52" t="s">
        <v>914</v>
      </c>
      <c r="X296" s="52" t="s">
        <v>914</v>
      </c>
      <c r="Y296" s="52" t="s">
        <v>914</v>
      </c>
      <c r="Z296" s="53" t="s">
        <v>914</v>
      </c>
      <c r="AA296" s="53" t="s">
        <v>914</v>
      </c>
      <c r="AC296" s="53" t="s">
        <v>914</v>
      </c>
      <c r="AE296" s="53" t="s">
        <v>914</v>
      </c>
      <c r="AF296" s="53" t="s">
        <v>914</v>
      </c>
      <c r="AH296" s="5"/>
      <c r="AJ296" s="53" t="s">
        <v>914</v>
      </c>
      <c r="AK296" s="53" t="s">
        <v>914</v>
      </c>
      <c r="AL296" s="53" t="s">
        <v>914</v>
      </c>
      <c r="AM296" s="22">
        <f t="shared" si="14"/>
        <v>19</v>
      </c>
    </row>
    <row r="297" spans="1:39 16361:16368" ht="15.75" x14ac:dyDescent="0.25">
      <c r="A297" s="19" t="s">
        <v>55</v>
      </c>
      <c r="B297" s="19" t="s">
        <v>344</v>
      </c>
      <c r="C297" s="20" t="s">
        <v>345</v>
      </c>
      <c r="D297" s="20" t="s">
        <v>14</v>
      </c>
      <c r="E297" s="20" t="s">
        <v>14</v>
      </c>
      <c r="F297" s="19" t="s">
        <v>58</v>
      </c>
      <c r="G297" s="21"/>
      <c r="H297" s="21"/>
      <c r="I297" s="5"/>
      <c r="L297" s="52"/>
      <c r="M297" s="52"/>
      <c r="P297" s="54" t="s">
        <v>914</v>
      </c>
      <c r="Q297" s="53" t="s">
        <v>914</v>
      </c>
      <c r="R297" s="52" t="s">
        <v>914</v>
      </c>
      <c r="S297" s="52" t="s">
        <v>914</v>
      </c>
      <c r="T297" s="52" t="s">
        <v>914</v>
      </c>
      <c r="V297" s="52" t="s">
        <v>914</v>
      </c>
      <c r="W297" s="52" t="s">
        <v>914</v>
      </c>
      <c r="X297" s="52" t="s">
        <v>914</v>
      </c>
      <c r="Y297" s="52" t="s">
        <v>914</v>
      </c>
      <c r="Z297" s="53" t="s">
        <v>914</v>
      </c>
      <c r="AA297" s="53" t="s">
        <v>914</v>
      </c>
      <c r="AC297" s="53" t="s">
        <v>914</v>
      </c>
      <c r="AD297" s="52" t="s">
        <v>914</v>
      </c>
      <c r="AE297" s="53" t="s">
        <v>914</v>
      </c>
      <c r="AF297" s="53" t="s">
        <v>914</v>
      </c>
      <c r="AH297" s="5"/>
      <c r="AJ297" s="53" t="s">
        <v>914</v>
      </c>
      <c r="AK297" s="53" t="s">
        <v>914</v>
      </c>
      <c r="AL297" s="53" t="s">
        <v>914</v>
      </c>
      <c r="AM297" s="22">
        <f t="shared" si="14"/>
        <v>18</v>
      </c>
    </row>
    <row r="298" spans="1:39 16361:16368" ht="15.75" x14ac:dyDescent="0.25">
      <c r="A298" s="19" t="s">
        <v>55</v>
      </c>
      <c r="B298" s="19" t="s">
        <v>352</v>
      </c>
      <c r="C298" s="20" t="s">
        <v>353</v>
      </c>
      <c r="D298" s="20" t="s">
        <v>14</v>
      </c>
      <c r="E298" s="20" t="s">
        <v>14</v>
      </c>
      <c r="F298" s="19" t="s">
        <v>58</v>
      </c>
      <c r="G298" s="21"/>
      <c r="H298" s="21"/>
      <c r="M298" s="52"/>
      <c r="P298" s="54" t="s">
        <v>915</v>
      </c>
      <c r="Q298" s="53" t="s">
        <v>914</v>
      </c>
      <c r="R298" s="52" t="s">
        <v>914</v>
      </c>
      <c r="S298" s="52" t="s">
        <v>914</v>
      </c>
      <c r="V298" s="52" t="s">
        <v>914</v>
      </c>
      <c r="W298" s="52" t="s">
        <v>914</v>
      </c>
      <c r="X298" s="52" t="s">
        <v>914</v>
      </c>
      <c r="Y298" s="52" t="s">
        <v>914</v>
      </c>
      <c r="Z298" s="53" t="s">
        <v>914</v>
      </c>
      <c r="AA298" s="53" t="s">
        <v>914</v>
      </c>
      <c r="AC298" s="53" t="s">
        <v>914</v>
      </c>
      <c r="AE298" s="53" t="s">
        <v>914</v>
      </c>
      <c r="AF298" s="53" t="s">
        <v>914</v>
      </c>
      <c r="AH298" s="5"/>
      <c r="AJ298" s="53" t="s">
        <v>914</v>
      </c>
      <c r="AK298" s="53" t="s">
        <v>914</v>
      </c>
      <c r="AL298" s="53" t="s">
        <v>914</v>
      </c>
      <c r="AM298" s="22">
        <f t="shared" si="14"/>
        <v>16</v>
      </c>
    </row>
    <row r="299" spans="1:39 16361:16368" ht="15.75" x14ac:dyDescent="0.25">
      <c r="A299" s="19" t="s">
        <v>55</v>
      </c>
      <c r="B299" s="19" t="s">
        <v>502</v>
      </c>
      <c r="C299" s="20" t="s">
        <v>503</v>
      </c>
      <c r="D299" s="20" t="s">
        <v>14</v>
      </c>
      <c r="E299" s="20" t="s">
        <v>14</v>
      </c>
      <c r="F299" s="19" t="s">
        <v>58</v>
      </c>
      <c r="G299" s="21"/>
      <c r="H299" s="21"/>
      <c r="P299" s="54" t="s">
        <v>914</v>
      </c>
      <c r="R299" s="52" t="s">
        <v>914</v>
      </c>
      <c r="Y299" s="52" t="s">
        <v>914</v>
      </c>
      <c r="AA299" s="53" t="s">
        <v>914</v>
      </c>
      <c r="AC299" s="53" t="s">
        <v>914</v>
      </c>
      <c r="AE299" s="53"/>
      <c r="AF299" s="53" t="s">
        <v>914</v>
      </c>
      <c r="AH299" s="5"/>
      <c r="AK299" s="53" t="s">
        <v>914</v>
      </c>
      <c r="AL299" s="53" t="s">
        <v>914</v>
      </c>
      <c r="AM299" s="22">
        <f t="shared" si="14"/>
        <v>8</v>
      </c>
    </row>
    <row r="300" spans="1:39 16361:16368" ht="15.75" x14ac:dyDescent="0.25">
      <c r="A300" s="19" t="s">
        <v>55</v>
      </c>
      <c r="B300" s="19" t="s">
        <v>519</v>
      </c>
      <c r="C300" s="20" t="s">
        <v>520</v>
      </c>
      <c r="D300" s="20" t="s">
        <v>14</v>
      </c>
      <c r="E300" s="20" t="s">
        <v>14</v>
      </c>
      <c r="F300" s="19" t="s">
        <v>58</v>
      </c>
      <c r="G300" s="21"/>
      <c r="H300" s="21"/>
      <c r="P300" s="54" t="s">
        <v>914</v>
      </c>
      <c r="AA300" s="53" t="s">
        <v>914</v>
      </c>
      <c r="AC300" s="53" t="s">
        <v>914</v>
      </c>
      <c r="AE300" s="53"/>
      <c r="AF300" s="53"/>
      <c r="AH300" s="5"/>
      <c r="AM300" s="22">
        <f t="shared" si="14"/>
        <v>3</v>
      </c>
    </row>
    <row r="301" spans="1:39 16361:16368" ht="15.75" x14ac:dyDescent="0.25">
      <c r="A301" s="19" t="s">
        <v>55</v>
      </c>
      <c r="B301" s="19" t="s">
        <v>612</v>
      </c>
      <c r="C301" s="20" t="s">
        <v>613</v>
      </c>
      <c r="D301" s="20" t="s">
        <v>14</v>
      </c>
      <c r="E301" s="20" t="s">
        <v>14</v>
      </c>
      <c r="F301" s="19" t="s">
        <v>58</v>
      </c>
      <c r="G301" s="21"/>
      <c r="H301" s="21"/>
      <c r="P301" s="54" t="s">
        <v>914</v>
      </c>
      <c r="AA301" s="53" t="s">
        <v>914</v>
      </c>
      <c r="AC301" s="53" t="s">
        <v>914</v>
      </c>
      <c r="AF301" s="53"/>
      <c r="AH301" s="5"/>
      <c r="AM301" s="22">
        <f t="shared" si="14"/>
        <v>3</v>
      </c>
    </row>
    <row r="302" spans="1:39 16361:16368" ht="15.75" x14ac:dyDescent="0.25">
      <c r="A302" s="19" t="s">
        <v>55</v>
      </c>
      <c r="B302" s="19" t="s">
        <v>702</v>
      </c>
      <c r="C302" s="20" t="s">
        <v>913</v>
      </c>
      <c r="D302" s="20" t="s">
        <v>933</v>
      </c>
      <c r="E302" s="20" t="s">
        <v>933</v>
      </c>
      <c r="F302" s="19" t="s">
        <v>58</v>
      </c>
      <c r="G302" s="21"/>
      <c r="H302" s="21"/>
      <c r="Q302" s="52" t="s">
        <v>915</v>
      </c>
      <c r="S302" s="52"/>
      <c r="T302" s="5" t="s">
        <v>874</v>
      </c>
      <c r="W302" s="52" t="s">
        <v>915</v>
      </c>
      <c r="Y302" s="52" t="s">
        <v>915</v>
      </c>
      <c r="AE302" s="53" t="s">
        <v>914</v>
      </c>
      <c r="AH302" s="5"/>
      <c r="AJ302" s="53" t="s">
        <v>914</v>
      </c>
      <c r="AM302" s="22">
        <f t="shared" si="14"/>
        <v>6</v>
      </c>
    </row>
    <row r="303" spans="1:39 16361:16368" ht="15.75" x14ac:dyDescent="0.25">
      <c r="A303" s="19" t="s">
        <v>55</v>
      </c>
      <c r="B303" s="19" t="s">
        <v>706</v>
      </c>
      <c r="C303" s="20" t="s">
        <v>703</v>
      </c>
      <c r="D303" s="20" t="s">
        <v>14</v>
      </c>
      <c r="E303" s="20" t="s">
        <v>14</v>
      </c>
      <c r="F303" s="19" t="s">
        <v>58</v>
      </c>
      <c r="G303" s="21"/>
      <c r="H303" s="21"/>
      <c r="P303" s="54" t="s">
        <v>914</v>
      </c>
      <c r="AA303" s="53" t="s">
        <v>914</v>
      </c>
      <c r="AC303" s="53" t="s">
        <v>914</v>
      </c>
      <c r="AF303" s="53"/>
      <c r="AH303" s="5"/>
      <c r="AM303" s="22">
        <f t="shared" si="14"/>
        <v>3</v>
      </c>
    </row>
    <row r="304" spans="1:39 16361:16368" ht="15.75" x14ac:dyDescent="0.25">
      <c r="A304" s="19" t="s">
        <v>55</v>
      </c>
      <c r="B304" s="19" t="s">
        <v>814</v>
      </c>
      <c r="C304" s="20" t="s">
        <v>815</v>
      </c>
      <c r="D304" s="20" t="s">
        <v>14</v>
      </c>
      <c r="E304" s="20" t="s">
        <v>14</v>
      </c>
      <c r="F304" s="19" t="s">
        <v>58</v>
      </c>
      <c r="G304" s="21"/>
      <c r="H304" s="21"/>
      <c r="P304" s="54" t="s">
        <v>914</v>
      </c>
      <c r="AA304" s="53" t="s">
        <v>914</v>
      </c>
      <c r="AC304" s="53" t="s">
        <v>914</v>
      </c>
      <c r="AF304" s="53"/>
      <c r="AH304" s="5"/>
      <c r="AM304" s="22">
        <f t="shared" si="14"/>
        <v>3</v>
      </c>
    </row>
    <row r="305" spans="1:39" ht="15.75" x14ac:dyDescent="0.25">
      <c r="A305" s="19" t="s">
        <v>55</v>
      </c>
      <c r="B305" s="19" t="s">
        <v>647</v>
      </c>
      <c r="C305" s="20" t="s">
        <v>648</v>
      </c>
      <c r="D305" s="20" t="s">
        <v>28</v>
      </c>
      <c r="E305" s="20" t="s">
        <v>28</v>
      </c>
      <c r="F305" s="19" t="s">
        <v>58</v>
      </c>
      <c r="G305" s="21"/>
      <c r="H305" s="21"/>
      <c r="L305" s="52" t="s">
        <v>914</v>
      </c>
      <c r="AH305" s="5"/>
      <c r="AM305" s="22">
        <f t="shared" si="14"/>
        <v>1</v>
      </c>
    </row>
    <row r="306" spans="1:39" ht="15.75" x14ac:dyDescent="0.25">
      <c r="A306" s="19" t="s">
        <v>55</v>
      </c>
      <c r="B306" s="19" t="s">
        <v>917</v>
      </c>
      <c r="C306" s="20" t="s">
        <v>929</v>
      </c>
      <c r="D306" s="20" t="s">
        <v>28</v>
      </c>
      <c r="E306" s="20" t="s">
        <v>28</v>
      </c>
      <c r="F306" s="19" t="s">
        <v>58</v>
      </c>
      <c r="G306" s="21"/>
      <c r="H306" s="21"/>
      <c r="L306" s="52"/>
      <c r="O306" s="52" t="s">
        <v>914</v>
      </c>
      <c r="Q306" s="52" t="s">
        <v>914</v>
      </c>
      <c r="R306" s="52" t="s">
        <v>914</v>
      </c>
      <c r="W306" s="52" t="s">
        <v>914</v>
      </c>
      <c r="Y306" s="52" t="s">
        <v>914</v>
      </c>
      <c r="Z306" s="53" t="s">
        <v>914</v>
      </c>
      <c r="AC306" s="53" t="s">
        <v>914</v>
      </c>
      <c r="AD306" s="52" t="s">
        <v>914</v>
      </c>
      <c r="AE306" s="53" t="s">
        <v>914</v>
      </c>
      <c r="AH306" s="5"/>
      <c r="AL306" s="53" t="s">
        <v>914</v>
      </c>
      <c r="AM306" s="22">
        <f t="shared" si="14"/>
        <v>10</v>
      </c>
    </row>
    <row r="307" spans="1:39" ht="15.75" x14ac:dyDescent="0.25">
      <c r="A307" s="19" t="s">
        <v>55</v>
      </c>
      <c r="B307" s="19" t="s">
        <v>942</v>
      </c>
      <c r="C307" s="20" t="s">
        <v>943</v>
      </c>
      <c r="D307" s="20" t="s">
        <v>22</v>
      </c>
      <c r="E307" s="20" t="s">
        <v>22</v>
      </c>
      <c r="F307" s="19" t="s">
        <v>58</v>
      </c>
      <c r="G307" s="21"/>
      <c r="H307" s="21"/>
      <c r="L307" s="52"/>
      <c r="O307" s="52" t="s">
        <v>914</v>
      </c>
      <c r="W307" s="52" t="s">
        <v>914</v>
      </c>
      <c r="X307" s="52" t="s">
        <v>914</v>
      </c>
      <c r="Y307" s="52" t="s">
        <v>914</v>
      </c>
      <c r="Z307" s="53" t="s">
        <v>914</v>
      </c>
      <c r="AC307" s="53" t="s">
        <v>914</v>
      </c>
      <c r="AD307" s="52" t="s">
        <v>914</v>
      </c>
      <c r="AE307" s="53" t="s">
        <v>914</v>
      </c>
      <c r="AF307" s="53" t="s">
        <v>914</v>
      </c>
      <c r="AH307" s="5"/>
      <c r="AJ307" s="53" t="s">
        <v>914</v>
      </c>
      <c r="AK307" s="53" t="s">
        <v>914</v>
      </c>
      <c r="AM307" s="22">
        <f t="shared" si="14"/>
        <v>11</v>
      </c>
    </row>
    <row r="308" spans="1:39" ht="15.75" x14ac:dyDescent="0.25">
      <c r="A308" s="19" t="s">
        <v>55</v>
      </c>
      <c r="B308" s="19" t="s">
        <v>940</v>
      </c>
      <c r="C308" s="20" t="s">
        <v>109</v>
      </c>
      <c r="D308" s="20" t="s">
        <v>21</v>
      </c>
      <c r="E308" s="20" t="s">
        <v>21</v>
      </c>
      <c r="F308" s="19" t="s">
        <v>58</v>
      </c>
      <c r="G308" s="21"/>
      <c r="H308" s="21"/>
      <c r="L308" s="52"/>
      <c r="O308" s="52" t="s">
        <v>914</v>
      </c>
      <c r="Q308" s="52" t="s">
        <v>914</v>
      </c>
      <c r="S308" s="52" t="s">
        <v>914</v>
      </c>
      <c r="V308" s="52" t="s">
        <v>914</v>
      </c>
      <c r="W308" s="52" t="s">
        <v>914</v>
      </c>
      <c r="X308" s="52" t="s">
        <v>914</v>
      </c>
      <c r="Y308" s="52" t="s">
        <v>914</v>
      </c>
      <c r="AC308" s="53" t="s">
        <v>914</v>
      </c>
      <c r="AD308" s="52" t="s">
        <v>914</v>
      </c>
      <c r="AE308" s="53" t="s">
        <v>914</v>
      </c>
      <c r="AF308" s="53" t="s">
        <v>914</v>
      </c>
      <c r="AG308" s="52" t="s">
        <v>914</v>
      </c>
      <c r="AH308" s="5"/>
      <c r="AJ308" s="53" t="s">
        <v>914</v>
      </c>
      <c r="AK308" s="53" t="s">
        <v>914</v>
      </c>
      <c r="AL308" s="53" t="s">
        <v>914</v>
      </c>
      <c r="AM308" s="22">
        <f t="shared" si="14"/>
        <v>15</v>
      </c>
    </row>
    <row r="309" spans="1:39" ht="15.75" x14ac:dyDescent="0.25">
      <c r="A309" s="19" t="s">
        <v>55</v>
      </c>
      <c r="B309" s="19" t="s">
        <v>934</v>
      </c>
      <c r="C309" s="20" t="s">
        <v>122</v>
      </c>
      <c r="D309" s="20" t="s">
        <v>21</v>
      </c>
      <c r="E309" s="20" t="s">
        <v>21</v>
      </c>
      <c r="F309" s="19" t="s">
        <v>58</v>
      </c>
      <c r="G309" s="21"/>
      <c r="H309" s="21"/>
      <c r="L309" s="52"/>
      <c r="O309" s="52" t="s">
        <v>914</v>
      </c>
      <c r="Q309" s="52" t="s">
        <v>914</v>
      </c>
      <c r="AH309" s="5"/>
      <c r="AM309" s="22">
        <f t="shared" si="14"/>
        <v>2</v>
      </c>
    </row>
    <row r="310" spans="1:39" ht="15.75" x14ac:dyDescent="0.25">
      <c r="A310" s="19" t="s">
        <v>55</v>
      </c>
      <c r="B310" s="19" t="s">
        <v>848</v>
      </c>
      <c r="C310" s="20" t="s">
        <v>99</v>
      </c>
      <c r="D310" s="20" t="s">
        <v>21</v>
      </c>
      <c r="E310" s="20" t="s">
        <v>21</v>
      </c>
      <c r="F310" s="19" t="s">
        <v>58</v>
      </c>
      <c r="G310" s="21"/>
      <c r="H310" s="21"/>
      <c r="L310" s="52"/>
      <c r="O310" s="52" t="s">
        <v>914</v>
      </c>
      <c r="Q310" s="52" t="s">
        <v>914</v>
      </c>
      <c r="S310" s="52" t="s">
        <v>914</v>
      </c>
      <c r="V310" s="52" t="s">
        <v>914</v>
      </c>
      <c r="X310" s="52" t="s">
        <v>914</v>
      </c>
      <c r="Y310" s="52" t="s">
        <v>914</v>
      </c>
      <c r="Z310" s="53" t="s">
        <v>914</v>
      </c>
      <c r="AC310" s="53" t="s">
        <v>914</v>
      </c>
      <c r="AD310" s="52" t="s">
        <v>914</v>
      </c>
      <c r="AE310" s="53" t="s">
        <v>914</v>
      </c>
      <c r="AF310" s="53" t="s">
        <v>914</v>
      </c>
      <c r="AG310" s="52" t="s">
        <v>914</v>
      </c>
      <c r="AH310" s="5"/>
      <c r="AJ310" s="53" t="s">
        <v>914</v>
      </c>
      <c r="AK310" s="53" t="s">
        <v>914</v>
      </c>
      <c r="AL310" s="53" t="s">
        <v>914</v>
      </c>
      <c r="AM310" s="22">
        <f t="shared" si="14"/>
        <v>15</v>
      </c>
    </row>
    <row r="311" spans="1:39" ht="15.75" x14ac:dyDescent="0.25">
      <c r="A311" s="19" t="s">
        <v>55</v>
      </c>
      <c r="B311" s="19" t="s">
        <v>847</v>
      </c>
      <c r="C311" s="20" t="s">
        <v>101</v>
      </c>
      <c r="D311" s="20" t="s">
        <v>21</v>
      </c>
      <c r="E311" s="20" t="s">
        <v>21</v>
      </c>
      <c r="F311" s="19" t="s">
        <v>58</v>
      </c>
      <c r="G311" s="21"/>
      <c r="H311" s="21"/>
      <c r="L311" s="52"/>
      <c r="O311" s="52" t="s">
        <v>914</v>
      </c>
      <c r="Q311" s="52" t="s">
        <v>914</v>
      </c>
      <c r="S311" s="52" t="s">
        <v>914</v>
      </c>
      <c r="V311" s="52" t="s">
        <v>914</v>
      </c>
      <c r="W311" s="52" t="s">
        <v>914</v>
      </c>
      <c r="X311" s="52" t="s">
        <v>914</v>
      </c>
      <c r="Y311" s="52" t="s">
        <v>914</v>
      </c>
      <c r="Z311" s="53" t="s">
        <v>914</v>
      </c>
      <c r="AD311" s="52" t="s">
        <v>914</v>
      </c>
      <c r="AE311" s="53" t="s">
        <v>914</v>
      </c>
      <c r="AF311" s="53" t="s">
        <v>914</v>
      </c>
      <c r="AG311" s="52" t="s">
        <v>914</v>
      </c>
      <c r="AH311" s="5"/>
      <c r="AJ311" s="53" t="s">
        <v>914</v>
      </c>
      <c r="AL311" s="53" t="s">
        <v>914</v>
      </c>
      <c r="AM311" s="22">
        <f t="shared" si="14"/>
        <v>14</v>
      </c>
    </row>
    <row r="312" spans="1:39" ht="15.75" x14ac:dyDescent="0.25">
      <c r="A312" s="19" t="s">
        <v>55</v>
      </c>
      <c r="B312" s="19" t="s">
        <v>935</v>
      </c>
      <c r="C312" s="20" t="s">
        <v>115</v>
      </c>
      <c r="D312" s="20" t="s">
        <v>21</v>
      </c>
      <c r="E312" s="20" t="s">
        <v>21</v>
      </c>
      <c r="F312" s="19" t="s">
        <v>58</v>
      </c>
      <c r="G312" s="21"/>
      <c r="H312" s="21"/>
      <c r="L312" s="52"/>
      <c r="O312" s="52" t="s">
        <v>914</v>
      </c>
      <c r="Q312" s="52" t="s">
        <v>914</v>
      </c>
      <c r="V312" s="52" t="s">
        <v>914</v>
      </c>
      <c r="W312" s="52" t="s">
        <v>914</v>
      </c>
      <c r="X312" s="52" t="s">
        <v>914</v>
      </c>
      <c r="Y312" s="52" t="s">
        <v>914</v>
      </c>
      <c r="Z312" s="53" t="s">
        <v>914</v>
      </c>
      <c r="AC312" s="53" t="s">
        <v>914</v>
      </c>
      <c r="AD312" s="52" t="s">
        <v>914</v>
      </c>
      <c r="AE312" s="53" t="s">
        <v>914</v>
      </c>
      <c r="AF312" s="53" t="s">
        <v>914</v>
      </c>
      <c r="AH312" s="5"/>
      <c r="AL312" s="53" t="s">
        <v>914</v>
      </c>
      <c r="AM312" s="22">
        <f t="shared" si="14"/>
        <v>12</v>
      </c>
    </row>
    <row r="313" spans="1:39" ht="15.75" x14ac:dyDescent="0.25">
      <c r="A313" s="19" t="s">
        <v>55</v>
      </c>
      <c r="B313" s="19" t="s">
        <v>921</v>
      </c>
      <c r="C313" s="20" t="s">
        <v>88</v>
      </c>
      <c r="D313" s="20" t="s">
        <v>21</v>
      </c>
      <c r="E313" s="20" t="s">
        <v>21</v>
      </c>
      <c r="F313" s="19" t="s">
        <v>58</v>
      </c>
      <c r="G313" s="21"/>
      <c r="H313" s="21"/>
      <c r="L313" s="52"/>
      <c r="O313" s="52" t="s">
        <v>914</v>
      </c>
      <c r="Q313" s="52" t="s">
        <v>914</v>
      </c>
      <c r="R313" s="52" t="s">
        <v>914</v>
      </c>
      <c r="S313" s="52" t="s">
        <v>914</v>
      </c>
      <c r="W313" s="52" t="s">
        <v>914</v>
      </c>
      <c r="X313" s="52" t="s">
        <v>914</v>
      </c>
      <c r="Y313" s="52" t="s">
        <v>914</v>
      </c>
      <c r="Z313" s="53" t="s">
        <v>914</v>
      </c>
      <c r="AC313" s="53" t="s">
        <v>914</v>
      </c>
      <c r="AD313" s="52" t="s">
        <v>914</v>
      </c>
      <c r="AE313" s="53" t="s">
        <v>914</v>
      </c>
      <c r="AF313" s="53" t="s">
        <v>914</v>
      </c>
      <c r="AG313" s="52" t="s">
        <v>914</v>
      </c>
      <c r="AH313" s="5"/>
      <c r="AJ313" s="53" t="s">
        <v>914</v>
      </c>
      <c r="AK313" s="53" t="s">
        <v>914</v>
      </c>
      <c r="AL313" s="53" t="s">
        <v>914</v>
      </c>
      <c r="AM313" s="22">
        <f t="shared" si="14"/>
        <v>16</v>
      </c>
    </row>
    <row r="314" spans="1:39" ht="15.75" x14ac:dyDescent="0.25">
      <c r="A314" s="19" t="s">
        <v>55</v>
      </c>
      <c r="B314" s="19" t="s">
        <v>808</v>
      </c>
      <c r="C314" s="20" t="s">
        <v>90</v>
      </c>
      <c r="D314" s="20" t="s">
        <v>21</v>
      </c>
      <c r="E314" s="20" t="s">
        <v>21</v>
      </c>
      <c r="F314" s="19" t="s">
        <v>58</v>
      </c>
      <c r="G314" s="21"/>
      <c r="H314" s="21"/>
      <c r="L314" s="52"/>
      <c r="O314" s="52" t="s">
        <v>914</v>
      </c>
      <c r="Q314" s="52" t="s">
        <v>914</v>
      </c>
      <c r="R314" s="52" t="s">
        <v>914</v>
      </c>
      <c r="S314" s="52" t="s">
        <v>914</v>
      </c>
      <c r="V314" s="52" t="s">
        <v>914</v>
      </c>
      <c r="W314" s="52" t="s">
        <v>914</v>
      </c>
      <c r="X314" s="52" t="s">
        <v>914</v>
      </c>
      <c r="Y314" s="52" t="s">
        <v>914</v>
      </c>
      <c r="Z314" s="53" t="s">
        <v>914</v>
      </c>
      <c r="AC314" s="53" t="s">
        <v>914</v>
      </c>
      <c r="AD314" s="52" t="s">
        <v>914</v>
      </c>
      <c r="AE314" s="53" t="s">
        <v>914</v>
      </c>
      <c r="AF314" s="53" t="s">
        <v>914</v>
      </c>
      <c r="AG314" s="52" t="s">
        <v>914</v>
      </c>
      <c r="AH314" s="5"/>
      <c r="AJ314" s="53" t="s">
        <v>914</v>
      </c>
      <c r="AK314" s="53" t="s">
        <v>914</v>
      </c>
      <c r="AL314" s="53" t="s">
        <v>914</v>
      </c>
      <c r="AM314" s="22">
        <f t="shared" si="14"/>
        <v>17</v>
      </c>
    </row>
    <row r="315" spans="1:39" ht="15.75" x14ac:dyDescent="0.25">
      <c r="A315" s="19" t="s">
        <v>55</v>
      </c>
      <c r="B315" s="19" t="s">
        <v>937</v>
      </c>
      <c r="C315" s="20" t="s">
        <v>113</v>
      </c>
      <c r="D315" s="20" t="s">
        <v>21</v>
      </c>
      <c r="E315" s="20" t="s">
        <v>21</v>
      </c>
      <c r="F315" s="19" t="s">
        <v>58</v>
      </c>
      <c r="G315" s="21"/>
      <c r="H315" s="21"/>
      <c r="L315" s="52"/>
      <c r="O315" s="52" t="s">
        <v>914</v>
      </c>
      <c r="Q315" s="52" t="s">
        <v>914</v>
      </c>
      <c r="R315" s="52" t="s">
        <v>914</v>
      </c>
      <c r="S315" s="52" t="s">
        <v>914</v>
      </c>
      <c r="V315" s="52" t="s">
        <v>914</v>
      </c>
      <c r="W315" s="52" t="s">
        <v>914</v>
      </c>
      <c r="X315" s="52" t="s">
        <v>914</v>
      </c>
      <c r="Y315" s="52" t="s">
        <v>914</v>
      </c>
      <c r="Z315" s="53" t="s">
        <v>914</v>
      </c>
      <c r="AC315" s="53" t="s">
        <v>914</v>
      </c>
      <c r="AD315" s="52" t="s">
        <v>914</v>
      </c>
      <c r="AE315" s="53" t="s">
        <v>914</v>
      </c>
      <c r="AF315" s="53" t="s">
        <v>914</v>
      </c>
      <c r="AG315" s="52" t="s">
        <v>914</v>
      </c>
      <c r="AH315" s="5"/>
      <c r="AJ315" s="53" t="s">
        <v>914</v>
      </c>
      <c r="AK315" s="53" t="s">
        <v>914</v>
      </c>
      <c r="AL315" s="53" t="s">
        <v>914</v>
      </c>
      <c r="AM315" s="22">
        <f t="shared" si="14"/>
        <v>17</v>
      </c>
    </row>
    <row r="316" spans="1:39" ht="15.75" x14ac:dyDescent="0.25">
      <c r="A316" s="19" t="s">
        <v>55</v>
      </c>
      <c r="B316" s="19" t="s">
        <v>938</v>
      </c>
      <c r="C316" s="20" t="s">
        <v>107</v>
      </c>
      <c r="D316" s="20" t="s">
        <v>21</v>
      </c>
      <c r="E316" s="20" t="s">
        <v>21</v>
      </c>
      <c r="F316" s="19" t="s">
        <v>58</v>
      </c>
      <c r="G316" s="21"/>
      <c r="H316" s="21"/>
      <c r="L316" s="52"/>
      <c r="O316" s="52" t="s">
        <v>914</v>
      </c>
      <c r="Q316" s="52" t="s">
        <v>914</v>
      </c>
      <c r="R316" s="52" t="s">
        <v>914</v>
      </c>
      <c r="V316" s="52" t="s">
        <v>914</v>
      </c>
      <c r="W316" s="52" t="s">
        <v>914</v>
      </c>
      <c r="X316" s="52" t="s">
        <v>914</v>
      </c>
      <c r="Y316" s="52" t="s">
        <v>914</v>
      </c>
      <c r="Z316" s="53" t="s">
        <v>914</v>
      </c>
      <c r="AC316" s="53" t="s">
        <v>914</v>
      </c>
      <c r="AD316" s="52" t="s">
        <v>914</v>
      </c>
      <c r="AE316" s="53" t="s">
        <v>914</v>
      </c>
      <c r="AG316" s="52"/>
      <c r="AH316" s="5"/>
      <c r="AJ316" s="53" t="s">
        <v>914</v>
      </c>
      <c r="AK316" s="53" t="s">
        <v>914</v>
      </c>
      <c r="AL316" s="53" t="s">
        <v>914</v>
      </c>
      <c r="AM316" s="22">
        <f t="shared" si="14"/>
        <v>14</v>
      </c>
    </row>
    <row r="317" spans="1:39" ht="15.75" x14ac:dyDescent="0.25">
      <c r="A317" s="19" t="s">
        <v>55</v>
      </c>
      <c r="B317" s="19" t="s">
        <v>811</v>
      </c>
      <c r="C317" s="20" t="s">
        <v>124</v>
      </c>
      <c r="D317" s="20" t="s">
        <v>21</v>
      </c>
      <c r="E317" s="20" t="s">
        <v>21</v>
      </c>
      <c r="F317" s="19" t="s">
        <v>58</v>
      </c>
      <c r="G317" s="21"/>
      <c r="H317" s="21"/>
      <c r="L317" s="52"/>
      <c r="O317" s="52" t="s">
        <v>914</v>
      </c>
      <c r="Q317" s="52" t="s">
        <v>914</v>
      </c>
      <c r="R317" s="52" t="s">
        <v>914</v>
      </c>
      <c r="S317" s="52" t="s">
        <v>914</v>
      </c>
      <c r="V317" s="52" t="s">
        <v>914</v>
      </c>
      <c r="W317" s="52" t="s">
        <v>914</v>
      </c>
      <c r="X317" s="52" t="s">
        <v>914</v>
      </c>
      <c r="Y317" s="52" t="s">
        <v>914</v>
      </c>
      <c r="Z317" s="53" t="s">
        <v>914</v>
      </c>
      <c r="AC317" s="53" t="s">
        <v>914</v>
      </c>
      <c r="AD317" s="52" t="s">
        <v>914</v>
      </c>
      <c r="AE317" s="53" t="s">
        <v>914</v>
      </c>
      <c r="AF317" s="53" t="s">
        <v>914</v>
      </c>
      <c r="AG317" s="52" t="s">
        <v>914</v>
      </c>
      <c r="AH317" s="5"/>
      <c r="AJ317" s="53" t="s">
        <v>914</v>
      </c>
      <c r="AK317" s="53" t="s">
        <v>914</v>
      </c>
      <c r="AL317" s="53" t="s">
        <v>914</v>
      </c>
      <c r="AM317" s="22">
        <f t="shared" si="14"/>
        <v>17</v>
      </c>
    </row>
    <row r="318" spans="1:39" ht="15.75" x14ac:dyDescent="0.25">
      <c r="A318" s="19" t="s">
        <v>55</v>
      </c>
      <c r="B318" s="19" t="s">
        <v>835</v>
      </c>
      <c r="C318" s="20" t="s">
        <v>104</v>
      </c>
      <c r="D318" s="20" t="s">
        <v>21</v>
      </c>
      <c r="E318" s="20" t="s">
        <v>21</v>
      </c>
      <c r="F318" s="19" t="s">
        <v>58</v>
      </c>
      <c r="G318" s="21"/>
      <c r="H318" s="21"/>
      <c r="L318" s="52"/>
      <c r="O318" s="52" t="s">
        <v>914</v>
      </c>
      <c r="Q318" s="52" t="s">
        <v>914</v>
      </c>
      <c r="R318" s="52" t="s">
        <v>914</v>
      </c>
      <c r="S318" s="52" t="s">
        <v>914</v>
      </c>
      <c r="W318" s="52" t="s">
        <v>914</v>
      </c>
      <c r="X318" s="52" t="s">
        <v>914</v>
      </c>
      <c r="Y318" s="52" t="s">
        <v>914</v>
      </c>
      <c r="Z318" s="53" t="s">
        <v>914</v>
      </c>
      <c r="AC318" s="53" t="s">
        <v>914</v>
      </c>
      <c r="AH318" s="5"/>
      <c r="AM318" s="22">
        <f t="shared" si="14"/>
        <v>9</v>
      </c>
    </row>
    <row r="319" spans="1:39" ht="15.75" x14ac:dyDescent="0.25">
      <c r="A319" s="19" t="s">
        <v>55</v>
      </c>
      <c r="B319" s="19" t="s">
        <v>849</v>
      </c>
      <c r="C319" s="20" t="s">
        <v>68</v>
      </c>
      <c r="D319" s="20" t="s">
        <v>21</v>
      </c>
      <c r="E319" s="20" t="s">
        <v>21</v>
      </c>
      <c r="F319" s="19" t="s">
        <v>58</v>
      </c>
      <c r="G319" s="21"/>
      <c r="H319" s="21"/>
      <c r="L319" s="52"/>
      <c r="O319" s="52" t="s">
        <v>914</v>
      </c>
      <c r="Q319" s="52" t="s">
        <v>914</v>
      </c>
      <c r="S319" s="52" t="s">
        <v>914</v>
      </c>
      <c r="V319" s="52" t="s">
        <v>914</v>
      </c>
      <c r="W319" s="52" t="s">
        <v>914</v>
      </c>
      <c r="X319" s="52" t="s">
        <v>914</v>
      </c>
      <c r="Y319" s="52" t="s">
        <v>914</v>
      </c>
      <c r="Z319" s="53" t="s">
        <v>914</v>
      </c>
      <c r="AC319" s="53" t="s">
        <v>914</v>
      </c>
      <c r="AD319" s="52" t="s">
        <v>914</v>
      </c>
      <c r="AE319" s="53" t="s">
        <v>914</v>
      </c>
      <c r="AF319" s="53" t="s">
        <v>914</v>
      </c>
      <c r="AH319" s="5"/>
      <c r="AJ319" s="53" t="s">
        <v>914</v>
      </c>
      <c r="AK319" s="53" t="s">
        <v>914</v>
      </c>
      <c r="AL319" s="53" t="s">
        <v>914</v>
      </c>
      <c r="AM319" s="22">
        <f t="shared" si="14"/>
        <v>15</v>
      </c>
    </row>
    <row r="320" spans="1:39" ht="15.75" x14ac:dyDescent="0.25">
      <c r="A320" s="19" t="s">
        <v>55</v>
      </c>
      <c r="B320" s="19" t="s">
        <v>946</v>
      </c>
      <c r="C320" s="20" t="s">
        <v>949</v>
      </c>
      <c r="D320" s="20" t="s">
        <v>21</v>
      </c>
      <c r="E320" s="20" t="s">
        <v>21</v>
      </c>
      <c r="F320" s="19" t="s">
        <v>58</v>
      </c>
      <c r="G320" s="21"/>
      <c r="H320" s="21"/>
      <c r="L320" s="52"/>
      <c r="O320" s="52"/>
      <c r="Q320" s="52" t="s">
        <v>914</v>
      </c>
      <c r="W320" s="52" t="s">
        <v>914</v>
      </c>
      <c r="X320" s="52" t="s">
        <v>914</v>
      </c>
      <c r="Y320" s="52" t="s">
        <v>914</v>
      </c>
      <c r="Z320" s="53" t="s">
        <v>914</v>
      </c>
      <c r="AD320" s="52" t="s">
        <v>914</v>
      </c>
      <c r="AE320" s="53" t="s">
        <v>914</v>
      </c>
      <c r="AF320" s="53" t="s">
        <v>914</v>
      </c>
      <c r="AG320" s="52" t="s">
        <v>914</v>
      </c>
      <c r="AH320" s="5"/>
      <c r="AM320" s="22">
        <f t="shared" si="14"/>
        <v>9</v>
      </c>
    </row>
    <row r="321" spans="1:39 16363:16384" ht="15.75" x14ac:dyDescent="0.25">
      <c r="A321" s="19" t="s">
        <v>55</v>
      </c>
      <c r="B321" s="19" t="s">
        <v>947</v>
      </c>
      <c r="C321" s="20" t="s">
        <v>948</v>
      </c>
      <c r="D321" s="20" t="s">
        <v>21</v>
      </c>
      <c r="E321" s="20" t="s">
        <v>21</v>
      </c>
      <c r="F321" s="19" t="s">
        <v>58</v>
      </c>
      <c r="G321" s="21"/>
      <c r="H321" s="21"/>
      <c r="L321" s="52"/>
      <c r="O321" s="52"/>
      <c r="Q321" s="52" t="s">
        <v>914</v>
      </c>
      <c r="W321" s="52" t="s">
        <v>914</v>
      </c>
      <c r="X321" s="52" t="s">
        <v>914</v>
      </c>
      <c r="Y321" s="52" t="s">
        <v>914</v>
      </c>
      <c r="Z321" s="53" t="s">
        <v>914</v>
      </c>
      <c r="AC321" s="53" t="s">
        <v>914</v>
      </c>
      <c r="AD321" s="52" t="s">
        <v>914</v>
      </c>
      <c r="AE321" s="53" t="s">
        <v>914</v>
      </c>
      <c r="AF321" s="53" t="s">
        <v>914</v>
      </c>
      <c r="AG321" s="52" t="s">
        <v>914</v>
      </c>
      <c r="AH321" s="5"/>
      <c r="AJ321" s="53" t="s">
        <v>914</v>
      </c>
      <c r="AK321" s="53" t="s">
        <v>914</v>
      </c>
      <c r="AL321" s="53" t="s">
        <v>914</v>
      </c>
      <c r="AM321" s="22">
        <f t="shared" si="14"/>
        <v>13</v>
      </c>
    </row>
    <row r="322" spans="1:39 16363:16384" ht="15.75" x14ac:dyDescent="0.25">
      <c r="A322" s="19" t="s">
        <v>55</v>
      </c>
      <c r="B322" s="19" t="s">
        <v>852</v>
      </c>
      <c r="C322" s="20" t="s">
        <v>853</v>
      </c>
      <c r="D322" s="20" t="s">
        <v>11</v>
      </c>
      <c r="E322" s="20" t="s">
        <v>11</v>
      </c>
      <c r="F322" s="19" t="s">
        <v>58</v>
      </c>
      <c r="G322" s="21"/>
      <c r="H322" s="21"/>
      <c r="L322" s="52"/>
      <c r="O322" s="52"/>
      <c r="Q322" s="52" t="s">
        <v>914</v>
      </c>
      <c r="W322" s="52" t="s">
        <v>914</v>
      </c>
      <c r="X322" s="52" t="s">
        <v>914</v>
      </c>
      <c r="Y322" s="52" t="s">
        <v>914</v>
      </c>
      <c r="AC322" s="53" t="s">
        <v>914</v>
      </c>
      <c r="AD322" s="52" t="s">
        <v>914</v>
      </c>
      <c r="AE322" s="53" t="s">
        <v>914</v>
      </c>
      <c r="AF322" s="53" t="s">
        <v>914</v>
      </c>
      <c r="AH322" s="5"/>
      <c r="AM322" s="22">
        <f t="shared" si="14"/>
        <v>8</v>
      </c>
    </row>
    <row r="323" spans="1:39 16363:16384" ht="15.75" x14ac:dyDescent="0.25">
      <c r="A323" s="19" t="s">
        <v>55</v>
      </c>
      <c r="B323" s="19" t="s">
        <v>920</v>
      </c>
      <c r="C323" s="20" t="s">
        <v>126</v>
      </c>
      <c r="D323" s="20" t="s">
        <v>933</v>
      </c>
      <c r="E323" s="20" t="s">
        <v>933</v>
      </c>
      <c r="F323" s="19" t="s">
        <v>58</v>
      </c>
      <c r="G323" s="21"/>
      <c r="H323" s="21"/>
      <c r="I323" s="5"/>
      <c r="J323" s="5"/>
      <c r="K323" s="5"/>
      <c r="L323" s="5"/>
      <c r="M323" s="5"/>
      <c r="N323" s="5"/>
      <c r="O323" s="5"/>
      <c r="P323" s="5"/>
      <c r="Q323" s="52" t="s">
        <v>915</v>
      </c>
      <c r="R323" s="52" t="s">
        <v>915</v>
      </c>
      <c r="S323" s="52"/>
      <c r="T323" s="5" t="s">
        <v>874</v>
      </c>
      <c r="W323" s="52" t="s">
        <v>915</v>
      </c>
      <c r="X323" s="52" t="s">
        <v>915</v>
      </c>
      <c r="Z323" s="5"/>
      <c r="AE323" s="22"/>
      <c r="AF323" s="53" t="s">
        <v>914</v>
      </c>
      <c r="AG323" s="5"/>
      <c r="AH323" s="5"/>
      <c r="AI323" s="5"/>
      <c r="AJ323" s="53" t="s">
        <v>914</v>
      </c>
      <c r="AK323" s="5"/>
      <c r="AL323" s="5"/>
      <c r="AM323" s="22">
        <f t="shared" si="14"/>
        <v>7</v>
      </c>
      <c r="XEW323" s="19"/>
      <c r="XEX323" s="19"/>
      <c r="XEY323" s="20"/>
      <c r="XEZ323" s="20"/>
      <c r="XFA323" s="20"/>
      <c r="XFB323" s="19"/>
      <c r="XFC323" s="21"/>
      <c r="XFD323" s="21"/>
    </row>
    <row r="324" spans="1:39 16363:16384" ht="15.75" x14ac:dyDescent="0.25">
      <c r="A324" s="19" t="s">
        <v>55</v>
      </c>
      <c r="B324" s="19" t="s">
        <v>439</v>
      </c>
      <c r="C324" s="20" t="s">
        <v>440</v>
      </c>
      <c r="D324" s="20" t="s">
        <v>25</v>
      </c>
      <c r="E324" s="20" t="s">
        <v>25</v>
      </c>
      <c r="F324" s="19" t="s">
        <v>58</v>
      </c>
      <c r="G324" s="21"/>
      <c r="H324" s="21"/>
      <c r="I324" s="5"/>
      <c r="J324" s="5"/>
      <c r="K324" s="5"/>
      <c r="L324" s="5"/>
      <c r="M324" s="5"/>
      <c r="N324" s="5"/>
      <c r="O324" s="5"/>
      <c r="P324" s="5"/>
      <c r="Q324" s="52"/>
      <c r="R324" s="52"/>
      <c r="S324" s="52"/>
      <c r="T324" s="5"/>
      <c r="V324" s="52" t="s">
        <v>914</v>
      </c>
      <c r="W324" s="52" t="s">
        <v>914</v>
      </c>
      <c r="X324" s="52" t="s">
        <v>914</v>
      </c>
      <c r="Y324" s="52" t="s">
        <v>914</v>
      </c>
      <c r="Z324" s="53" t="s">
        <v>914</v>
      </c>
      <c r="AC324" s="53" t="s">
        <v>914</v>
      </c>
      <c r="AD324" s="52" t="s">
        <v>914</v>
      </c>
      <c r="AE324" s="53" t="s">
        <v>914</v>
      </c>
      <c r="AF324" s="53" t="s">
        <v>914</v>
      </c>
      <c r="AG324" s="5"/>
      <c r="AH324" s="5"/>
      <c r="AI324" s="5"/>
      <c r="AJ324" s="5"/>
      <c r="AK324" s="53" t="s">
        <v>914</v>
      </c>
      <c r="AL324" s="53" t="s">
        <v>914</v>
      </c>
      <c r="AM324" s="22">
        <f t="shared" si="14"/>
        <v>11</v>
      </c>
      <c r="XEW324" s="19"/>
      <c r="XEX324" s="19"/>
      <c r="XEY324" s="20"/>
      <c r="XEZ324" s="20"/>
      <c r="XFA324" s="20"/>
      <c r="XFB324" s="19"/>
      <c r="XFC324" s="21"/>
      <c r="XFD324" s="21"/>
    </row>
    <row r="325" spans="1:39 16363:16384" ht="15.75" x14ac:dyDescent="0.25">
      <c r="A325" s="19" t="s">
        <v>55</v>
      </c>
      <c r="B325" s="19" t="s">
        <v>958</v>
      </c>
      <c r="C325" s="20" t="s">
        <v>965</v>
      </c>
      <c r="D325" s="20" t="s">
        <v>21</v>
      </c>
      <c r="E325" s="20" t="s">
        <v>21</v>
      </c>
      <c r="F325" s="19" t="s">
        <v>58</v>
      </c>
      <c r="G325" s="21"/>
      <c r="H325" s="21"/>
      <c r="I325" s="5"/>
      <c r="J325" s="5"/>
      <c r="K325" s="5"/>
      <c r="L325" s="5"/>
      <c r="M325" s="5"/>
      <c r="N325" s="5"/>
      <c r="O325" s="5"/>
      <c r="P325" s="5"/>
      <c r="Q325" s="52"/>
      <c r="R325" s="52"/>
      <c r="S325" s="52"/>
      <c r="T325" s="5"/>
      <c r="V325" s="52"/>
      <c r="W325" s="52" t="s">
        <v>914</v>
      </c>
      <c r="X325" s="52" t="s">
        <v>914</v>
      </c>
      <c r="Y325" s="52" t="s">
        <v>914</v>
      </c>
      <c r="Z325" s="53" t="s">
        <v>914</v>
      </c>
      <c r="AC325" s="53" t="s">
        <v>914</v>
      </c>
      <c r="AD325" s="52" t="s">
        <v>914</v>
      </c>
      <c r="AE325" s="53" t="s">
        <v>914</v>
      </c>
      <c r="AF325" s="53" t="s">
        <v>914</v>
      </c>
      <c r="AG325" s="52"/>
      <c r="AH325" s="5"/>
      <c r="AI325" s="5"/>
      <c r="AJ325" s="53" t="s">
        <v>914</v>
      </c>
      <c r="AK325" s="53" t="s">
        <v>914</v>
      </c>
      <c r="AL325" s="53" t="s">
        <v>914</v>
      </c>
      <c r="AM325" s="22">
        <f t="shared" si="14"/>
        <v>11</v>
      </c>
      <c r="XEW325" s="19"/>
      <c r="XEX325" s="19"/>
      <c r="XEY325" s="20"/>
      <c r="XEZ325" s="20"/>
      <c r="XFA325" s="20"/>
      <c r="XFB325" s="19"/>
      <c r="XFC325" s="21"/>
      <c r="XFD325" s="21"/>
    </row>
    <row r="326" spans="1:39 16363:16384" ht="15.75" x14ac:dyDescent="0.25">
      <c r="A326" s="19" t="s">
        <v>55</v>
      </c>
      <c r="B326" s="19" t="s">
        <v>959</v>
      </c>
      <c r="C326" s="20" t="s">
        <v>966</v>
      </c>
      <c r="D326" s="20" t="s">
        <v>21</v>
      </c>
      <c r="E326" s="20" t="s">
        <v>21</v>
      </c>
      <c r="F326" s="19" t="s">
        <v>58</v>
      </c>
      <c r="G326" s="21"/>
      <c r="H326" s="21"/>
      <c r="I326" s="5"/>
      <c r="J326" s="5"/>
      <c r="K326" s="5"/>
      <c r="L326" s="5"/>
      <c r="M326" s="5"/>
      <c r="N326" s="5"/>
      <c r="O326" s="5"/>
      <c r="P326" s="5"/>
      <c r="Q326" s="52"/>
      <c r="R326" s="52"/>
      <c r="S326" s="52"/>
      <c r="T326" s="5"/>
      <c r="V326" s="52"/>
      <c r="W326" s="52" t="s">
        <v>914</v>
      </c>
      <c r="X326" s="52" t="s">
        <v>914</v>
      </c>
      <c r="Y326" s="52" t="s">
        <v>914</v>
      </c>
      <c r="Z326" s="53" t="s">
        <v>914</v>
      </c>
      <c r="AC326" s="53" t="s">
        <v>914</v>
      </c>
      <c r="AD326" s="52" t="s">
        <v>914</v>
      </c>
      <c r="AE326" s="53" t="s">
        <v>914</v>
      </c>
      <c r="AF326" s="53" t="s">
        <v>914</v>
      </c>
      <c r="AG326" s="52"/>
      <c r="AH326" s="5"/>
      <c r="AI326" s="5"/>
      <c r="AJ326" s="53" t="s">
        <v>914</v>
      </c>
      <c r="AK326" s="5"/>
      <c r="AL326" s="53" t="s">
        <v>914</v>
      </c>
      <c r="AM326" s="22">
        <f t="shared" si="14"/>
        <v>10</v>
      </c>
      <c r="XEW326" s="19"/>
      <c r="XEX326" s="19"/>
      <c r="XEY326" s="20"/>
      <c r="XEZ326" s="20"/>
      <c r="XFA326" s="20"/>
      <c r="XFB326" s="19"/>
      <c r="XFC326" s="21"/>
      <c r="XFD326" s="21"/>
    </row>
    <row r="327" spans="1:39 16363:16384" ht="15.75" x14ac:dyDescent="0.25">
      <c r="A327" s="19" t="s">
        <v>55</v>
      </c>
      <c r="B327" s="19" t="s">
        <v>960</v>
      </c>
      <c r="C327" s="20" t="s">
        <v>967</v>
      </c>
      <c r="D327" s="20" t="s">
        <v>21</v>
      </c>
      <c r="E327" s="20" t="s">
        <v>21</v>
      </c>
      <c r="F327" s="19" t="s">
        <v>58</v>
      </c>
      <c r="G327" s="21"/>
      <c r="H327" s="21"/>
      <c r="I327" s="5"/>
      <c r="J327" s="5"/>
      <c r="K327" s="5"/>
      <c r="L327" s="5"/>
      <c r="M327" s="5"/>
      <c r="N327" s="5"/>
      <c r="O327" s="5"/>
      <c r="P327" s="5"/>
      <c r="Q327" s="52"/>
      <c r="R327" s="52"/>
      <c r="S327" s="52"/>
      <c r="T327" s="5"/>
      <c r="V327" s="52"/>
      <c r="W327" s="52" t="s">
        <v>914</v>
      </c>
      <c r="X327" s="52" t="s">
        <v>914</v>
      </c>
      <c r="Y327" s="52" t="s">
        <v>914</v>
      </c>
      <c r="Z327" s="53" t="s">
        <v>914</v>
      </c>
      <c r="AC327" s="53" t="s">
        <v>914</v>
      </c>
      <c r="AD327" s="52" t="s">
        <v>914</v>
      </c>
      <c r="AE327" s="53" t="s">
        <v>914</v>
      </c>
      <c r="AF327" s="53" t="s">
        <v>914</v>
      </c>
      <c r="AG327" s="52" t="s">
        <v>914</v>
      </c>
      <c r="AH327" s="5"/>
      <c r="AI327" s="5"/>
      <c r="AJ327" s="53" t="s">
        <v>914</v>
      </c>
      <c r="AK327" s="53" t="s">
        <v>914</v>
      </c>
      <c r="AL327" s="53" t="s">
        <v>914</v>
      </c>
      <c r="AM327" s="22">
        <f t="shared" si="14"/>
        <v>12</v>
      </c>
      <c r="XEW327" s="19"/>
      <c r="XEX327" s="19"/>
      <c r="XEY327" s="20"/>
      <c r="XEZ327" s="20"/>
      <c r="XFA327" s="20"/>
      <c r="XFB327" s="19"/>
      <c r="XFC327" s="21"/>
      <c r="XFD327" s="21"/>
    </row>
    <row r="328" spans="1:39 16363:16384" ht="15.75" x14ac:dyDescent="0.25">
      <c r="A328" s="19" t="s">
        <v>55</v>
      </c>
      <c r="B328" s="19" t="s">
        <v>961</v>
      </c>
      <c r="C328" s="20" t="s">
        <v>968</v>
      </c>
      <c r="D328" s="20" t="s">
        <v>21</v>
      </c>
      <c r="E328" s="20" t="s">
        <v>21</v>
      </c>
      <c r="F328" s="19" t="s">
        <v>58</v>
      </c>
      <c r="G328" s="21"/>
      <c r="H328" s="21"/>
      <c r="I328" s="5"/>
      <c r="J328" s="5"/>
      <c r="K328" s="5"/>
      <c r="L328" s="5"/>
      <c r="M328" s="5"/>
      <c r="N328" s="5"/>
      <c r="O328" s="5"/>
      <c r="P328" s="5"/>
      <c r="Q328" s="52"/>
      <c r="R328" s="52"/>
      <c r="S328" s="52"/>
      <c r="T328" s="5"/>
      <c r="V328" s="52"/>
      <c r="W328" s="52" t="s">
        <v>914</v>
      </c>
      <c r="X328" s="52" t="s">
        <v>914</v>
      </c>
      <c r="Y328" s="52" t="s">
        <v>914</v>
      </c>
      <c r="Z328" s="53" t="s">
        <v>914</v>
      </c>
      <c r="AE328" s="22"/>
      <c r="AF328" s="5"/>
      <c r="AG328" s="5"/>
      <c r="AH328" s="5"/>
      <c r="AI328" s="5"/>
      <c r="AJ328" s="5"/>
      <c r="AK328" s="5"/>
      <c r="AL328" s="5"/>
      <c r="AM328" s="22">
        <f t="shared" si="14"/>
        <v>4</v>
      </c>
      <c r="XEW328" s="19"/>
      <c r="XEX328" s="19"/>
      <c r="XEY328" s="20"/>
      <c r="XEZ328" s="20"/>
      <c r="XFA328" s="20"/>
      <c r="XFB328" s="19"/>
      <c r="XFC328" s="21"/>
      <c r="XFD328" s="21"/>
    </row>
    <row r="329" spans="1:39 16363:16384" ht="15.75" x14ac:dyDescent="0.25">
      <c r="A329" s="19" t="s">
        <v>55</v>
      </c>
      <c r="B329" s="19" t="s">
        <v>525</v>
      </c>
      <c r="C329" s="20" t="s">
        <v>526</v>
      </c>
      <c r="D329" s="20" t="s">
        <v>28</v>
      </c>
      <c r="E329" s="20" t="s">
        <v>28</v>
      </c>
      <c r="F329" s="19" t="s">
        <v>58</v>
      </c>
      <c r="G329" s="21"/>
      <c r="H329" s="21"/>
      <c r="I329" s="52"/>
      <c r="L329" s="5"/>
      <c r="Q329" s="22"/>
      <c r="R329" s="5"/>
      <c r="S329" s="5"/>
      <c r="T329" s="5"/>
      <c r="U329" s="5"/>
      <c r="V329" s="5"/>
      <c r="W329" s="52" t="s">
        <v>914</v>
      </c>
      <c r="X329" s="52" t="s">
        <v>914</v>
      </c>
      <c r="Y329" s="22"/>
      <c r="Z329" s="5"/>
      <c r="AA329" s="5"/>
      <c r="AB329" s="5"/>
      <c r="AC329" s="53" t="s">
        <v>914</v>
      </c>
      <c r="AD329" s="52" t="s">
        <v>914</v>
      </c>
      <c r="AE329" s="5"/>
      <c r="AF329" s="5"/>
      <c r="AG329" s="5"/>
      <c r="AH329" s="5"/>
      <c r="AI329" s="5"/>
      <c r="AJ329" s="5"/>
      <c r="AK329" s="53" t="s">
        <v>914</v>
      </c>
      <c r="AL329" s="53" t="s">
        <v>914</v>
      </c>
      <c r="AM329" s="22">
        <f t="shared" si="14"/>
        <v>6</v>
      </c>
      <c r="XEI329" s="19"/>
      <c r="XEJ329" s="19"/>
      <c r="XEK329" s="20"/>
      <c r="XEL329" s="20"/>
      <c r="XEM329" s="20"/>
      <c r="XEN329" s="19"/>
      <c r="XEO329" s="21"/>
      <c r="XEP329" s="21"/>
      <c r="XEQ329" s="19"/>
      <c r="XER329" s="19"/>
      <c r="XES329" s="20"/>
      <c r="XET329" s="20"/>
      <c r="XEU329" s="20"/>
      <c r="XEV329" s="19"/>
      <c r="XEW329" s="21"/>
      <c r="XEX329" s="21"/>
    </row>
    <row r="330" spans="1:39 16363:16384" ht="15.75" x14ac:dyDescent="0.25">
      <c r="A330" s="19" t="s">
        <v>55</v>
      </c>
      <c r="B330" s="19" t="s">
        <v>923</v>
      </c>
      <c r="C330" s="20" t="s">
        <v>111</v>
      </c>
      <c r="D330" s="20" t="s">
        <v>28</v>
      </c>
      <c r="E330" s="20" t="s">
        <v>28</v>
      </c>
      <c r="F330" s="19" t="s">
        <v>58</v>
      </c>
      <c r="G330" s="21"/>
      <c r="H330" s="21"/>
      <c r="W330" s="52" t="s">
        <v>914</v>
      </c>
      <c r="X330" s="52" t="s">
        <v>914</v>
      </c>
      <c r="AC330" s="53" t="s">
        <v>914</v>
      </c>
      <c r="AD330" s="52" t="s">
        <v>914</v>
      </c>
      <c r="AF330" s="53" t="s">
        <v>914</v>
      </c>
      <c r="AH330" s="5"/>
      <c r="AJ330" s="53" t="s">
        <v>914</v>
      </c>
      <c r="AK330" s="53" t="s">
        <v>914</v>
      </c>
      <c r="AL330" s="53" t="s">
        <v>914</v>
      </c>
      <c r="AM330" s="22">
        <f t="shared" si="14"/>
        <v>8</v>
      </c>
    </row>
    <row r="331" spans="1:39 16363:16384" ht="15.75" x14ac:dyDescent="0.25">
      <c r="A331" s="19" t="s">
        <v>55</v>
      </c>
      <c r="B331" s="19" t="s">
        <v>956</v>
      </c>
      <c r="C331" s="20" t="s">
        <v>957</v>
      </c>
      <c r="D331" s="20" t="s">
        <v>14</v>
      </c>
      <c r="E331" s="20" t="s">
        <v>14</v>
      </c>
      <c r="F331" s="19" t="s">
        <v>58</v>
      </c>
      <c r="G331" s="21"/>
      <c r="H331" s="21"/>
      <c r="AA331" s="53" t="s">
        <v>914</v>
      </c>
      <c r="AH331" s="5"/>
      <c r="AM331" s="22">
        <f t="shared" si="14"/>
        <v>1</v>
      </c>
    </row>
    <row r="332" spans="1:39 16363:16384" ht="15.75" x14ac:dyDescent="0.25">
      <c r="A332" s="19" t="s">
        <v>55</v>
      </c>
      <c r="B332" s="19" t="s">
        <v>671</v>
      </c>
      <c r="C332" s="20" t="s">
        <v>672</v>
      </c>
      <c r="D332" s="20" t="s">
        <v>11</v>
      </c>
      <c r="E332" s="20" t="s">
        <v>11</v>
      </c>
      <c r="F332" s="19" t="s">
        <v>58</v>
      </c>
      <c r="G332" s="21"/>
      <c r="H332" s="21"/>
      <c r="W332" s="52" t="s">
        <v>914</v>
      </c>
      <c r="X332" s="52" t="s">
        <v>914</v>
      </c>
      <c r="Y332" s="52" t="s">
        <v>914</v>
      </c>
      <c r="AC332" s="53" t="s">
        <v>914</v>
      </c>
      <c r="AD332" s="52" t="s">
        <v>914</v>
      </c>
      <c r="AE332" s="53" t="s">
        <v>914</v>
      </c>
      <c r="AF332" s="53" t="s">
        <v>914</v>
      </c>
      <c r="AH332" s="5"/>
      <c r="AJ332" s="53" t="s">
        <v>914</v>
      </c>
      <c r="AM332" s="22">
        <f t="shared" si="14"/>
        <v>8</v>
      </c>
    </row>
    <row r="333" spans="1:39 16363:16384" ht="15.75" x14ac:dyDescent="0.25">
      <c r="A333" s="19" t="s">
        <v>55</v>
      </c>
      <c r="B333" s="19" t="s">
        <v>845</v>
      </c>
      <c r="C333" s="20" t="s">
        <v>846</v>
      </c>
      <c r="D333" s="20" t="s">
        <v>11</v>
      </c>
      <c r="E333" s="20" t="s">
        <v>11</v>
      </c>
      <c r="F333" s="19" t="s">
        <v>58</v>
      </c>
      <c r="G333" s="21"/>
      <c r="H333" s="21"/>
      <c r="W333" s="52" t="s">
        <v>914</v>
      </c>
      <c r="X333" s="52" t="s">
        <v>914</v>
      </c>
      <c r="Y333" s="52" t="s">
        <v>914</v>
      </c>
      <c r="AC333" s="53" t="s">
        <v>914</v>
      </c>
      <c r="AD333" s="52" t="s">
        <v>914</v>
      </c>
      <c r="AE333" s="53" t="s">
        <v>914</v>
      </c>
      <c r="AF333" s="53" t="s">
        <v>914</v>
      </c>
      <c r="AH333" s="5"/>
      <c r="AJ333" s="53" t="s">
        <v>914</v>
      </c>
      <c r="AK333" s="53" t="s">
        <v>914</v>
      </c>
      <c r="AM333" s="22">
        <f t="shared" si="14"/>
        <v>9</v>
      </c>
    </row>
    <row r="334" spans="1:39 16363:16384" ht="15.75" x14ac:dyDescent="0.25">
      <c r="A334" s="19" t="s">
        <v>55</v>
      </c>
      <c r="B334" s="19" t="s">
        <v>862</v>
      </c>
      <c r="C334" s="20" t="s">
        <v>863</v>
      </c>
      <c r="D334" s="20" t="s">
        <v>11</v>
      </c>
      <c r="E334" s="20" t="s">
        <v>11</v>
      </c>
      <c r="F334" s="19" t="s">
        <v>58</v>
      </c>
      <c r="G334" s="21"/>
      <c r="H334" s="21"/>
      <c r="W334" s="52" t="s">
        <v>914</v>
      </c>
      <c r="X334" s="52" t="s">
        <v>914</v>
      </c>
      <c r="Y334" s="52" t="s">
        <v>914</v>
      </c>
      <c r="AC334" s="53" t="s">
        <v>914</v>
      </c>
      <c r="AD334" s="52" t="s">
        <v>914</v>
      </c>
      <c r="AE334" s="53" t="s">
        <v>914</v>
      </c>
      <c r="AF334" s="53" t="s">
        <v>914</v>
      </c>
      <c r="AH334" s="5"/>
      <c r="AJ334" s="53" t="s">
        <v>914</v>
      </c>
      <c r="AK334" s="53" t="s">
        <v>914</v>
      </c>
      <c r="AM334" s="22">
        <f t="shared" si="14"/>
        <v>9</v>
      </c>
    </row>
    <row r="335" spans="1:39 16363:16384" ht="15.75" x14ac:dyDescent="0.25">
      <c r="A335" s="19" t="s">
        <v>55</v>
      </c>
      <c r="B335" s="19" t="s">
        <v>924</v>
      </c>
      <c r="C335" s="20" t="s">
        <v>117</v>
      </c>
      <c r="D335" s="20" t="s">
        <v>11</v>
      </c>
      <c r="E335" s="20" t="s">
        <v>11</v>
      </c>
      <c r="F335" s="19" t="s">
        <v>58</v>
      </c>
      <c r="G335" s="21"/>
      <c r="H335" s="21"/>
      <c r="W335" s="52" t="s">
        <v>914</v>
      </c>
      <c r="X335" s="52" t="s">
        <v>914</v>
      </c>
      <c r="Y335" s="52" t="s">
        <v>914</v>
      </c>
      <c r="AC335" s="53" t="s">
        <v>914</v>
      </c>
      <c r="AD335" s="52" t="s">
        <v>914</v>
      </c>
      <c r="AE335" s="53" t="s">
        <v>914</v>
      </c>
      <c r="AF335" s="53" t="s">
        <v>914</v>
      </c>
      <c r="AH335" s="5"/>
      <c r="AJ335" s="53" t="s">
        <v>914</v>
      </c>
      <c r="AK335" s="53" t="s">
        <v>914</v>
      </c>
      <c r="AM335" s="22">
        <f t="shared" si="14"/>
        <v>9</v>
      </c>
    </row>
    <row r="336" spans="1:39 16363:16384" ht="15.75" x14ac:dyDescent="0.25">
      <c r="A336" s="19" t="s">
        <v>55</v>
      </c>
      <c r="B336" s="19" t="s">
        <v>925</v>
      </c>
      <c r="C336" s="20" t="s">
        <v>119</v>
      </c>
      <c r="D336" s="20" t="s">
        <v>11</v>
      </c>
      <c r="E336" s="20" t="s">
        <v>11</v>
      </c>
      <c r="F336" s="19" t="s">
        <v>58</v>
      </c>
      <c r="G336" s="21"/>
      <c r="H336" s="21"/>
      <c r="W336" s="52" t="s">
        <v>914</v>
      </c>
      <c r="X336" s="52" t="s">
        <v>914</v>
      </c>
      <c r="Y336" s="52" t="s">
        <v>914</v>
      </c>
      <c r="AC336" s="53" t="s">
        <v>914</v>
      </c>
      <c r="AD336" s="52" t="s">
        <v>914</v>
      </c>
      <c r="AE336" s="53" t="s">
        <v>914</v>
      </c>
      <c r="AF336" s="53" t="s">
        <v>914</v>
      </c>
      <c r="AH336" s="5"/>
      <c r="AJ336" s="53" t="s">
        <v>914</v>
      </c>
      <c r="AK336" s="53" t="s">
        <v>914</v>
      </c>
      <c r="AM336" s="22">
        <f t="shared" ref="AM336:AM354" si="15">COUNTA(I336:AL336)</f>
        <v>9</v>
      </c>
    </row>
    <row r="337" spans="1:39 16369:16378" ht="15.75" x14ac:dyDescent="0.25">
      <c r="A337" s="19" t="s">
        <v>55</v>
      </c>
      <c r="B337" s="19" t="s">
        <v>939</v>
      </c>
      <c r="C337" s="20" t="s">
        <v>93</v>
      </c>
      <c r="D337" s="20" t="s">
        <v>11</v>
      </c>
      <c r="E337" s="20" t="s">
        <v>11</v>
      </c>
      <c r="F337" s="19" t="s">
        <v>58</v>
      </c>
      <c r="G337" s="21"/>
      <c r="H337" s="21"/>
      <c r="W337" s="52" t="s">
        <v>914</v>
      </c>
      <c r="X337" s="52" t="s">
        <v>914</v>
      </c>
      <c r="Y337" s="52" t="s">
        <v>914</v>
      </c>
      <c r="AC337" s="53" t="s">
        <v>914</v>
      </c>
      <c r="AD337" s="52" t="s">
        <v>914</v>
      </c>
      <c r="AE337" s="53" t="s">
        <v>914</v>
      </c>
      <c r="AF337" s="53" t="s">
        <v>914</v>
      </c>
      <c r="AH337" s="5"/>
      <c r="AJ337" s="53" t="s">
        <v>914</v>
      </c>
      <c r="AK337" s="53" t="s">
        <v>914</v>
      </c>
      <c r="AM337" s="22">
        <f t="shared" si="15"/>
        <v>9</v>
      </c>
    </row>
    <row r="338" spans="1:39 16369:16378" ht="15.75" x14ac:dyDescent="0.25">
      <c r="A338" s="19" t="s">
        <v>55</v>
      </c>
      <c r="B338" s="19" t="s">
        <v>926</v>
      </c>
      <c r="C338" s="20" t="s">
        <v>95</v>
      </c>
      <c r="D338" s="20" t="s">
        <v>11</v>
      </c>
      <c r="E338" s="20" t="s">
        <v>11</v>
      </c>
      <c r="F338" s="19" t="s">
        <v>58</v>
      </c>
      <c r="G338" s="21"/>
      <c r="H338" s="21"/>
      <c r="W338" s="52" t="s">
        <v>914</v>
      </c>
      <c r="X338" s="52" t="s">
        <v>914</v>
      </c>
      <c r="Y338" s="52" t="s">
        <v>914</v>
      </c>
      <c r="AC338" s="53" t="s">
        <v>914</v>
      </c>
      <c r="AD338" s="52" t="s">
        <v>914</v>
      </c>
      <c r="AE338" s="53" t="s">
        <v>914</v>
      </c>
      <c r="AF338" s="53" t="s">
        <v>914</v>
      </c>
      <c r="AH338" s="5"/>
      <c r="AJ338" s="53" t="s">
        <v>914</v>
      </c>
      <c r="AM338" s="22">
        <f t="shared" si="15"/>
        <v>8</v>
      </c>
    </row>
    <row r="339" spans="1:39 16369:16378" ht="15.75" x14ac:dyDescent="0.25">
      <c r="A339" s="19" t="s">
        <v>55</v>
      </c>
      <c r="B339" s="19" t="s">
        <v>927</v>
      </c>
      <c r="C339" s="20" t="s">
        <v>97</v>
      </c>
      <c r="D339" s="20" t="s">
        <v>11</v>
      </c>
      <c r="E339" s="20" t="s">
        <v>11</v>
      </c>
      <c r="F339" s="19" t="s">
        <v>58</v>
      </c>
      <c r="G339" s="21"/>
      <c r="H339" s="21"/>
      <c r="W339" s="52" t="s">
        <v>914</v>
      </c>
      <c r="X339" s="52" t="s">
        <v>914</v>
      </c>
      <c r="Y339" s="52" t="s">
        <v>914</v>
      </c>
      <c r="AC339" s="53" t="s">
        <v>914</v>
      </c>
      <c r="AD339" s="52" t="s">
        <v>914</v>
      </c>
      <c r="AE339" s="53" t="s">
        <v>914</v>
      </c>
      <c r="AF339" s="53" t="s">
        <v>914</v>
      </c>
      <c r="AH339" s="5"/>
      <c r="AJ339" s="53" t="s">
        <v>914</v>
      </c>
      <c r="AK339" s="53" t="s">
        <v>914</v>
      </c>
      <c r="AM339" s="22">
        <f t="shared" si="15"/>
        <v>9</v>
      </c>
    </row>
    <row r="340" spans="1:39 16369:16378" ht="15.75" x14ac:dyDescent="0.25">
      <c r="A340" s="19" t="s">
        <v>55</v>
      </c>
      <c r="B340" s="19" t="s">
        <v>791</v>
      </c>
      <c r="C340" s="23" t="s">
        <v>792</v>
      </c>
      <c r="D340" s="20" t="s">
        <v>8</v>
      </c>
      <c r="E340" s="20" t="s">
        <v>8</v>
      </c>
      <c r="F340" s="19" t="s">
        <v>58</v>
      </c>
      <c r="G340" s="21"/>
      <c r="H340" s="21"/>
      <c r="W340" s="52" t="s">
        <v>914</v>
      </c>
      <c r="AH340" s="5"/>
      <c r="AM340" s="22">
        <f t="shared" si="15"/>
        <v>1</v>
      </c>
    </row>
    <row r="341" spans="1:39 16369:16378" ht="15.75" x14ac:dyDescent="0.25">
      <c r="A341" s="19" t="s">
        <v>55</v>
      </c>
      <c r="B341" s="19" t="s">
        <v>919</v>
      </c>
      <c r="C341" s="23" t="s">
        <v>991</v>
      </c>
      <c r="D341" s="20" t="s">
        <v>10</v>
      </c>
      <c r="E341" s="20" t="s">
        <v>10</v>
      </c>
      <c r="F341" s="19" t="s">
        <v>58</v>
      </c>
      <c r="G341" s="21"/>
      <c r="H341" s="21"/>
      <c r="I341" s="52"/>
      <c r="T341" s="5"/>
      <c r="W341" s="52" t="s">
        <v>914</v>
      </c>
      <c r="X341" s="52" t="s">
        <v>914</v>
      </c>
      <c r="Y341" s="22"/>
      <c r="Z341" s="5"/>
      <c r="AA341" s="5"/>
      <c r="AB341" s="5"/>
      <c r="AC341" s="52" t="s">
        <v>914</v>
      </c>
      <c r="AD341" s="5"/>
      <c r="AE341" s="5"/>
      <c r="AF341" s="5"/>
      <c r="AG341" s="5"/>
      <c r="AH341" s="5"/>
      <c r="AI341" s="5"/>
      <c r="AJ341" s="53" t="s">
        <v>914</v>
      </c>
      <c r="AK341" s="53" t="s">
        <v>914</v>
      </c>
      <c r="AL341" s="53" t="s">
        <v>914</v>
      </c>
      <c r="AM341" s="22">
        <f t="shared" si="15"/>
        <v>6</v>
      </c>
      <c r="XEQ341" s="19"/>
      <c r="XER341" s="19"/>
      <c r="XES341" s="23"/>
      <c r="XET341" s="20"/>
      <c r="XEU341" s="20"/>
      <c r="XEV341" s="19"/>
      <c r="XEW341" s="21"/>
      <c r="XEX341" s="21"/>
    </row>
    <row r="342" spans="1:39 16369:16378" ht="15.75" x14ac:dyDescent="0.25">
      <c r="A342" s="19" t="s">
        <v>55</v>
      </c>
      <c r="B342" s="19" t="s">
        <v>252</v>
      </c>
      <c r="C342" s="23" t="s">
        <v>253</v>
      </c>
      <c r="D342" s="20" t="s">
        <v>5</v>
      </c>
      <c r="E342" s="20" t="s">
        <v>7</v>
      </c>
      <c r="F342" s="19" t="s">
        <v>63</v>
      </c>
      <c r="G342" s="21"/>
      <c r="H342" s="21"/>
      <c r="X342" s="53" t="s">
        <v>914</v>
      </c>
      <c r="Y342" s="53" t="s">
        <v>914</v>
      </c>
      <c r="AD342" s="53" t="s">
        <v>914</v>
      </c>
      <c r="AH342" s="5"/>
      <c r="AM342" s="22">
        <f t="shared" si="15"/>
        <v>3</v>
      </c>
    </row>
    <row r="343" spans="1:39 16369:16378" ht="15.75" x14ac:dyDescent="0.25">
      <c r="A343" s="19" t="s">
        <v>55</v>
      </c>
      <c r="B343" s="19" t="s">
        <v>941</v>
      </c>
      <c r="C343" s="23" t="s">
        <v>983</v>
      </c>
      <c r="D343" s="20" t="s">
        <v>28</v>
      </c>
      <c r="E343" s="20" t="s">
        <v>28</v>
      </c>
      <c r="F343" s="19" t="s">
        <v>58</v>
      </c>
      <c r="G343" s="21"/>
      <c r="H343" s="21"/>
      <c r="X343" s="53"/>
      <c r="Y343" s="52" t="s">
        <v>914</v>
      </c>
      <c r="Z343" s="53" t="s">
        <v>914</v>
      </c>
      <c r="AC343" s="53" t="s">
        <v>914</v>
      </c>
      <c r="AD343" s="52" t="s">
        <v>914</v>
      </c>
      <c r="AH343" s="5"/>
      <c r="AJ343" s="53" t="s">
        <v>914</v>
      </c>
      <c r="AK343" s="53" t="s">
        <v>914</v>
      </c>
      <c r="AM343" s="22">
        <f t="shared" si="15"/>
        <v>6</v>
      </c>
    </row>
    <row r="344" spans="1:39 16369:16378" ht="15.75" x14ac:dyDescent="0.25">
      <c r="A344" s="19" t="s">
        <v>55</v>
      </c>
      <c r="B344" s="19" t="s">
        <v>816</v>
      </c>
      <c r="C344" s="23" t="s">
        <v>817</v>
      </c>
      <c r="D344" s="20" t="s">
        <v>28</v>
      </c>
      <c r="E344" s="20" t="s">
        <v>28</v>
      </c>
      <c r="F344" s="19" t="s">
        <v>58</v>
      </c>
      <c r="G344" s="21"/>
      <c r="H344" s="21"/>
      <c r="X344" s="53"/>
      <c r="Y344" s="52" t="s">
        <v>914</v>
      </c>
      <c r="AD344" s="52" t="s">
        <v>914</v>
      </c>
      <c r="AH344" s="5"/>
      <c r="AL344" s="53" t="s">
        <v>914</v>
      </c>
      <c r="AM344" s="22">
        <f t="shared" si="15"/>
        <v>3</v>
      </c>
    </row>
    <row r="345" spans="1:39 16369:16378" ht="15.75" x14ac:dyDescent="0.25">
      <c r="A345" s="19" t="s">
        <v>55</v>
      </c>
      <c r="B345" s="19" t="s">
        <v>973</v>
      </c>
      <c r="C345" s="23" t="s">
        <v>978</v>
      </c>
      <c r="D345" s="20" t="s">
        <v>22</v>
      </c>
      <c r="E345" s="20" t="s">
        <v>22</v>
      </c>
      <c r="F345" s="19" t="s">
        <v>58</v>
      </c>
      <c r="G345" s="21"/>
      <c r="H345" s="21"/>
      <c r="X345" s="53"/>
      <c r="Y345" s="52" t="s">
        <v>914</v>
      </c>
      <c r="Z345" s="53" t="s">
        <v>914</v>
      </c>
      <c r="AC345" s="53" t="s">
        <v>914</v>
      </c>
      <c r="AD345" s="52" t="s">
        <v>914</v>
      </c>
      <c r="AE345" s="53" t="s">
        <v>914</v>
      </c>
      <c r="AF345" s="53" t="s">
        <v>914</v>
      </c>
      <c r="AH345" s="5"/>
      <c r="AJ345" s="53" t="s">
        <v>914</v>
      </c>
      <c r="AK345" s="53" t="s">
        <v>914</v>
      </c>
      <c r="AM345" s="22">
        <f t="shared" si="15"/>
        <v>8</v>
      </c>
    </row>
    <row r="346" spans="1:39 16369:16378" ht="15.75" x14ac:dyDescent="0.25">
      <c r="A346" s="19" t="s">
        <v>55</v>
      </c>
      <c r="B346" s="19" t="s">
        <v>971</v>
      </c>
      <c r="C346" s="23" t="s">
        <v>976</v>
      </c>
      <c r="D346" s="20" t="s">
        <v>21</v>
      </c>
      <c r="E346" s="20" t="s">
        <v>21</v>
      </c>
      <c r="F346" s="19" t="s">
        <v>58</v>
      </c>
      <c r="G346" s="21"/>
      <c r="H346" s="21"/>
      <c r="I346" s="52"/>
      <c r="R346" s="5"/>
      <c r="W346" s="22"/>
      <c r="X346" s="5"/>
      <c r="Y346" s="52" t="s">
        <v>914</v>
      </c>
      <c r="Z346" s="53" t="s">
        <v>914</v>
      </c>
      <c r="AA346" s="5"/>
      <c r="AB346" s="5"/>
      <c r="AC346" s="53" t="s">
        <v>914</v>
      </c>
      <c r="AD346" s="52" t="s">
        <v>914</v>
      </c>
      <c r="AE346" s="53" t="s">
        <v>914</v>
      </c>
      <c r="AF346" s="5"/>
      <c r="AG346" s="52" t="s">
        <v>914</v>
      </c>
      <c r="AH346" s="5"/>
      <c r="AI346" s="5"/>
      <c r="AJ346" s="53" t="s">
        <v>914</v>
      </c>
      <c r="AK346" s="53" t="s">
        <v>914</v>
      </c>
      <c r="AL346" s="53" t="s">
        <v>914</v>
      </c>
      <c r="AM346" s="22">
        <f t="shared" si="15"/>
        <v>9</v>
      </c>
      <c r="XEO346" s="19"/>
      <c r="XEP346" s="19"/>
      <c r="XEQ346" s="23"/>
      <c r="XER346" s="20"/>
      <c r="XES346" s="20"/>
      <c r="XET346" s="19"/>
      <c r="XEU346" s="21"/>
      <c r="XEV346" s="21"/>
    </row>
    <row r="347" spans="1:39 16369:16378" ht="15.75" x14ac:dyDescent="0.25">
      <c r="A347" s="19" t="s">
        <v>55</v>
      </c>
      <c r="B347" s="19" t="s">
        <v>972</v>
      </c>
      <c r="C347" s="23" t="s">
        <v>984</v>
      </c>
      <c r="D347" s="20" t="s">
        <v>21</v>
      </c>
      <c r="E347" s="20" t="s">
        <v>21</v>
      </c>
      <c r="F347" s="19" t="s">
        <v>58</v>
      </c>
      <c r="G347" s="21"/>
      <c r="H347" s="21"/>
      <c r="Y347" s="52" t="s">
        <v>914</v>
      </c>
      <c r="Z347" s="53" t="s">
        <v>914</v>
      </c>
      <c r="AC347" s="53" t="s">
        <v>914</v>
      </c>
      <c r="AD347" s="52" t="s">
        <v>914</v>
      </c>
      <c r="AE347" s="53" t="s">
        <v>914</v>
      </c>
      <c r="AF347" s="53" t="s">
        <v>914</v>
      </c>
      <c r="AG347" s="52" t="s">
        <v>914</v>
      </c>
      <c r="AH347" s="5"/>
      <c r="AJ347" s="53" t="s">
        <v>914</v>
      </c>
      <c r="AK347" s="53" t="s">
        <v>914</v>
      </c>
      <c r="AL347" s="53" t="s">
        <v>914</v>
      </c>
      <c r="AM347" s="22">
        <f t="shared" si="15"/>
        <v>10</v>
      </c>
    </row>
    <row r="348" spans="1:39 16369:16378" ht="15.75" x14ac:dyDescent="0.25">
      <c r="A348" s="19" t="s">
        <v>55</v>
      </c>
      <c r="B348" s="19" t="s">
        <v>545</v>
      </c>
      <c r="C348" s="23" t="s">
        <v>546</v>
      </c>
      <c r="D348" s="20" t="s">
        <v>18</v>
      </c>
      <c r="E348" s="20" t="s">
        <v>18</v>
      </c>
      <c r="F348" s="19" t="s">
        <v>58</v>
      </c>
      <c r="G348" s="21"/>
      <c r="H348" s="21"/>
      <c r="Z348" s="53" t="s">
        <v>914</v>
      </c>
      <c r="AE348" s="53" t="s">
        <v>914</v>
      </c>
      <c r="AF348" s="53" t="s">
        <v>914</v>
      </c>
      <c r="AH348" s="5"/>
      <c r="AJ348" s="53" t="s">
        <v>914</v>
      </c>
      <c r="AK348" s="53" t="s">
        <v>914</v>
      </c>
      <c r="AL348" s="53" t="s">
        <v>914</v>
      </c>
      <c r="AM348" s="22">
        <f t="shared" si="15"/>
        <v>6</v>
      </c>
    </row>
    <row r="349" spans="1:39 16369:16378" ht="15.75" x14ac:dyDescent="0.25">
      <c r="A349" s="19" t="s">
        <v>55</v>
      </c>
      <c r="B349" s="19" t="s">
        <v>909</v>
      </c>
      <c r="C349" s="23" t="s">
        <v>912</v>
      </c>
      <c r="D349" s="20" t="s">
        <v>22</v>
      </c>
      <c r="E349" s="20" t="s">
        <v>22</v>
      </c>
      <c r="F349" s="19" t="s">
        <v>58</v>
      </c>
      <c r="G349" s="21"/>
      <c r="H349" s="21"/>
      <c r="Z349" s="53" t="s">
        <v>914</v>
      </c>
      <c r="AC349" s="53" t="s">
        <v>914</v>
      </c>
      <c r="AD349" s="52" t="s">
        <v>914</v>
      </c>
      <c r="AF349" s="53" t="s">
        <v>914</v>
      </c>
      <c r="AH349" s="5"/>
      <c r="AJ349" s="53" t="s">
        <v>914</v>
      </c>
      <c r="AK349" s="53" t="s">
        <v>914</v>
      </c>
      <c r="AM349" s="22">
        <f t="shared" si="15"/>
        <v>6</v>
      </c>
    </row>
    <row r="350" spans="1:39 16369:16378" ht="15.75" x14ac:dyDescent="0.25">
      <c r="A350" s="19" t="s">
        <v>55</v>
      </c>
      <c r="B350" s="19" t="s">
        <v>358</v>
      </c>
      <c r="C350" s="23" t="s">
        <v>359</v>
      </c>
      <c r="D350" s="20" t="s">
        <v>8</v>
      </c>
      <c r="E350" s="20" t="s">
        <v>8</v>
      </c>
      <c r="F350" s="19" t="s">
        <v>58</v>
      </c>
      <c r="G350" s="21"/>
      <c r="H350" s="21"/>
      <c r="AC350" s="53" t="s">
        <v>914</v>
      </c>
      <c r="AH350" s="5"/>
      <c r="AI350" s="53"/>
      <c r="AM350" s="22">
        <f t="shared" si="15"/>
        <v>1</v>
      </c>
    </row>
    <row r="351" spans="1:39 16369:16378" ht="15.75" x14ac:dyDescent="0.25">
      <c r="A351" s="19" t="s">
        <v>55</v>
      </c>
      <c r="B351" s="19" t="s">
        <v>129</v>
      </c>
      <c r="C351" s="68" t="s">
        <v>130</v>
      </c>
      <c r="D351" s="20" t="s">
        <v>8</v>
      </c>
      <c r="E351" s="20" t="s">
        <v>8</v>
      </c>
      <c r="F351" s="19" t="s">
        <v>58</v>
      </c>
      <c r="G351" s="21"/>
      <c r="H351" s="21"/>
      <c r="AE351" s="53" t="s">
        <v>914</v>
      </c>
      <c r="AH351" s="5"/>
      <c r="AM351" s="22">
        <f t="shared" si="15"/>
        <v>1</v>
      </c>
    </row>
    <row r="352" spans="1:39 16369:16378" ht="15.75" x14ac:dyDescent="0.25">
      <c r="A352" s="19" t="s">
        <v>55</v>
      </c>
      <c r="B352" s="19" t="s">
        <v>993</v>
      </c>
      <c r="C352" s="23" t="s">
        <v>996</v>
      </c>
      <c r="D352" s="20" t="s">
        <v>21</v>
      </c>
      <c r="E352" s="20" t="s">
        <v>21</v>
      </c>
      <c r="F352" s="19" t="s">
        <v>58</v>
      </c>
      <c r="G352" s="21"/>
      <c r="H352" s="21"/>
      <c r="AF352" s="53" t="s">
        <v>914</v>
      </c>
      <c r="AG352" s="52"/>
      <c r="AH352" s="5"/>
      <c r="AJ352" s="53" t="s">
        <v>914</v>
      </c>
      <c r="AK352" s="53" t="s">
        <v>914</v>
      </c>
      <c r="AL352" s="53" t="s">
        <v>914</v>
      </c>
      <c r="AM352" s="22">
        <f t="shared" si="15"/>
        <v>4</v>
      </c>
    </row>
    <row r="353" spans="1:39" ht="15.75" x14ac:dyDescent="0.25">
      <c r="A353" s="19" t="s">
        <v>55</v>
      </c>
      <c r="B353" s="19" t="s">
        <v>320</v>
      </c>
      <c r="C353" s="23" t="s">
        <v>321</v>
      </c>
      <c r="D353" s="20" t="s">
        <v>8</v>
      </c>
      <c r="E353" s="20" t="s">
        <v>8</v>
      </c>
      <c r="F353" s="19" t="s">
        <v>58</v>
      </c>
      <c r="G353" s="21"/>
      <c r="H353" s="21"/>
      <c r="AG353" s="53" t="s">
        <v>914</v>
      </c>
      <c r="AH353" s="5"/>
      <c r="AM353" s="22">
        <f t="shared" si="15"/>
        <v>1</v>
      </c>
    </row>
    <row r="354" spans="1:39" ht="15.75" x14ac:dyDescent="0.25">
      <c r="A354" s="19" t="s">
        <v>55</v>
      </c>
      <c r="B354" s="19" t="s">
        <v>992</v>
      </c>
      <c r="C354" s="23" t="s">
        <v>995</v>
      </c>
      <c r="D354" s="20" t="s">
        <v>21</v>
      </c>
      <c r="E354" s="20" t="s">
        <v>21</v>
      </c>
      <c r="F354" s="19" t="s">
        <v>58</v>
      </c>
      <c r="G354" s="21"/>
      <c r="H354" s="21"/>
      <c r="AG354" s="52" t="s">
        <v>914</v>
      </c>
      <c r="AH354" s="5"/>
      <c r="AM354" s="22">
        <f t="shared" si="15"/>
        <v>1</v>
      </c>
    </row>
    <row r="355" spans="1:39" ht="15.75" x14ac:dyDescent="0.25">
      <c r="A355" s="24"/>
      <c r="B355" s="25"/>
      <c r="D355" s="26"/>
      <c r="E355" s="26"/>
      <c r="F355" s="24"/>
      <c r="AH355" s="5"/>
      <c r="AM355" s="22"/>
    </row>
    <row r="356" spans="1:39" ht="15.75" x14ac:dyDescent="0.25">
      <c r="A356" s="24"/>
      <c r="B356" s="25"/>
      <c r="D356" s="26"/>
      <c r="E356" s="26"/>
      <c r="F356" s="24"/>
      <c r="AH356" s="5"/>
      <c r="AM356" s="22"/>
    </row>
    <row r="357" spans="1:39" ht="15.75" x14ac:dyDescent="0.25">
      <c r="A357" s="24"/>
      <c r="B357" s="25"/>
      <c r="D357" s="26"/>
      <c r="E357" s="26"/>
      <c r="F357" s="24"/>
      <c r="AH357" s="5"/>
      <c r="AM357" s="22">
        <f t="shared" ref="AM357:AM416" si="16">COUNTA(I357:AL357)</f>
        <v>0</v>
      </c>
    </row>
    <row r="358" spans="1:39" ht="15.75" x14ac:dyDescent="0.25">
      <c r="A358" s="24"/>
      <c r="B358" s="25"/>
      <c r="D358" s="26"/>
      <c r="E358" s="26"/>
      <c r="F358" s="24"/>
      <c r="AH358" s="5"/>
      <c r="AM358" s="22">
        <f t="shared" si="16"/>
        <v>0</v>
      </c>
    </row>
    <row r="359" spans="1:39" ht="15.75" x14ac:dyDescent="0.25">
      <c r="A359" s="24"/>
      <c r="B359" s="25"/>
      <c r="D359" s="26"/>
      <c r="E359" s="26"/>
      <c r="F359" s="24">
        <v>238</v>
      </c>
      <c r="AH359" s="5"/>
      <c r="AM359" s="22">
        <f t="shared" si="16"/>
        <v>0</v>
      </c>
    </row>
    <row r="360" spans="1:39" ht="15.75" x14ac:dyDescent="0.25">
      <c r="A360" s="24"/>
      <c r="B360" s="25"/>
      <c r="D360" s="26"/>
      <c r="E360" s="26"/>
      <c r="F360" s="24"/>
      <c r="AH360" s="5"/>
      <c r="AM360" s="22">
        <f t="shared" si="16"/>
        <v>0</v>
      </c>
    </row>
    <row r="361" spans="1:39" ht="15.75" x14ac:dyDescent="0.25">
      <c r="A361" s="24"/>
      <c r="B361" s="25"/>
      <c r="D361" s="26"/>
      <c r="E361" s="26"/>
      <c r="F361" s="24"/>
      <c r="AH361" s="5"/>
      <c r="AM361" s="22">
        <f t="shared" si="16"/>
        <v>0</v>
      </c>
    </row>
    <row r="362" spans="1:39" ht="15.75" x14ac:dyDescent="0.25">
      <c r="A362" s="24"/>
      <c r="B362" s="25"/>
      <c r="D362" s="26"/>
      <c r="E362" s="26"/>
      <c r="F362" s="24"/>
      <c r="AH362" s="5"/>
      <c r="AM362" s="22">
        <f t="shared" si="16"/>
        <v>0</v>
      </c>
    </row>
    <row r="363" spans="1:39" ht="15.75" x14ac:dyDescent="0.25">
      <c r="A363" s="24"/>
      <c r="B363" s="25"/>
      <c r="D363" s="26"/>
      <c r="E363" s="26"/>
      <c r="F363" s="24"/>
      <c r="AH363" s="5"/>
      <c r="AM363" s="22">
        <f t="shared" si="16"/>
        <v>0</v>
      </c>
    </row>
    <row r="364" spans="1:39" ht="15.75" x14ac:dyDescent="0.25">
      <c r="A364" s="24"/>
      <c r="B364" s="25"/>
      <c r="D364" s="26"/>
      <c r="E364" s="26"/>
      <c r="F364" s="24"/>
      <c r="AH364" s="5"/>
      <c r="AM364" s="22">
        <f t="shared" si="16"/>
        <v>0</v>
      </c>
    </row>
    <row r="365" spans="1:39" ht="15.75" x14ac:dyDescent="0.25">
      <c r="A365" s="24"/>
      <c r="B365" s="25"/>
      <c r="D365" s="26"/>
      <c r="E365" s="26"/>
      <c r="F365" s="24"/>
      <c r="AH365" s="5"/>
      <c r="AM365" s="22">
        <f t="shared" si="16"/>
        <v>0</v>
      </c>
    </row>
    <row r="366" spans="1:39" ht="15.75" x14ac:dyDescent="0.25">
      <c r="A366" s="24"/>
      <c r="B366" s="25"/>
      <c r="C366" s="4">
        <f>7+3</f>
        <v>10</v>
      </c>
      <c r="D366" s="26"/>
      <c r="E366" s="26"/>
      <c r="F366" s="24"/>
      <c r="AH366" s="5"/>
      <c r="AM366" s="22">
        <f t="shared" si="16"/>
        <v>0</v>
      </c>
    </row>
    <row r="367" spans="1:39" ht="15.75" x14ac:dyDescent="0.25">
      <c r="A367" s="24"/>
      <c r="B367" s="25"/>
      <c r="D367" s="26"/>
      <c r="E367" s="26"/>
      <c r="F367" s="24"/>
      <c r="AH367" s="5"/>
      <c r="AM367" s="22">
        <f t="shared" si="16"/>
        <v>0</v>
      </c>
    </row>
    <row r="368" spans="1:39" ht="15.75" x14ac:dyDescent="0.25">
      <c r="A368" s="24"/>
      <c r="B368" s="25"/>
      <c r="D368" s="26"/>
      <c r="E368" s="26"/>
      <c r="F368" s="24"/>
      <c r="AM368" s="22">
        <f t="shared" si="16"/>
        <v>0</v>
      </c>
    </row>
    <row r="369" spans="1:39" ht="15.75" x14ac:dyDescent="0.25">
      <c r="A369" s="24"/>
      <c r="B369" s="25"/>
      <c r="D369" s="26"/>
      <c r="E369" s="26"/>
      <c r="F369" s="24"/>
      <c r="AM369" s="22">
        <f t="shared" si="16"/>
        <v>0</v>
      </c>
    </row>
    <row r="370" spans="1:39" ht="15.75" x14ac:dyDescent="0.25">
      <c r="A370" s="24"/>
      <c r="B370" s="19"/>
      <c r="D370" s="26"/>
      <c r="E370" s="26"/>
      <c r="F370" s="24"/>
      <c r="AM370" s="22">
        <f t="shared" si="16"/>
        <v>0</v>
      </c>
    </row>
    <row r="371" spans="1:39" ht="15.75" x14ac:dyDescent="0.25">
      <c r="A371" s="24"/>
      <c r="B371" s="19"/>
      <c r="D371" s="26"/>
      <c r="E371" s="26"/>
      <c r="F371" s="24"/>
      <c r="AM371" s="22">
        <f t="shared" si="16"/>
        <v>0</v>
      </c>
    </row>
    <row r="372" spans="1:39" ht="15.75" x14ac:dyDescent="0.25">
      <c r="A372" s="24"/>
      <c r="B372" s="19"/>
      <c r="D372" s="26"/>
      <c r="E372" s="26"/>
      <c r="F372" s="24"/>
      <c r="AM372" s="22">
        <f t="shared" si="16"/>
        <v>0</v>
      </c>
    </row>
    <row r="373" spans="1:39" ht="15.75" x14ac:dyDescent="0.25">
      <c r="B373" s="19"/>
      <c r="AM373" s="22">
        <f t="shared" si="16"/>
        <v>0</v>
      </c>
    </row>
    <row r="374" spans="1:39" ht="15.75" x14ac:dyDescent="0.25">
      <c r="B374" s="19"/>
      <c r="AM374" s="22">
        <f t="shared" si="16"/>
        <v>0</v>
      </c>
    </row>
    <row r="375" spans="1:39" ht="15.75" x14ac:dyDescent="0.25">
      <c r="B375" s="19"/>
      <c r="AM375" s="22">
        <f t="shared" si="16"/>
        <v>0</v>
      </c>
    </row>
    <row r="376" spans="1:39" ht="15.75" x14ac:dyDescent="0.25">
      <c r="B376" s="19"/>
      <c r="AM376" s="22">
        <f t="shared" si="16"/>
        <v>0</v>
      </c>
    </row>
    <row r="377" spans="1:39" ht="15.75" x14ac:dyDescent="0.25">
      <c r="B377" s="19"/>
      <c r="AM377" s="22">
        <f t="shared" si="16"/>
        <v>0</v>
      </c>
    </row>
    <row r="378" spans="1:39" ht="15.75" x14ac:dyDescent="0.25">
      <c r="B378" s="19"/>
      <c r="AM378" s="22">
        <f t="shared" si="16"/>
        <v>0</v>
      </c>
    </row>
    <row r="379" spans="1:39" ht="15.75" x14ac:dyDescent="0.25">
      <c r="B379" s="19"/>
      <c r="AM379" s="22">
        <f t="shared" si="16"/>
        <v>0</v>
      </c>
    </row>
    <row r="380" spans="1:39" ht="15.75" x14ac:dyDescent="0.25">
      <c r="B380" s="19"/>
      <c r="AM380" s="22">
        <f t="shared" si="16"/>
        <v>0</v>
      </c>
    </row>
    <row r="381" spans="1:39" ht="15.75" x14ac:dyDescent="0.25">
      <c r="B381" s="19"/>
      <c r="AM381" s="22">
        <f t="shared" si="16"/>
        <v>0</v>
      </c>
    </row>
    <row r="382" spans="1:39" ht="15.75" x14ac:dyDescent="0.25">
      <c r="B382" s="19"/>
      <c r="AM382" s="22">
        <f t="shared" si="16"/>
        <v>0</v>
      </c>
    </row>
    <row r="383" spans="1:39" ht="15.75" x14ac:dyDescent="0.25">
      <c r="B383" s="19"/>
      <c r="AM383" s="22">
        <f t="shared" si="16"/>
        <v>0</v>
      </c>
    </row>
    <row r="384" spans="1:39" ht="15.75" x14ac:dyDescent="0.25">
      <c r="B384" s="19"/>
      <c r="AM384" s="22">
        <f t="shared" si="16"/>
        <v>0</v>
      </c>
    </row>
    <row r="385" spans="2:39" ht="15.75" x14ac:dyDescent="0.25">
      <c r="B385" s="19"/>
      <c r="AM385" s="22">
        <f t="shared" si="16"/>
        <v>0</v>
      </c>
    </row>
    <row r="386" spans="2:39" ht="15.75" x14ac:dyDescent="0.25">
      <c r="B386" s="19"/>
      <c r="AM386" s="22">
        <f t="shared" si="16"/>
        <v>0</v>
      </c>
    </row>
    <row r="387" spans="2:39" ht="15.75" x14ac:dyDescent="0.25">
      <c r="B387" s="19"/>
      <c r="AM387" s="22">
        <f t="shared" si="16"/>
        <v>0</v>
      </c>
    </row>
    <row r="388" spans="2:39" ht="15.75" x14ac:dyDescent="0.25">
      <c r="B388" s="19"/>
      <c r="AM388" s="22">
        <f t="shared" si="16"/>
        <v>0</v>
      </c>
    </row>
    <row r="389" spans="2:39" ht="15.75" x14ac:dyDescent="0.25">
      <c r="B389" s="19"/>
      <c r="AM389" s="22">
        <f t="shared" si="16"/>
        <v>0</v>
      </c>
    </row>
    <row r="390" spans="2:39" ht="15.75" x14ac:dyDescent="0.25">
      <c r="B390" s="19"/>
      <c r="AM390" s="22">
        <f t="shared" si="16"/>
        <v>0</v>
      </c>
    </row>
    <row r="391" spans="2:39" ht="15.75" x14ac:dyDescent="0.25">
      <c r="B391" s="19"/>
      <c r="AM391" s="22">
        <f t="shared" si="16"/>
        <v>0</v>
      </c>
    </row>
    <row r="392" spans="2:39" ht="15.75" x14ac:dyDescent="0.25">
      <c r="B392" s="19"/>
      <c r="AM392" s="22">
        <f t="shared" si="16"/>
        <v>0</v>
      </c>
    </row>
    <row r="393" spans="2:39" ht="15.75" x14ac:dyDescent="0.25">
      <c r="B393" s="19"/>
      <c r="AM393" s="22">
        <f t="shared" si="16"/>
        <v>0</v>
      </c>
    </row>
    <row r="394" spans="2:39" ht="15.75" x14ac:dyDescent="0.25">
      <c r="B394" s="19"/>
      <c r="AM394" s="22">
        <f t="shared" si="16"/>
        <v>0</v>
      </c>
    </row>
    <row r="395" spans="2:39" ht="15.75" x14ac:dyDescent="0.25">
      <c r="B395" s="19"/>
      <c r="AM395" s="22">
        <f t="shared" si="16"/>
        <v>0</v>
      </c>
    </row>
    <row r="396" spans="2:39" ht="15.75" x14ac:dyDescent="0.25">
      <c r="B396" s="19"/>
      <c r="AM396" s="22">
        <f t="shared" si="16"/>
        <v>0</v>
      </c>
    </row>
    <row r="397" spans="2:39" ht="15.75" x14ac:dyDescent="0.25">
      <c r="B397" s="19"/>
      <c r="AM397" s="22">
        <f t="shared" si="16"/>
        <v>0</v>
      </c>
    </row>
    <row r="398" spans="2:39" ht="15.75" x14ac:dyDescent="0.25">
      <c r="B398" s="19"/>
      <c r="AM398" s="22">
        <f t="shared" si="16"/>
        <v>0</v>
      </c>
    </row>
    <row r="399" spans="2:39" ht="15.75" x14ac:dyDescent="0.25">
      <c r="B399" s="19"/>
      <c r="AM399" s="22">
        <f t="shared" si="16"/>
        <v>0</v>
      </c>
    </row>
    <row r="400" spans="2:39" ht="15.75" x14ac:dyDescent="0.25">
      <c r="B400" s="19"/>
      <c r="AM400" s="22">
        <f t="shared" si="16"/>
        <v>0</v>
      </c>
    </row>
    <row r="401" spans="2:39" ht="15.75" x14ac:dyDescent="0.25">
      <c r="B401" s="19"/>
      <c r="AM401" s="22">
        <f t="shared" si="16"/>
        <v>0</v>
      </c>
    </row>
    <row r="402" spans="2:39" ht="15.75" x14ac:dyDescent="0.25">
      <c r="B402" s="19"/>
      <c r="AM402" s="22">
        <f t="shared" si="16"/>
        <v>0</v>
      </c>
    </row>
    <row r="403" spans="2:39" ht="15.75" x14ac:dyDescent="0.25">
      <c r="B403" s="19"/>
      <c r="AM403" s="22">
        <f t="shared" si="16"/>
        <v>0</v>
      </c>
    </row>
    <row r="404" spans="2:39" ht="15.75" x14ac:dyDescent="0.25">
      <c r="B404" s="19"/>
      <c r="AM404" s="22">
        <f t="shared" si="16"/>
        <v>0</v>
      </c>
    </row>
    <row r="405" spans="2:39" ht="15.75" x14ac:dyDescent="0.25">
      <c r="B405" s="19"/>
      <c r="AM405" s="22">
        <f t="shared" si="16"/>
        <v>0</v>
      </c>
    </row>
    <row r="406" spans="2:39" ht="15.75" x14ac:dyDescent="0.25">
      <c r="B406" s="19"/>
      <c r="AM406" s="22">
        <f t="shared" si="16"/>
        <v>0</v>
      </c>
    </row>
    <row r="407" spans="2:39" ht="15.75" x14ac:dyDescent="0.25">
      <c r="B407" s="19"/>
      <c r="AM407" s="22">
        <f t="shared" si="16"/>
        <v>0</v>
      </c>
    </row>
    <row r="408" spans="2:39" ht="15.75" x14ac:dyDescent="0.25">
      <c r="B408" s="19"/>
      <c r="AM408" s="22">
        <f t="shared" si="16"/>
        <v>0</v>
      </c>
    </row>
    <row r="409" spans="2:39" ht="15.75" x14ac:dyDescent="0.25">
      <c r="B409" s="19"/>
      <c r="AM409" s="22">
        <f t="shared" si="16"/>
        <v>0</v>
      </c>
    </row>
    <row r="410" spans="2:39" ht="15.75" x14ac:dyDescent="0.25">
      <c r="B410" s="19"/>
      <c r="AM410" s="22">
        <f t="shared" si="16"/>
        <v>0</v>
      </c>
    </row>
    <row r="411" spans="2:39" ht="15.75" x14ac:dyDescent="0.25">
      <c r="B411" s="19"/>
      <c r="AM411" s="22">
        <f t="shared" si="16"/>
        <v>0</v>
      </c>
    </row>
    <row r="412" spans="2:39" ht="15.75" x14ac:dyDescent="0.25">
      <c r="B412" s="19"/>
      <c r="AM412" s="22">
        <f t="shared" si="16"/>
        <v>0</v>
      </c>
    </row>
    <row r="413" spans="2:39" ht="15.75" x14ac:dyDescent="0.25">
      <c r="B413" s="19"/>
      <c r="AM413" s="22">
        <f t="shared" si="16"/>
        <v>0</v>
      </c>
    </row>
    <row r="414" spans="2:39" ht="15.75" x14ac:dyDescent="0.25">
      <c r="B414" s="19"/>
      <c r="AM414" s="22">
        <f t="shared" si="16"/>
        <v>0</v>
      </c>
    </row>
    <row r="415" spans="2:39" ht="15.75" x14ac:dyDescent="0.25">
      <c r="B415" s="19"/>
      <c r="AM415" s="22">
        <f t="shared" si="16"/>
        <v>0</v>
      </c>
    </row>
    <row r="416" spans="2:39" ht="15.75" x14ac:dyDescent="0.25">
      <c r="B416" s="19"/>
      <c r="AM416" s="22">
        <f t="shared" si="16"/>
        <v>0</v>
      </c>
    </row>
    <row r="417" spans="2:39" ht="15.75" x14ac:dyDescent="0.25">
      <c r="B417" s="19"/>
      <c r="AM417" s="22">
        <f t="shared" ref="AM417:AM426" si="17">COUNTA(I417:AL417)</f>
        <v>0</v>
      </c>
    </row>
    <row r="418" spans="2:39" ht="15.75" x14ac:dyDescent="0.25">
      <c r="B418" s="19"/>
      <c r="AM418" s="22">
        <f t="shared" si="17"/>
        <v>0</v>
      </c>
    </row>
    <row r="419" spans="2:39" ht="15.75" x14ac:dyDescent="0.25">
      <c r="B419" s="19"/>
      <c r="AM419" s="22">
        <f t="shared" si="17"/>
        <v>0</v>
      </c>
    </row>
    <row r="420" spans="2:39" ht="15.75" x14ac:dyDescent="0.25">
      <c r="B420" s="19"/>
      <c r="AM420" s="22">
        <f t="shared" si="17"/>
        <v>0</v>
      </c>
    </row>
    <row r="421" spans="2:39" ht="15.75" x14ac:dyDescent="0.25">
      <c r="B421" s="19"/>
      <c r="AM421" s="22">
        <f t="shared" si="17"/>
        <v>0</v>
      </c>
    </row>
    <row r="422" spans="2:39" ht="15.75" x14ac:dyDescent="0.25">
      <c r="B422" s="19"/>
      <c r="AM422" s="22">
        <f t="shared" si="17"/>
        <v>0</v>
      </c>
    </row>
    <row r="423" spans="2:39" ht="15.75" x14ac:dyDescent="0.25">
      <c r="B423" s="19"/>
      <c r="AM423" s="22">
        <f t="shared" si="17"/>
        <v>0</v>
      </c>
    </row>
    <row r="424" spans="2:39" ht="15.75" x14ac:dyDescent="0.25">
      <c r="B424" s="19"/>
      <c r="AM424" s="22">
        <f t="shared" si="17"/>
        <v>0</v>
      </c>
    </row>
    <row r="425" spans="2:39" ht="15.75" x14ac:dyDescent="0.25">
      <c r="B425" s="19"/>
      <c r="AM425" s="22">
        <f t="shared" si="17"/>
        <v>0</v>
      </c>
    </row>
    <row r="426" spans="2:39" ht="15.75" x14ac:dyDescent="0.25">
      <c r="B426" s="19"/>
      <c r="AM426" s="22">
        <f t="shared" si="17"/>
        <v>0</v>
      </c>
    </row>
    <row r="427" spans="2:39" ht="15.75" x14ac:dyDescent="0.25">
      <c r="B427" s="19"/>
      <c r="AM427" s="22">
        <f t="shared" ref="AM427" si="18">COUNTA(I427:AL427)-COUNTIF(I427:AL427,"CT")</f>
        <v>0</v>
      </c>
    </row>
    <row r="428" spans="2:39" x14ac:dyDescent="0.2">
      <c r="B428" s="19"/>
    </row>
    <row r="429" spans="2:39" x14ac:dyDescent="0.2">
      <c r="B429" s="19"/>
    </row>
    <row r="430" spans="2:39" x14ac:dyDescent="0.2">
      <c r="B430" s="19"/>
    </row>
    <row r="431" spans="2:39" x14ac:dyDescent="0.2">
      <c r="B431" s="19"/>
    </row>
    <row r="432" spans="2:39" x14ac:dyDescent="0.2">
      <c r="B432" s="19"/>
    </row>
    <row r="433" spans="2:2" x14ac:dyDescent="0.2">
      <c r="B433" s="19"/>
    </row>
    <row r="434" spans="2:2" x14ac:dyDescent="0.2">
      <c r="B434" s="19"/>
    </row>
    <row r="435" spans="2:2" x14ac:dyDescent="0.2">
      <c r="B435" s="19"/>
    </row>
    <row r="436" spans="2:2" x14ac:dyDescent="0.2">
      <c r="B436" s="19"/>
    </row>
    <row r="437" spans="2:2" x14ac:dyDescent="0.2">
      <c r="B437" s="19"/>
    </row>
    <row r="438" spans="2:2" x14ac:dyDescent="0.2">
      <c r="B438" s="19"/>
    </row>
    <row r="439" spans="2:2" x14ac:dyDescent="0.2">
      <c r="B439" s="19"/>
    </row>
    <row r="440" spans="2:2" x14ac:dyDescent="0.2">
      <c r="B440" s="19"/>
    </row>
    <row r="441" spans="2:2" x14ac:dyDescent="0.2">
      <c r="B441" s="19"/>
    </row>
    <row r="442" spans="2:2" x14ac:dyDescent="0.2">
      <c r="B442" s="19"/>
    </row>
    <row r="443" spans="2:2" x14ac:dyDescent="0.2">
      <c r="B443" s="19"/>
    </row>
    <row r="444" spans="2:2" x14ac:dyDescent="0.2">
      <c r="B444" s="19"/>
    </row>
    <row r="445" spans="2:2" x14ac:dyDescent="0.2">
      <c r="B445" s="19"/>
    </row>
    <row r="446" spans="2:2" x14ac:dyDescent="0.2">
      <c r="B446" s="19"/>
    </row>
    <row r="447" spans="2:2" x14ac:dyDescent="0.2">
      <c r="B447" s="19"/>
    </row>
    <row r="448" spans="2:2" x14ac:dyDescent="0.2">
      <c r="B448" s="19"/>
    </row>
    <row r="449" spans="2:2" x14ac:dyDescent="0.2">
      <c r="B449" s="19"/>
    </row>
    <row r="450" spans="2:2" x14ac:dyDescent="0.2">
      <c r="B450" s="19"/>
    </row>
    <row r="451" spans="2:2" x14ac:dyDescent="0.2">
      <c r="B451" s="19"/>
    </row>
    <row r="452" spans="2:2" x14ac:dyDescent="0.2">
      <c r="B452" s="19"/>
    </row>
    <row r="453" spans="2:2" x14ac:dyDescent="0.2">
      <c r="B453" s="19"/>
    </row>
    <row r="454" spans="2:2" x14ac:dyDescent="0.2">
      <c r="B454" s="19"/>
    </row>
    <row r="455" spans="2:2" x14ac:dyDescent="0.2">
      <c r="B455" s="19"/>
    </row>
    <row r="456" spans="2:2" x14ac:dyDescent="0.2">
      <c r="B456" s="19"/>
    </row>
    <row r="457" spans="2:2" x14ac:dyDescent="0.2">
      <c r="B457" s="19"/>
    </row>
    <row r="458" spans="2:2" x14ac:dyDescent="0.2">
      <c r="B458" s="19"/>
    </row>
    <row r="459" spans="2:2" x14ac:dyDescent="0.2">
      <c r="B459" s="19"/>
    </row>
    <row r="460" spans="2:2" x14ac:dyDescent="0.2">
      <c r="B460" s="19"/>
    </row>
    <row r="461" spans="2:2" x14ac:dyDescent="0.2">
      <c r="B461" s="19"/>
    </row>
    <row r="462" spans="2:2" x14ac:dyDescent="0.2">
      <c r="B462" s="19"/>
    </row>
    <row r="463" spans="2:2" x14ac:dyDescent="0.2">
      <c r="B463" s="19"/>
    </row>
    <row r="464" spans="2:2" x14ac:dyDescent="0.2">
      <c r="B464" s="19"/>
    </row>
    <row r="465" spans="2:2" x14ac:dyDescent="0.2">
      <c r="B465" s="19"/>
    </row>
    <row r="466" spans="2:2" x14ac:dyDescent="0.2">
      <c r="B466" s="19"/>
    </row>
    <row r="467" spans="2:2" x14ac:dyDescent="0.2">
      <c r="B467" s="19"/>
    </row>
    <row r="468" spans="2:2" x14ac:dyDescent="0.2">
      <c r="B468" s="19"/>
    </row>
    <row r="469" spans="2:2" x14ac:dyDescent="0.2">
      <c r="B469" s="19"/>
    </row>
    <row r="470" spans="2:2" x14ac:dyDescent="0.2">
      <c r="B470" s="19"/>
    </row>
    <row r="471" spans="2:2" x14ac:dyDescent="0.2">
      <c r="B471" s="19"/>
    </row>
    <row r="472" spans="2:2" x14ac:dyDescent="0.2">
      <c r="B472" s="19"/>
    </row>
    <row r="473" spans="2:2" x14ac:dyDescent="0.2">
      <c r="B473" s="19"/>
    </row>
    <row r="474" spans="2:2" x14ac:dyDescent="0.2">
      <c r="B474" s="19"/>
    </row>
    <row r="475" spans="2:2" x14ac:dyDescent="0.2">
      <c r="B475" s="19"/>
    </row>
    <row r="476" spans="2:2" x14ac:dyDescent="0.2">
      <c r="B476" s="19"/>
    </row>
    <row r="477" spans="2:2" x14ac:dyDescent="0.2">
      <c r="B477" s="19"/>
    </row>
    <row r="478" spans="2:2" x14ac:dyDescent="0.2">
      <c r="B478" s="19"/>
    </row>
    <row r="479" spans="2:2" x14ac:dyDescent="0.2">
      <c r="B479" s="19"/>
    </row>
    <row r="480" spans="2:2" x14ac:dyDescent="0.2">
      <c r="B480" s="19"/>
    </row>
    <row r="481" spans="2:2" x14ac:dyDescent="0.2">
      <c r="B481" s="19"/>
    </row>
    <row r="482" spans="2:2" x14ac:dyDescent="0.2">
      <c r="B482" s="19"/>
    </row>
    <row r="483" spans="2:2" x14ac:dyDescent="0.2">
      <c r="B483" s="19"/>
    </row>
    <row r="484" spans="2:2" x14ac:dyDescent="0.2">
      <c r="B484" s="19"/>
    </row>
    <row r="485" spans="2:2" x14ac:dyDescent="0.2">
      <c r="B485" s="19"/>
    </row>
    <row r="486" spans="2:2" x14ac:dyDescent="0.2">
      <c r="B486" s="19"/>
    </row>
    <row r="487" spans="2:2" x14ac:dyDescent="0.2">
      <c r="B487" s="19"/>
    </row>
    <row r="488" spans="2:2" x14ac:dyDescent="0.2">
      <c r="B488" s="19"/>
    </row>
    <row r="489" spans="2:2" x14ac:dyDescent="0.2">
      <c r="B489" s="19"/>
    </row>
    <row r="490" spans="2:2" x14ac:dyDescent="0.2">
      <c r="B490" s="19"/>
    </row>
    <row r="491" spans="2:2" x14ac:dyDescent="0.2">
      <c r="B491" s="19"/>
    </row>
    <row r="492" spans="2:2" x14ac:dyDescent="0.2">
      <c r="B492" s="19"/>
    </row>
    <row r="493" spans="2:2" x14ac:dyDescent="0.2">
      <c r="B493" s="19"/>
    </row>
    <row r="494" spans="2:2" x14ac:dyDescent="0.2">
      <c r="B494" s="19"/>
    </row>
    <row r="495" spans="2:2" x14ac:dyDescent="0.2">
      <c r="B495" s="19"/>
    </row>
    <row r="496" spans="2:2" x14ac:dyDescent="0.2">
      <c r="B496" s="19"/>
    </row>
    <row r="497" spans="2:2" x14ac:dyDescent="0.2">
      <c r="B497" s="19"/>
    </row>
    <row r="498" spans="2:2" x14ac:dyDescent="0.2">
      <c r="B498" s="19"/>
    </row>
    <row r="499" spans="2:2" x14ac:dyDescent="0.2">
      <c r="B499" s="19"/>
    </row>
    <row r="500" spans="2:2" x14ac:dyDescent="0.2">
      <c r="B500" s="19"/>
    </row>
    <row r="501" spans="2:2" x14ac:dyDescent="0.2">
      <c r="B501" s="19"/>
    </row>
    <row r="502" spans="2:2" x14ac:dyDescent="0.2">
      <c r="B502" s="19"/>
    </row>
    <row r="503" spans="2:2" x14ac:dyDescent="0.2">
      <c r="B503" s="19"/>
    </row>
    <row r="504" spans="2:2" x14ac:dyDescent="0.2">
      <c r="B504" s="19"/>
    </row>
    <row r="505" spans="2:2" x14ac:dyDescent="0.2">
      <c r="B505" s="19"/>
    </row>
    <row r="506" spans="2:2" x14ac:dyDescent="0.2">
      <c r="B506" s="19"/>
    </row>
    <row r="507" spans="2:2" x14ac:dyDescent="0.2">
      <c r="B507" s="19"/>
    </row>
    <row r="508" spans="2:2" x14ac:dyDescent="0.2">
      <c r="B508" s="19"/>
    </row>
    <row r="509" spans="2:2" x14ac:dyDescent="0.2">
      <c r="B509" s="19"/>
    </row>
    <row r="510" spans="2:2" x14ac:dyDescent="0.2">
      <c r="B510" s="19"/>
    </row>
    <row r="511" spans="2:2" x14ac:dyDescent="0.2">
      <c r="B511" s="19"/>
    </row>
    <row r="512" spans="2:2" x14ac:dyDescent="0.2">
      <c r="B512" s="19"/>
    </row>
    <row r="513" spans="2:2" x14ac:dyDescent="0.2">
      <c r="B513" s="19"/>
    </row>
    <row r="514" spans="2:2" x14ac:dyDescent="0.2">
      <c r="B514" s="19"/>
    </row>
    <row r="515" spans="2:2" x14ac:dyDescent="0.2">
      <c r="B515" s="19"/>
    </row>
    <row r="516" spans="2:2" x14ac:dyDescent="0.2">
      <c r="B516" s="19"/>
    </row>
    <row r="517" spans="2:2" x14ac:dyDescent="0.2">
      <c r="B517" s="19"/>
    </row>
    <row r="518" spans="2:2" x14ac:dyDescent="0.2">
      <c r="B518" s="19"/>
    </row>
    <row r="519" spans="2:2" x14ac:dyDescent="0.2">
      <c r="B519" s="19"/>
    </row>
    <row r="520" spans="2:2" x14ac:dyDescent="0.2">
      <c r="B520" s="19"/>
    </row>
    <row r="521" spans="2:2" x14ac:dyDescent="0.2">
      <c r="B521" s="19"/>
    </row>
    <row r="522" spans="2:2" x14ac:dyDescent="0.2">
      <c r="B522" s="19"/>
    </row>
    <row r="523" spans="2:2" x14ac:dyDescent="0.2">
      <c r="B523" s="19"/>
    </row>
    <row r="524" spans="2:2" x14ac:dyDescent="0.2">
      <c r="B524" s="19"/>
    </row>
    <row r="525" spans="2:2" x14ac:dyDescent="0.2">
      <c r="B525" s="19"/>
    </row>
    <row r="526" spans="2:2" x14ac:dyDescent="0.2">
      <c r="B526" s="19"/>
    </row>
    <row r="527" spans="2:2" x14ac:dyDescent="0.2">
      <c r="B527" s="19"/>
    </row>
    <row r="528" spans="2:2" x14ac:dyDescent="0.2">
      <c r="B528" s="19"/>
    </row>
    <row r="529" spans="2:2" x14ac:dyDescent="0.2">
      <c r="B529" s="19"/>
    </row>
    <row r="530" spans="2:2" x14ac:dyDescent="0.2">
      <c r="B530" s="19"/>
    </row>
    <row r="531" spans="2:2" x14ac:dyDescent="0.2">
      <c r="B531" s="19"/>
    </row>
    <row r="532" spans="2:2" x14ac:dyDescent="0.2">
      <c r="B532" s="19"/>
    </row>
    <row r="533" spans="2:2" x14ac:dyDescent="0.2">
      <c r="B533" s="19"/>
    </row>
    <row r="534" spans="2:2" x14ac:dyDescent="0.2">
      <c r="B534" s="19"/>
    </row>
    <row r="535" spans="2:2" x14ac:dyDescent="0.2">
      <c r="B535" s="19"/>
    </row>
    <row r="536" spans="2:2" x14ac:dyDescent="0.2">
      <c r="B536" s="19"/>
    </row>
    <row r="537" spans="2:2" x14ac:dyDescent="0.2">
      <c r="B537" s="19"/>
    </row>
    <row r="538" spans="2:2" x14ac:dyDescent="0.2">
      <c r="B538" s="19"/>
    </row>
    <row r="539" spans="2:2" x14ac:dyDescent="0.2">
      <c r="B539" s="19"/>
    </row>
    <row r="540" spans="2:2" x14ac:dyDescent="0.2">
      <c r="B540" s="19"/>
    </row>
    <row r="541" spans="2:2" x14ac:dyDescent="0.2">
      <c r="B541" s="19"/>
    </row>
    <row r="542" spans="2:2" x14ac:dyDescent="0.2">
      <c r="B542" s="19"/>
    </row>
    <row r="543" spans="2:2" x14ac:dyDescent="0.2">
      <c r="B543" s="19"/>
    </row>
    <row r="544" spans="2:2" x14ac:dyDescent="0.2">
      <c r="B544" s="19"/>
    </row>
    <row r="545" spans="2:2" x14ac:dyDescent="0.2">
      <c r="B545" s="19"/>
    </row>
    <row r="546" spans="2:2" x14ac:dyDescent="0.2">
      <c r="B546" s="19"/>
    </row>
    <row r="547" spans="2:2" x14ac:dyDescent="0.2">
      <c r="B547" s="19"/>
    </row>
    <row r="548" spans="2:2" x14ac:dyDescent="0.2">
      <c r="B548" s="19"/>
    </row>
    <row r="549" spans="2:2" x14ac:dyDescent="0.2">
      <c r="B549" s="19"/>
    </row>
    <row r="550" spans="2:2" x14ac:dyDescent="0.2">
      <c r="B550" s="19"/>
    </row>
    <row r="551" spans="2:2" x14ac:dyDescent="0.2">
      <c r="B551" s="19"/>
    </row>
    <row r="552" spans="2:2" x14ac:dyDescent="0.2">
      <c r="B552" s="19"/>
    </row>
    <row r="553" spans="2:2" x14ac:dyDescent="0.2">
      <c r="B553" s="19"/>
    </row>
    <row r="554" spans="2:2" x14ac:dyDescent="0.2">
      <c r="B554" s="19"/>
    </row>
    <row r="555" spans="2:2" x14ac:dyDescent="0.2">
      <c r="B555" s="19"/>
    </row>
    <row r="556" spans="2:2" x14ac:dyDescent="0.2">
      <c r="B556" s="19"/>
    </row>
    <row r="557" spans="2:2" x14ac:dyDescent="0.2">
      <c r="B557" s="19"/>
    </row>
    <row r="558" spans="2:2" x14ac:dyDescent="0.2">
      <c r="B558" s="19"/>
    </row>
    <row r="559" spans="2:2" x14ac:dyDescent="0.2">
      <c r="B559" s="19"/>
    </row>
    <row r="560" spans="2:2" x14ac:dyDescent="0.2">
      <c r="B560" s="19"/>
    </row>
    <row r="561" spans="2:2" x14ac:dyDescent="0.2">
      <c r="B561" s="19"/>
    </row>
    <row r="562" spans="2:2" x14ac:dyDescent="0.2">
      <c r="B562" s="19"/>
    </row>
    <row r="563" spans="2:2" x14ac:dyDescent="0.2">
      <c r="B563" s="19"/>
    </row>
    <row r="564" spans="2:2" x14ac:dyDescent="0.2">
      <c r="B564" s="19"/>
    </row>
    <row r="565" spans="2:2" x14ac:dyDescent="0.2">
      <c r="B565" s="19"/>
    </row>
    <row r="566" spans="2:2" x14ac:dyDescent="0.2">
      <c r="B566" s="19"/>
    </row>
    <row r="567" spans="2:2" x14ac:dyDescent="0.2">
      <c r="B567" s="19"/>
    </row>
    <row r="568" spans="2:2" x14ac:dyDescent="0.2">
      <c r="B568" s="19"/>
    </row>
    <row r="569" spans="2:2" x14ac:dyDescent="0.2">
      <c r="B569" s="19"/>
    </row>
    <row r="570" spans="2:2" x14ac:dyDescent="0.2">
      <c r="B570" s="19"/>
    </row>
    <row r="571" spans="2:2" x14ac:dyDescent="0.2">
      <c r="B571" s="19"/>
    </row>
  </sheetData>
  <autoFilter ref="A15:XFD354" xr:uid="{00000000-0001-0000-0200-000000000000}"/>
  <conditionalFormatting sqref="B1:B1048576">
    <cfRule type="duplicateValues" dxfId="1009" priority="93650"/>
    <cfRule type="duplicateValues" dxfId="1008" priority="93651"/>
    <cfRule type="duplicateValues" dxfId="1007" priority="93652"/>
    <cfRule type="duplicateValues" dxfId="1006" priority="93725"/>
    <cfRule type="duplicateValues" dxfId="1005" priority="93653"/>
  </conditionalFormatting>
  <conditionalFormatting sqref="B16:B277">
    <cfRule type="duplicateValues" dxfId="1004" priority="97204"/>
  </conditionalFormatting>
  <conditionalFormatting sqref="B102:B104">
    <cfRule type="duplicateValues" dxfId="1003" priority="78882"/>
  </conditionalFormatting>
  <conditionalFormatting sqref="B181:B182">
    <cfRule type="duplicateValues" dxfId="1002" priority="1602"/>
  </conditionalFormatting>
  <conditionalFormatting sqref="B183:B191">
    <cfRule type="duplicateValues" dxfId="1001" priority="96076"/>
    <cfRule type="duplicateValues" dxfId="1000" priority="96075"/>
  </conditionalFormatting>
  <conditionalFormatting sqref="B193">
    <cfRule type="duplicateValues" dxfId="999" priority="1380"/>
    <cfRule type="duplicateValues" dxfId="998" priority="1379"/>
  </conditionalFormatting>
  <conditionalFormatting sqref="B194:B195">
    <cfRule type="duplicateValues" dxfId="997" priority="96030"/>
    <cfRule type="duplicateValues" dxfId="996" priority="96029"/>
  </conditionalFormatting>
  <conditionalFormatting sqref="B196:B197">
    <cfRule type="duplicateValues" dxfId="995" priority="1362"/>
    <cfRule type="duplicateValues" dxfId="994" priority="1361"/>
  </conditionalFormatting>
  <conditionalFormatting sqref="B198:B202">
    <cfRule type="duplicateValues" dxfId="993" priority="95978"/>
    <cfRule type="duplicateValues" dxfId="992" priority="95977"/>
  </conditionalFormatting>
  <conditionalFormatting sqref="B198:B224">
    <cfRule type="duplicateValues" dxfId="991" priority="96006"/>
    <cfRule type="duplicateValues" dxfId="990" priority="96005"/>
    <cfRule type="duplicateValues" dxfId="989" priority="96004"/>
  </conditionalFormatting>
  <conditionalFormatting sqref="B203:B212">
    <cfRule type="duplicateValues" dxfId="988" priority="95924"/>
    <cfRule type="duplicateValues" dxfId="987" priority="95923"/>
  </conditionalFormatting>
  <conditionalFormatting sqref="B213:B224">
    <cfRule type="duplicateValues" dxfId="986" priority="95876"/>
    <cfRule type="duplicateValues" dxfId="985" priority="95875"/>
  </conditionalFormatting>
  <conditionalFormatting sqref="B225:B277">
    <cfRule type="duplicateValues" dxfId="984" priority="95823"/>
    <cfRule type="duplicateValues" dxfId="983" priority="95822"/>
    <cfRule type="duplicateValues" dxfId="982" priority="95821"/>
    <cfRule type="duplicateValues" dxfId="981" priority="95820"/>
    <cfRule type="duplicateValues" dxfId="980" priority="95819"/>
    <cfRule type="duplicateValues" dxfId="979" priority="95816"/>
    <cfRule type="duplicateValues" dxfId="978" priority="95833"/>
    <cfRule type="duplicateValues" dxfId="977" priority="95832"/>
    <cfRule type="duplicateValues" dxfId="976" priority="95831"/>
    <cfRule type="duplicateValues" dxfId="975" priority="95817"/>
    <cfRule type="duplicateValues" dxfId="974" priority="95818"/>
    <cfRule type="duplicateValues" dxfId="973" priority="95830"/>
    <cfRule type="duplicateValues" dxfId="972" priority="95829"/>
    <cfRule type="duplicateValues" dxfId="971" priority="95828"/>
    <cfRule type="duplicateValues" dxfId="970" priority="95827"/>
    <cfRule type="duplicateValues" dxfId="969" priority="95826"/>
    <cfRule type="duplicateValues" dxfId="968" priority="95825"/>
    <cfRule type="duplicateValues" dxfId="967" priority="95824"/>
  </conditionalFormatting>
  <conditionalFormatting sqref="B278:B281">
    <cfRule type="duplicateValues" dxfId="966" priority="95093"/>
    <cfRule type="duplicateValues" dxfId="965" priority="95088"/>
    <cfRule type="duplicateValues" dxfId="964" priority="95087"/>
    <cfRule type="duplicateValues" dxfId="963" priority="95091"/>
    <cfRule type="duplicateValues" dxfId="962" priority="95086"/>
    <cfRule type="duplicateValues" dxfId="961" priority="95085"/>
    <cfRule type="duplicateValues" dxfId="960" priority="95084"/>
    <cfRule type="duplicateValues" dxfId="959" priority="95083"/>
    <cfRule type="duplicateValues" dxfId="958" priority="95082"/>
    <cfRule type="duplicateValues" dxfId="957" priority="95081"/>
    <cfRule type="duplicateValues" dxfId="956" priority="95097"/>
    <cfRule type="duplicateValues" dxfId="955" priority="95096"/>
    <cfRule type="duplicateValues" dxfId="954" priority="95095"/>
    <cfRule type="duplicateValues" dxfId="953" priority="95094"/>
    <cfRule type="duplicateValues" dxfId="952" priority="95079"/>
    <cfRule type="duplicateValues" dxfId="951" priority="95092"/>
    <cfRule type="duplicateValues" dxfId="950" priority="95090"/>
    <cfRule type="duplicateValues" dxfId="949" priority="95089"/>
    <cfRule type="duplicateValues" dxfId="948" priority="95080"/>
  </conditionalFormatting>
  <conditionalFormatting sqref="B290:B322 B330:B571">
    <cfRule type="duplicateValues" dxfId="947" priority="95046"/>
    <cfRule type="duplicateValues" dxfId="946" priority="95045"/>
    <cfRule type="duplicateValues" dxfId="945" priority="95056"/>
    <cfRule type="duplicateValues" dxfId="944" priority="95055"/>
    <cfRule type="duplicateValues" dxfId="943" priority="95053"/>
    <cfRule type="duplicateValues" dxfId="942" priority="95052"/>
    <cfRule type="duplicateValues" dxfId="941" priority="95051"/>
    <cfRule type="duplicateValues" dxfId="940" priority="95054"/>
    <cfRule type="duplicateValues" dxfId="939" priority="95050"/>
    <cfRule type="duplicateValues" dxfId="938" priority="95049"/>
    <cfRule type="duplicateValues" dxfId="937" priority="95063"/>
    <cfRule type="duplicateValues" dxfId="936" priority="95062"/>
    <cfRule type="duplicateValues" dxfId="935" priority="95061"/>
    <cfRule type="duplicateValues" dxfId="934" priority="95060"/>
    <cfRule type="duplicateValues" dxfId="933" priority="95059"/>
    <cfRule type="duplicateValues" dxfId="932" priority="95058"/>
    <cfRule type="duplicateValues" dxfId="931" priority="95048"/>
    <cfRule type="duplicateValues" dxfId="930" priority="95057"/>
    <cfRule type="duplicateValues" dxfId="929" priority="95047"/>
  </conditionalFormatting>
  <conditionalFormatting sqref="B294:B303">
    <cfRule type="duplicateValues" dxfId="928" priority="81"/>
  </conditionalFormatting>
  <conditionalFormatting sqref="B302:B303">
    <cfRule type="duplicateValues" dxfId="927" priority="80"/>
    <cfRule type="duplicateValues" dxfId="926" priority="79"/>
    <cfRule type="duplicateValues" dxfId="925" priority="77"/>
    <cfRule type="duplicateValues" dxfId="924" priority="76"/>
    <cfRule type="duplicateValues" dxfId="923" priority="78"/>
  </conditionalFormatting>
  <conditionalFormatting sqref="B304:B322">
    <cfRule type="duplicateValues" dxfId="922" priority="75"/>
    <cfRule type="duplicateValues" dxfId="921" priority="74"/>
    <cfRule type="duplicateValues" dxfId="920" priority="73"/>
    <cfRule type="duplicateValues" dxfId="919" priority="72"/>
    <cfRule type="duplicateValues" dxfId="918" priority="71"/>
    <cfRule type="duplicateValues" dxfId="917" priority="70"/>
  </conditionalFormatting>
  <conditionalFormatting sqref="C16:C277">
    <cfRule type="duplicateValues" dxfId="916" priority="97206"/>
    <cfRule type="duplicateValues" dxfId="915" priority="97207"/>
  </conditionalFormatting>
  <conditionalFormatting sqref="C17">
    <cfRule type="duplicateValues" dxfId="914" priority="1918"/>
  </conditionalFormatting>
  <conditionalFormatting sqref="C18">
    <cfRule type="duplicateValues" dxfId="913" priority="1917"/>
  </conditionalFormatting>
  <conditionalFormatting sqref="C19">
    <cfRule type="duplicateValues" dxfId="912" priority="1916"/>
  </conditionalFormatting>
  <conditionalFormatting sqref="C20">
    <cfRule type="duplicateValues" dxfId="911" priority="1915"/>
  </conditionalFormatting>
  <conditionalFormatting sqref="C21">
    <cfRule type="duplicateValues" dxfId="910" priority="1914"/>
  </conditionalFormatting>
  <conditionalFormatting sqref="C22">
    <cfRule type="duplicateValues" dxfId="909" priority="1910"/>
  </conditionalFormatting>
  <conditionalFormatting sqref="C23">
    <cfRule type="duplicateValues" dxfId="908" priority="1907"/>
  </conditionalFormatting>
  <conditionalFormatting sqref="C24">
    <cfRule type="duplicateValues" dxfId="907" priority="1906"/>
  </conditionalFormatting>
  <conditionalFormatting sqref="C25">
    <cfRule type="duplicateValues" dxfId="906" priority="1904"/>
  </conditionalFormatting>
  <conditionalFormatting sqref="C28">
    <cfRule type="duplicateValues" dxfId="905" priority="1901"/>
  </conditionalFormatting>
  <conditionalFormatting sqref="C29">
    <cfRule type="duplicateValues" dxfId="904" priority="1900"/>
  </conditionalFormatting>
  <conditionalFormatting sqref="C294:C303">
    <cfRule type="duplicateValues" dxfId="903" priority="84"/>
    <cfRule type="duplicateValues" dxfId="902" priority="85"/>
  </conditionalFormatting>
  <conditionalFormatting sqref="C304:C322">
    <cfRule type="duplicateValues" dxfId="901" priority="82"/>
    <cfRule type="duplicateValues" dxfId="900" priority="83"/>
  </conditionalFormatting>
  <conditionalFormatting sqref="H117:H118">
    <cfRule type="duplicateValues" dxfId="899" priority="77826"/>
    <cfRule type="duplicateValues" dxfId="898" priority="77824"/>
    <cfRule type="duplicateValues" dxfId="897" priority="77827"/>
    <cfRule type="duplicateValues" dxfId="896" priority="77825"/>
    <cfRule type="duplicateValues" dxfId="895" priority="77823"/>
    <cfRule type="duplicateValues" dxfId="894" priority="77822"/>
    <cfRule type="duplicateValues" dxfId="893" priority="77821"/>
    <cfRule type="duplicateValues" dxfId="892" priority="77820"/>
    <cfRule type="duplicateValues" dxfId="891" priority="77819"/>
  </conditionalFormatting>
  <conditionalFormatting sqref="XDS283">
    <cfRule type="duplicateValues" dxfId="890" priority="264"/>
    <cfRule type="duplicateValues" dxfId="889" priority="263"/>
    <cfRule type="duplicateValues" dxfId="888" priority="268"/>
    <cfRule type="duplicateValues" dxfId="887" priority="265"/>
    <cfRule type="duplicateValues" dxfId="886" priority="266"/>
    <cfRule type="duplicateValues" dxfId="885" priority="267"/>
    <cfRule type="duplicateValues" dxfId="884" priority="276"/>
    <cfRule type="duplicateValues" dxfId="883" priority="275"/>
    <cfRule type="duplicateValues" dxfId="882" priority="274"/>
    <cfRule type="duplicateValues" dxfId="881" priority="273"/>
    <cfRule type="duplicateValues" dxfId="880" priority="272"/>
    <cfRule type="duplicateValues" dxfId="879" priority="271"/>
    <cfRule type="duplicateValues" dxfId="878" priority="270"/>
    <cfRule type="duplicateValues" dxfId="877" priority="269"/>
    <cfRule type="duplicateValues" dxfId="876" priority="240"/>
    <cfRule type="duplicateValues" dxfId="875" priority="241"/>
    <cfRule type="duplicateValues" dxfId="874" priority="242"/>
    <cfRule type="duplicateValues" dxfId="873" priority="243"/>
    <cfRule type="duplicateValues" dxfId="872" priority="244"/>
    <cfRule type="duplicateValues" dxfId="871" priority="245"/>
    <cfRule type="duplicateValues" dxfId="870" priority="246"/>
    <cfRule type="duplicateValues" dxfId="869" priority="247"/>
    <cfRule type="duplicateValues" dxfId="868" priority="248"/>
    <cfRule type="duplicateValues" dxfId="867" priority="249"/>
    <cfRule type="duplicateValues" dxfId="866" priority="250"/>
    <cfRule type="duplicateValues" dxfId="865" priority="251"/>
    <cfRule type="duplicateValues" dxfId="864" priority="252"/>
    <cfRule type="duplicateValues" dxfId="863" priority="253"/>
    <cfRule type="duplicateValues" dxfId="862" priority="254"/>
    <cfRule type="duplicateValues" dxfId="861" priority="255"/>
    <cfRule type="duplicateValues" dxfId="860" priority="258"/>
    <cfRule type="duplicateValues" dxfId="859" priority="259"/>
    <cfRule type="duplicateValues" dxfId="858" priority="260"/>
    <cfRule type="duplicateValues" dxfId="857" priority="261"/>
    <cfRule type="duplicateValues" dxfId="856" priority="262"/>
  </conditionalFormatting>
  <conditionalFormatting sqref="XDT283">
    <cfRule type="duplicateValues" dxfId="855" priority="257"/>
    <cfRule type="duplicateValues" dxfId="854" priority="256"/>
  </conditionalFormatting>
  <conditionalFormatting sqref="XDY123">
    <cfRule type="duplicateValues" dxfId="853" priority="1507"/>
    <cfRule type="duplicateValues" dxfId="852" priority="1506"/>
    <cfRule type="duplicateValues" dxfId="851" priority="1505"/>
    <cfRule type="duplicateValues" dxfId="850" priority="1504"/>
    <cfRule type="duplicateValues" dxfId="849" priority="1503"/>
    <cfRule type="duplicateValues" dxfId="848" priority="1509"/>
    <cfRule type="duplicateValues" dxfId="847" priority="1518"/>
    <cfRule type="duplicateValues" dxfId="846" priority="1517"/>
    <cfRule type="duplicateValues" dxfId="845" priority="1516"/>
    <cfRule type="duplicateValues" dxfId="844" priority="1515"/>
    <cfRule type="duplicateValues" dxfId="843" priority="1513"/>
    <cfRule type="duplicateValues" dxfId="842" priority="1512"/>
    <cfRule type="duplicateValues" dxfId="841" priority="1511"/>
    <cfRule type="duplicateValues" dxfId="840" priority="1510"/>
    <cfRule type="duplicateValues" dxfId="839" priority="1508"/>
  </conditionalFormatting>
  <conditionalFormatting sqref="XDZ123">
    <cfRule type="duplicateValues" dxfId="838" priority="1514"/>
  </conditionalFormatting>
  <conditionalFormatting sqref="XEB180">
    <cfRule type="duplicateValues" dxfId="837" priority="1588"/>
    <cfRule type="duplicateValues" dxfId="836" priority="1591"/>
    <cfRule type="duplicateValues" dxfId="835" priority="1590"/>
    <cfRule type="duplicateValues" dxfId="834" priority="1596"/>
    <cfRule type="duplicateValues" dxfId="833" priority="1589"/>
    <cfRule type="duplicateValues" dxfId="832" priority="1600"/>
    <cfRule type="duplicateValues" dxfId="831" priority="1587"/>
    <cfRule type="duplicateValues" dxfId="830" priority="1592"/>
    <cfRule type="duplicateValues" dxfId="829" priority="1601"/>
    <cfRule type="duplicateValues" dxfId="828" priority="1599"/>
    <cfRule type="duplicateValues" dxfId="827" priority="1597"/>
    <cfRule type="duplicateValues" dxfId="826" priority="1595"/>
    <cfRule type="duplicateValues" dxfId="825" priority="1594"/>
    <cfRule type="duplicateValues" dxfId="824" priority="1593"/>
  </conditionalFormatting>
  <conditionalFormatting sqref="XEC180">
    <cfRule type="duplicateValues" dxfId="823" priority="1598"/>
  </conditionalFormatting>
  <conditionalFormatting sqref="XEG268">
    <cfRule type="duplicateValues" dxfId="822" priority="729"/>
    <cfRule type="duplicateValues" dxfId="821" priority="728"/>
    <cfRule type="duplicateValues" dxfId="820" priority="725"/>
    <cfRule type="duplicateValues" dxfId="819" priority="724"/>
    <cfRule type="duplicateValues" dxfId="818" priority="723"/>
    <cfRule type="duplicateValues" dxfId="817" priority="722"/>
    <cfRule type="duplicateValues" dxfId="816" priority="721"/>
    <cfRule type="duplicateValues" dxfId="815" priority="720"/>
    <cfRule type="duplicateValues" dxfId="814" priority="719"/>
    <cfRule type="duplicateValues" dxfId="813" priority="740"/>
    <cfRule type="duplicateValues" dxfId="812" priority="718"/>
    <cfRule type="duplicateValues" dxfId="811" priority="717"/>
    <cfRule type="duplicateValues" dxfId="810" priority="716"/>
    <cfRule type="duplicateValues" dxfId="809" priority="715"/>
    <cfRule type="duplicateValues" dxfId="808" priority="736"/>
    <cfRule type="duplicateValues" dxfId="807" priority="737"/>
    <cfRule type="duplicateValues" dxfId="806" priority="735"/>
    <cfRule type="duplicateValues" dxfId="805" priority="734"/>
    <cfRule type="duplicateValues" dxfId="804" priority="733"/>
    <cfRule type="duplicateValues" dxfId="803" priority="741"/>
    <cfRule type="duplicateValues" dxfId="802" priority="739"/>
    <cfRule type="duplicateValues" dxfId="801" priority="738"/>
    <cfRule type="duplicateValues" dxfId="800" priority="732"/>
    <cfRule type="duplicateValues" dxfId="799" priority="731"/>
    <cfRule type="duplicateValues" dxfId="798" priority="730"/>
    <cfRule type="duplicateValues" dxfId="797" priority="751"/>
    <cfRule type="duplicateValues" dxfId="796" priority="750"/>
    <cfRule type="duplicateValues" dxfId="795" priority="749"/>
    <cfRule type="duplicateValues" dxfId="794" priority="748"/>
    <cfRule type="duplicateValues" dxfId="793" priority="747"/>
    <cfRule type="duplicateValues" dxfId="792" priority="746"/>
    <cfRule type="duplicateValues" dxfId="791" priority="745"/>
    <cfRule type="duplicateValues" dxfId="790" priority="744"/>
    <cfRule type="duplicateValues" dxfId="789" priority="743"/>
    <cfRule type="duplicateValues" dxfId="788" priority="742"/>
  </conditionalFormatting>
  <conditionalFormatting sqref="XEH72">
    <cfRule type="duplicateValues" dxfId="787" priority="1751"/>
    <cfRule type="duplicateValues" dxfId="786" priority="1752"/>
    <cfRule type="duplicateValues" dxfId="785" priority="1753"/>
    <cfRule type="duplicateValues" dxfId="784" priority="1755"/>
    <cfRule type="duplicateValues" dxfId="783" priority="1756"/>
    <cfRule type="duplicateValues" dxfId="782" priority="1764"/>
    <cfRule type="duplicateValues" dxfId="781" priority="1757"/>
    <cfRule type="duplicateValues" dxfId="780" priority="1758"/>
    <cfRule type="duplicateValues" dxfId="779" priority="1759"/>
    <cfRule type="duplicateValues" dxfId="778" priority="1760"/>
    <cfRule type="duplicateValues" dxfId="777" priority="1761"/>
    <cfRule type="duplicateValues" dxfId="776" priority="1763"/>
    <cfRule type="duplicateValues" dxfId="775" priority="1754"/>
  </conditionalFormatting>
  <conditionalFormatting sqref="XEH268">
    <cfRule type="duplicateValues" dxfId="774" priority="727"/>
    <cfRule type="duplicateValues" dxfId="773" priority="726"/>
  </conditionalFormatting>
  <conditionalFormatting sqref="XEH289">
    <cfRule type="duplicateValues" dxfId="772" priority="93"/>
    <cfRule type="duplicateValues" dxfId="771" priority="94"/>
    <cfRule type="duplicateValues" dxfId="770" priority="95"/>
    <cfRule type="duplicateValues" dxfId="769" priority="96"/>
    <cfRule type="duplicateValues" dxfId="768" priority="97"/>
    <cfRule type="duplicateValues" dxfId="767" priority="99"/>
    <cfRule type="duplicateValues" dxfId="766" priority="88"/>
    <cfRule type="duplicateValues" dxfId="765" priority="87"/>
    <cfRule type="duplicateValues" dxfId="764" priority="86"/>
    <cfRule type="duplicateValues" dxfId="763" priority="101"/>
    <cfRule type="duplicateValues" dxfId="762" priority="89"/>
    <cfRule type="duplicateValues" dxfId="761" priority="98"/>
    <cfRule type="duplicateValues" dxfId="760" priority="90"/>
    <cfRule type="duplicateValues" dxfId="759" priority="91"/>
    <cfRule type="duplicateValues" dxfId="758" priority="92"/>
    <cfRule type="duplicateValues" dxfId="757" priority="100"/>
  </conditionalFormatting>
  <conditionalFormatting sqref="XEI72">
    <cfRule type="duplicateValues" dxfId="756" priority="1762"/>
  </conditionalFormatting>
  <conditionalFormatting sqref="XEJ93">
    <cfRule type="duplicateValues" dxfId="755" priority="1857"/>
    <cfRule type="duplicateValues" dxfId="754" priority="1845"/>
    <cfRule type="duplicateValues" dxfId="753" priority="1846"/>
    <cfRule type="duplicateValues" dxfId="752" priority="1847"/>
    <cfRule type="duplicateValues" dxfId="751" priority="1848"/>
    <cfRule type="duplicateValues" dxfId="750" priority="1849"/>
    <cfRule type="duplicateValues" dxfId="749" priority="1850"/>
    <cfRule type="duplicateValues" dxfId="748" priority="1851"/>
    <cfRule type="duplicateValues" dxfId="747" priority="1852"/>
    <cfRule type="duplicateValues" dxfId="746" priority="1853"/>
    <cfRule type="duplicateValues" dxfId="745" priority="1854"/>
    <cfRule type="duplicateValues" dxfId="744" priority="1844"/>
    <cfRule type="duplicateValues" dxfId="743" priority="1856"/>
  </conditionalFormatting>
  <conditionalFormatting sqref="XEJ329">
    <cfRule type="duplicateValues" dxfId="742" priority="58"/>
    <cfRule type="duplicateValues" dxfId="741" priority="54"/>
    <cfRule type="duplicateValues" dxfId="740" priority="55"/>
    <cfRule type="duplicateValues" dxfId="739" priority="56"/>
    <cfRule type="duplicateValues" dxfId="738" priority="57"/>
  </conditionalFormatting>
  <conditionalFormatting sqref="XEK93">
    <cfRule type="duplicateValues" dxfId="737" priority="1855"/>
  </conditionalFormatting>
  <conditionalFormatting sqref="XEK282">
    <cfRule type="duplicateValues" dxfId="736" priority="283"/>
    <cfRule type="duplicateValues" dxfId="735" priority="284"/>
    <cfRule type="duplicateValues" dxfId="734" priority="285"/>
    <cfRule type="duplicateValues" dxfId="733" priority="286"/>
    <cfRule type="duplicateValues" dxfId="732" priority="287"/>
    <cfRule type="duplicateValues" dxfId="731" priority="288"/>
    <cfRule type="duplicateValues" dxfId="730" priority="289"/>
    <cfRule type="duplicateValues" dxfId="729" priority="290"/>
    <cfRule type="duplicateValues" dxfId="728" priority="291"/>
    <cfRule type="duplicateValues" dxfId="727" priority="292"/>
    <cfRule type="duplicateValues" dxfId="726" priority="279"/>
    <cfRule type="duplicateValues" dxfId="725" priority="281"/>
    <cfRule type="duplicateValues" dxfId="724" priority="282"/>
    <cfRule type="duplicateValues" dxfId="723" priority="277"/>
    <cfRule type="duplicateValues" dxfId="722" priority="278"/>
    <cfRule type="duplicateValues" dxfId="721" priority="280"/>
  </conditionalFormatting>
  <conditionalFormatting sqref="XEK283">
    <cfRule type="duplicateValues" dxfId="720" priority="236"/>
    <cfRule type="duplicateValues" dxfId="719" priority="235"/>
    <cfRule type="duplicateValues" dxfId="718" priority="234"/>
    <cfRule type="duplicateValues" dxfId="717" priority="233"/>
    <cfRule type="duplicateValues" dxfId="716" priority="232"/>
    <cfRule type="duplicateValues" dxfId="715" priority="228"/>
    <cfRule type="duplicateValues" dxfId="714" priority="238"/>
    <cfRule type="duplicateValues" dxfId="713" priority="224"/>
    <cfRule type="duplicateValues" dxfId="712" priority="239"/>
    <cfRule type="duplicateValues" dxfId="711" priority="237"/>
    <cfRule type="duplicateValues" dxfId="710" priority="231"/>
    <cfRule type="duplicateValues" dxfId="709" priority="225"/>
    <cfRule type="duplicateValues" dxfId="708" priority="226"/>
    <cfRule type="duplicateValues" dxfId="707" priority="227"/>
    <cfRule type="duplicateValues" dxfId="706" priority="229"/>
    <cfRule type="duplicateValues" dxfId="705" priority="230"/>
  </conditionalFormatting>
  <conditionalFormatting sqref="XEK284:XEK288">
    <cfRule type="duplicateValues" dxfId="704" priority="194"/>
    <cfRule type="duplicateValues" dxfId="703" priority="195"/>
    <cfRule type="duplicateValues" dxfId="702" priority="186"/>
    <cfRule type="duplicateValues" dxfId="701" priority="196"/>
    <cfRule type="duplicateValues" dxfId="700" priority="197"/>
    <cfRule type="duplicateValues" dxfId="699" priority="190"/>
    <cfRule type="duplicateValues" dxfId="698" priority="199"/>
    <cfRule type="duplicateValues" dxfId="697" priority="200"/>
    <cfRule type="duplicateValues" dxfId="696" priority="201"/>
    <cfRule type="duplicateValues" dxfId="695" priority="198"/>
    <cfRule type="duplicateValues" dxfId="694" priority="188"/>
    <cfRule type="duplicateValues" dxfId="693" priority="192"/>
    <cfRule type="duplicateValues" dxfId="692" priority="191"/>
    <cfRule type="duplicateValues" dxfId="691" priority="189"/>
    <cfRule type="duplicateValues" dxfId="690" priority="187"/>
    <cfRule type="duplicateValues" dxfId="689" priority="193"/>
  </conditionalFormatting>
  <conditionalFormatting sqref="XEM150">
    <cfRule type="duplicateValues" dxfId="688" priority="1921"/>
    <cfRule type="duplicateValues" dxfId="687" priority="1920"/>
  </conditionalFormatting>
  <conditionalFormatting sqref="XEP346">
    <cfRule type="duplicateValues" dxfId="686" priority="3"/>
    <cfRule type="duplicateValues" dxfId="685" priority="4"/>
    <cfRule type="duplicateValues" dxfId="684" priority="5"/>
    <cfRule type="duplicateValues" dxfId="683" priority="6"/>
    <cfRule type="duplicateValues" dxfId="682" priority="7"/>
    <cfRule type="duplicateValues" dxfId="681" priority="8"/>
    <cfRule type="duplicateValues" dxfId="680" priority="9"/>
    <cfRule type="duplicateValues" dxfId="679" priority="10"/>
    <cfRule type="duplicateValues" dxfId="678" priority="11"/>
    <cfRule type="duplicateValues" dxfId="677" priority="12"/>
    <cfRule type="duplicateValues" dxfId="676" priority="13"/>
    <cfRule type="duplicateValues" dxfId="675" priority="14"/>
    <cfRule type="duplicateValues" dxfId="674" priority="15"/>
    <cfRule type="duplicateValues" dxfId="673" priority="16"/>
    <cfRule type="duplicateValues" dxfId="672" priority="17"/>
    <cfRule type="duplicateValues" dxfId="671" priority="18"/>
    <cfRule type="duplicateValues" dxfId="670" priority="19"/>
    <cfRule type="duplicateValues" dxfId="669" priority="20"/>
    <cfRule type="duplicateValues" dxfId="668" priority="21"/>
    <cfRule type="duplicateValues" dxfId="667" priority="22"/>
    <cfRule type="duplicateValues" dxfId="666" priority="23"/>
    <cfRule type="duplicateValues" dxfId="665" priority="24"/>
    <cfRule type="duplicateValues" dxfId="664" priority="1"/>
    <cfRule type="duplicateValues" dxfId="663" priority="2"/>
  </conditionalFormatting>
  <conditionalFormatting sqref="XER267">
    <cfRule type="duplicateValues" dxfId="662" priority="772"/>
    <cfRule type="duplicateValues" dxfId="661" priority="771"/>
    <cfRule type="duplicateValues" dxfId="660" priority="770"/>
    <cfRule type="duplicateValues" dxfId="659" priority="769"/>
    <cfRule type="duplicateValues" dxfId="658" priority="768"/>
    <cfRule type="duplicateValues" dxfId="657" priority="767"/>
    <cfRule type="duplicateValues" dxfId="656" priority="765"/>
    <cfRule type="duplicateValues" dxfId="655" priority="762"/>
    <cfRule type="duplicateValues" dxfId="654" priority="761"/>
    <cfRule type="duplicateValues" dxfId="653" priority="760"/>
    <cfRule type="duplicateValues" dxfId="652" priority="759"/>
    <cfRule type="duplicateValues" dxfId="651" priority="766"/>
    <cfRule type="duplicateValues" dxfId="650" priority="758"/>
    <cfRule type="duplicateValues" dxfId="649" priority="757"/>
    <cfRule type="duplicateValues" dxfId="648" priority="756"/>
    <cfRule type="duplicateValues" dxfId="647" priority="755"/>
    <cfRule type="duplicateValues" dxfId="646" priority="754"/>
    <cfRule type="duplicateValues" dxfId="645" priority="753"/>
    <cfRule type="duplicateValues" dxfId="644" priority="783"/>
    <cfRule type="duplicateValues" dxfId="643" priority="752"/>
    <cfRule type="duplicateValues" dxfId="642" priority="788"/>
    <cfRule type="duplicateValues" dxfId="641" priority="787"/>
    <cfRule type="duplicateValues" dxfId="640" priority="786"/>
    <cfRule type="duplicateValues" dxfId="639" priority="785"/>
    <cfRule type="duplicateValues" dxfId="638" priority="784"/>
    <cfRule type="duplicateValues" dxfId="637" priority="782"/>
    <cfRule type="duplicateValues" dxfId="636" priority="781"/>
    <cfRule type="duplicateValues" dxfId="635" priority="780"/>
    <cfRule type="duplicateValues" dxfId="634" priority="779"/>
    <cfRule type="duplicateValues" dxfId="633" priority="778"/>
    <cfRule type="duplicateValues" dxfId="632" priority="777"/>
    <cfRule type="duplicateValues" dxfId="631" priority="776"/>
    <cfRule type="duplicateValues" dxfId="630" priority="775"/>
    <cfRule type="duplicateValues" dxfId="629" priority="774"/>
    <cfRule type="duplicateValues" dxfId="628" priority="773"/>
  </conditionalFormatting>
  <conditionalFormatting sqref="XER268">
    <cfRule type="duplicateValues" dxfId="627" priority="696"/>
    <cfRule type="duplicateValues" dxfId="626" priority="695"/>
    <cfRule type="duplicateValues" dxfId="625" priority="694"/>
    <cfRule type="duplicateValues" dxfId="624" priority="693"/>
    <cfRule type="duplicateValues" dxfId="623" priority="692"/>
    <cfRule type="duplicateValues" dxfId="622" priority="691"/>
    <cfRule type="duplicateValues" dxfId="621" priority="688"/>
    <cfRule type="duplicateValues" dxfId="620" priority="687"/>
    <cfRule type="duplicateValues" dxfId="619" priority="686"/>
    <cfRule type="duplicateValues" dxfId="618" priority="685"/>
    <cfRule type="duplicateValues" dxfId="617" priority="684"/>
    <cfRule type="duplicateValues" dxfId="616" priority="683"/>
    <cfRule type="duplicateValues" dxfId="615" priority="682"/>
    <cfRule type="duplicateValues" dxfId="614" priority="681"/>
    <cfRule type="duplicateValues" dxfId="613" priority="680"/>
    <cfRule type="duplicateValues" dxfId="612" priority="679"/>
    <cfRule type="duplicateValues" dxfId="611" priority="704"/>
    <cfRule type="duplicateValues" dxfId="610" priority="678"/>
    <cfRule type="duplicateValues" dxfId="609" priority="705"/>
    <cfRule type="duplicateValues" dxfId="608" priority="706"/>
    <cfRule type="duplicateValues" dxfId="607" priority="707"/>
    <cfRule type="duplicateValues" dxfId="606" priority="708"/>
    <cfRule type="duplicateValues" dxfId="605" priority="709"/>
    <cfRule type="duplicateValues" dxfId="604" priority="710"/>
    <cfRule type="duplicateValues" dxfId="603" priority="711"/>
    <cfRule type="duplicateValues" dxfId="602" priority="712"/>
    <cfRule type="duplicateValues" dxfId="601" priority="713"/>
    <cfRule type="duplicateValues" dxfId="600" priority="714"/>
    <cfRule type="duplicateValues" dxfId="599" priority="703"/>
    <cfRule type="duplicateValues" dxfId="598" priority="702"/>
    <cfRule type="duplicateValues" dxfId="597" priority="701"/>
    <cfRule type="duplicateValues" dxfId="596" priority="700"/>
    <cfRule type="duplicateValues" dxfId="595" priority="699"/>
    <cfRule type="duplicateValues" dxfId="594" priority="698"/>
    <cfRule type="duplicateValues" dxfId="593" priority="697"/>
  </conditionalFormatting>
  <conditionalFormatting sqref="XER269">
    <cfRule type="duplicateValues" dxfId="592" priority="643"/>
    <cfRule type="duplicateValues" dxfId="591" priority="659"/>
    <cfRule type="duplicateValues" dxfId="590" priority="651"/>
    <cfRule type="duplicateValues" dxfId="589" priority="650"/>
    <cfRule type="duplicateValues" dxfId="588" priority="649"/>
    <cfRule type="duplicateValues" dxfId="587" priority="648"/>
    <cfRule type="duplicateValues" dxfId="586" priority="647"/>
    <cfRule type="duplicateValues" dxfId="585" priority="646"/>
    <cfRule type="duplicateValues" dxfId="584" priority="645"/>
    <cfRule type="duplicateValues" dxfId="583" priority="644"/>
    <cfRule type="duplicateValues" dxfId="582" priority="677"/>
    <cfRule type="duplicateValues" dxfId="581" priority="641"/>
    <cfRule type="duplicateValues" dxfId="580" priority="658"/>
    <cfRule type="duplicateValues" dxfId="579" priority="657"/>
    <cfRule type="duplicateValues" dxfId="578" priority="656"/>
    <cfRule type="duplicateValues" dxfId="577" priority="655"/>
    <cfRule type="duplicateValues" dxfId="576" priority="654"/>
    <cfRule type="duplicateValues" dxfId="575" priority="642"/>
    <cfRule type="duplicateValues" dxfId="574" priority="664"/>
    <cfRule type="duplicateValues" dxfId="573" priority="666"/>
    <cfRule type="duplicateValues" dxfId="572" priority="665"/>
    <cfRule type="duplicateValues" dxfId="571" priority="676"/>
    <cfRule type="duplicateValues" dxfId="570" priority="675"/>
    <cfRule type="duplicateValues" dxfId="569" priority="674"/>
    <cfRule type="duplicateValues" dxfId="568" priority="673"/>
    <cfRule type="duplicateValues" dxfId="567" priority="672"/>
    <cfRule type="duplicateValues" dxfId="566" priority="671"/>
    <cfRule type="duplicateValues" dxfId="565" priority="670"/>
    <cfRule type="duplicateValues" dxfId="564" priority="669"/>
    <cfRule type="duplicateValues" dxfId="563" priority="668"/>
    <cfRule type="duplicateValues" dxfId="562" priority="667"/>
    <cfRule type="duplicateValues" dxfId="561" priority="663"/>
    <cfRule type="duplicateValues" dxfId="560" priority="662"/>
    <cfRule type="duplicateValues" dxfId="559" priority="661"/>
    <cfRule type="duplicateValues" dxfId="558" priority="660"/>
  </conditionalFormatting>
  <conditionalFormatting sqref="XER329 XEJ329">
    <cfRule type="duplicateValues" dxfId="557" priority="61"/>
  </conditionalFormatting>
  <conditionalFormatting sqref="XER329">
    <cfRule type="duplicateValues" dxfId="556" priority="51"/>
    <cfRule type="duplicateValues" dxfId="555" priority="52"/>
    <cfRule type="duplicateValues" dxfId="554" priority="49"/>
    <cfRule type="duplicateValues" dxfId="553" priority="50"/>
    <cfRule type="duplicateValues" dxfId="552" priority="53"/>
  </conditionalFormatting>
  <conditionalFormatting sqref="XER341">
    <cfRule type="duplicateValues" dxfId="551" priority="25"/>
    <cfRule type="duplicateValues" dxfId="550" priority="42"/>
    <cfRule type="duplicateValues" dxfId="549" priority="43"/>
    <cfRule type="duplicateValues" dxfId="548" priority="44"/>
    <cfRule type="duplicateValues" dxfId="547" priority="40"/>
    <cfRule type="duplicateValues" dxfId="546" priority="41"/>
    <cfRule type="duplicateValues" dxfId="545" priority="26"/>
    <cfRule type="duplicateValues" dxfId="544" priority="27"/>
    <cfRule type="duplicateValues" dxfId="543" priority="28"/>
    <cfRule type="duplicateValues" dxfId="542" priority="29"/>
    <cfRule type="duplicateValues" dxfId="541" priority="30"/>
    <cfRule type="duplicateValues" dxfId="540" priority="31"/>
    <cfRule type="duplicateValues" dxfId="539" priority="32"/>
    <cfRule type="duplicateValues" dxfId="538" priority="45"/>
    <cfRule type="duplicateValues" dxfId="537" priority="46"/>
    <cfRule type="duplicateValues" dxfId="536" priority="47"/>
    <cfRule type="duplicateValues" dxfId="535" priority="48"/>
    <cfRule type="duplicateValues" dxfId="534" priority="34"/>
    <cfRule type="duplicateValues" dxfId="533" priority="33"/>
    <cfRule type="duplicateValues" dxfId="532" priority="36"/>
    <cfRule type="duplicateValues" dxfId="531" priority="35"/>
    <cfRule type="duplicateValues" dxfId="530" priority="37"/>
    <cfRule type="duplicateValues" dxfId="529" priority="38"/>
    <cfRule type="duplicateValues" dxfId="528" priority="39"/>
  </conditionalFormatting>
  <conditionalFormatting sqref="XES267">
    <cfRule type="duplicateValues" dxfId="527" priority="763"/>
    <cfRule type="duplicateValues" dxfId="526" priority="764"/>
  </conditionalFormatting>
  <conditionalFormatting sqref="XES268">
    <cfRule type="duplicateValues" dxfId="525" priority="689"/>
    <cfRule type="duplicateValues" dxfId="524" priority="690"/>
  </conditionalFormatting>
  <conditionalFormatting sqref="XES269">
    <cfRule type="duplicateValues" dxfId="523" priority="653"/>
    <cfRule type="duplicateValues" dxfId="522" priority="652"/>
  </conditionalFormatting>
  <conditionalFormatting sqref="XES329 XEK329">
    <cfRule type="duplicateValues" dxfId="521" priority="59"/>
    <cfRule type="duplicateValues" dxfId="520" priority="60"/>
  </conditionalFormatting>
  <conditionalFormatting sqref="XEX323:XEX328 B323:B329">
    <cfRule type="duplicateValues" dxfId="519" priority="69"/>
  </conditionalFormatting>
  <conditionalFormatting sqref="XEX323:XEX328">
    <cfRule type="duplicateValues" dxfId="518" priority="63"/>
    <cfRule type="duplicateValues" dxfId="517" priority="64"/>
    <cfRule type="duplicateValues" dxfId="516" priority="66"/>
    <cfRule type="duplicateValues" dxfId="515" priority="65"/>
    <cfRule type="duplicateValues" dxfId="514" priority="62"/>
  </conditionalFormatting>
  <conditionalFormatting sqref="XEY323:XEY328 C323:C339">
    <cfRule type="duplicateValues" dxfId="513" priority="68"/>
    <cfRule type="duplicateValues" dxfId="512" priority="67"/>
  </conditionalFormatting>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7600-FFED-4EC3-9806-4665F73E1DA0}">
  <dimension ref="A1:XEW460"/>
  <sheetViews>
    <sheetView topLeftCell="A51" zoomScale="70" zoomScaleNormal="70" workbookViewId="0">
      <selection activeCell="AI57" sqref="AI57"/>
    </sheetView>
  </sheetViews>
  <sheetFormatPr defaultColWidth="9.125" defaultRowHeight="15.75" x14ac:dyDescent="0.25"/>
  <cols>
    <col min="1" max="1" width="8.25" style="26" customWidth="1"/>
    <col min="2" max="2" width="9.625" style="28" customWidth="1"/>
    <col min="3" max="3" width="23.375" style="26" customWidth="1"/>
    <col min="4" max="4" width="19.625" style="26" customWidth="1"/>
    <col min="5" max="5" width="19.75" style="26" customWidth="1"/>
    <col min="6" max="6" width="9.5" style="26" bestFit="1" customWidth="1"/>
    <col min="7" max="7" width="26" style="22" customWidth="1"/>
    <col min="8" max="8" width="17.625" style="22" customWidth="1"/>
    <col min="9" max="9" width="13.125" style="29" hidden="1" customWidth="1"/>
    <col min="10" max="11" width="14.75" style="29" hidden="1" customWidth="1"/>
    <col min="12" max="12" width="17.25" style="29" hidden="1" customWidth="1"/>
    <col min="13" max="13" width="15.375" style="29" hidden="1" customWidth="1"/>
    <col min="14" max="19" width="17.25" style="29" hidden="1" customWidth="1"/>
    <col min="20" max="20" width="14.375" style="29" hidden="1" customWidth="1"/>
    <col min="21" max="21" width="14.75" style="29" hidden="1" customWidth="1"/>
    <col min="22" max="22" width="17.25" style="29" hidden="1" customWidth="1"/>
    <col min="23" max="23" width="13.375" style="29" hidden="1" customWidth="1"/>
    <col min="24" max="24" width="17.25" style="29" hidden="1" customWidth="1"/>
    <col min="25" max="25" width="10.375" style="29" hidden="1" customWidth="1"/>
    <col min="26" max="26" width="17.25" style="29" hidden="1" customWidth="1"/>
    <col min="27" max="27" width="13.125" style="29" hidden="1" customWidth="1"/>
    <col min="28" max="33" width="13.25" style="29" hidden="1" customWidth="1"/>
    <col min="34" max="34" width="16.75" style="29" hidden="1" customWidth="1"/>
    <col min="35" max="35" width="17.25" style="22" customWidth="1"/>
    <col min="36" max="36" width="14.75" style="22" customWidth="1"/>
    <col min="37" max="38" width="19.125" style="22" customWidth="1"/>
    <col min="39" max="39" width="25.625" style="22" customWidth="1"/>
    <col min="40" max="16384" width="9.125" style="22"/>
  </cols>
  <sheetData>
    <row r="1" spans="1:39" x14ac:dyDescent="0.25">
      <c r="D1" s="87"/>
      <c r="I1" s="7">
        <v>46266</v>
      </c>
      <c r="J1" s="7">
        <v>46267</v>
      </c>
      <c r="K1" s="7">
        <v>46268</v>
      </c>
      <c r="L1" s="7">
        <v>46269</v>
      </c>
      <c r="M1" s="7">
        <v>46270</v>
      </c>
      <c r="N1" s="7">
        <v>46271</v>
      </c>
      <c r="O1" s="7">
        <v>46272</v>
      </c>
      <c r="P1" s="7">
        <v>46273</v>
      </c>
      <c r="Q1" s="7">
        <v>46274</v>
      </c>
      <c r="R1" s="7">
        <v>46275</v>
      </c>
      <c r="S1" s="7">
        <v>46276</v>
      </c>
      <c r="T1" s="7">
        <v>46277</v>
      </c>
      <c r="U1" s="7">
        <v>46278</v>
      </c>
      <c r="V1" s="7">
        <v>46279</v>
      </c>
      <c r="W1" s="7">
        <v>46280</v>
      </c>
      <c r="X1" s="7">
        <v>46281</v>
      </c>
      <c r="Y1" s="7">
        <v>46282</v>
      </c>
      <c r="Z1" s="7">
        <v>46283</v>
      </c>
      <c r="AA1" s="7">
        <v>46284</v>
      </c>
      <c r="AB1" s="7">
        <v>46285</v>
      </c>
      <c r="AC1" s="7">
        <v>46286</v>
      </c>
      <c r="AD1" s="7">
        <v>46287</v>
      </c>
      <c r="AE1" s="7">
        <v>46288</v>
      </c>
      <c r="AF1" s="7">
        <v>46289</v>
      </c>
      <c r="AG1" s="7">
        <v>46290</v>
      </c>
      <c r="AH1" s="7">
        <v>46291</v>
      </c>
      <c r="AI1" s="7">
        <v>46292</v>
      </c>
      <c r="AJ1" s="7">
        <v>46293</v>
      </c>
      <c r="AK1" s="7">
        <v>46294</v>
      </c>
      <c r="AL1" s="7">
        <v>46295</v>
      </c>
    </row>
    <row r="2" spans="1:39" x14ac:dyDescent="0.25">
      <c r="D2" s="87"/>
      <c r="G2" s="30" t="s">
        <v>33</v>
      </c>
      <c r="H2" s="30" t="s">
        <v>34</v>
      </c>
      <c r="I2" s="9">
        <f t="shared" ref="I2:AL2" si="0">SUM(I3:I5)</f>
        <v>0</v>
      </c>
      <c r="J2" s="9">
        <f t="shared" si="0"/>
        <v>0</v>
      </c>
      <c r="K2" s="9">
        <f t="shared" si="0"/>
        <v>0</v>
      </c>
      <c r="L2" s="9">
        <f t="shared" si="0"/>
        <v>0</v>
      </c>
      <c r="M2" s="9">
        <f t="shared" si="0"/>
        <v>0</v>
      </c>
      <c r="N2" s="9">
        <f t="shared" si="0"/>
        <v>0</v>
      </c>
      <c r="O2" s="9">
        <f t="shared" si="0"/>
        <v>0</v>
      </c>
      <c r="P2" s="9">
        <f t="shared" si="0"/>
        <v>0</v>
      </c>
      <c r="Q2" s="9">
        <f t="shared" si="0"/>
        <v>0</v>
      </c>
      <c r="R2" s="9">
        <f t="shared" si="0"/>
        <v>0</v>
      </c>
      <c r="S2" s="9">
        <f t="shared" si="0"/>
        <v>0</v>
      </c>
      <c r="T2" s="9">
        <f t="shared" si="0"/>
        <v>0</v>
      </c>
      <c r="U2" s="9">
        <f t="shared" si="0"/>
        <v>0</v>
      </c>
      <c r="V2" s="9">
        <f t="shared" si="0"/>
        <v>0</v>
      </c>
      <c r="W2" s="9">
        <f t="shared" si="0"/>
        <v>0</v>
      </c>
      <c r="X2" s="9">
        <f t="shared" si="0"/>
        <v>0</v>
      </c>
      <c r="Y2" s="9">
        <f t="shared" si="0"/>
        <v>0</v>
      </c>
      <c r="Z2" s="9">
        <f t="shared" si="0"/>
        <v>0</v>
      </c>
      <c r="AA2" s="9">
        <f t="shared" si="0"/>
        <v>0</v>
      </c>
      <c r="AB2" s="9">
        <f t="shared" si="0"/>
        <v>0</v>
      </c>
      <c r="AC2" s="9">
        <f t="shared" si="0"/>
        <v>0</v>
      </c>
      <c r="AD2" s="9">
        <f t="shared" si="0"/>
        <v>71</v>
      </c>
      <c r="AE2" s="9">
        <f t="shared" si="0"/>
        <v>43</v>
      </c>
      <c r="AF2" s="9">
        <f t="shared" si="0"/>
        <v>41</v>
      </c>
      <c r="AG2" s="9">
        <f t="shared" si="0"/>
        <v>46</v>
      </c>
      <c r="AH2" s="9">
        <f t="shared" si="0"/>
        <v>40</v>
      </c>
      <c r="AI2" s="9">
        <f>SUM(AI3:AI5)</f>
        <v>71</v>
      </c>
      <c r="AJ2" s="9">
        <f t="shared" si="0"/>
        <v>40</v>
      </c>
      <c r="AK2" s="9">
        <f t="shared" si="0"/>
        <v>41</v>
      </c>
      <c r="AL2" s="9">
        <f t="shared" si="0"/>
        <v>37</v>
      </c>
    </row>
    <row r="3" spans="1:39" x14ac:dyDescent="0.25">
      <c r="C3" s="31"/>
      <c r="D3" s="87"/>
      <c r="G3" s="22" t="s">
        <v>35</v>
      </c>
      <c r="H3" s="31" t="s">
        <v>36</v>
      </c>
      <c r="I3" s="32">
        <f t="shared" ref="I3:AL3" si="1">COUNTIFS(I$11:I$460,$H3)</f>
        <v>0</v>
      </c>
      <c r="J3" s="32">
        <f t="shared" si="1"/>
        <v>0</v>
      </c>
      <c r="K3" s="32">
        <f t="shared" si="1"/>
        <v>0</v>
      </c>
      <c r="L3" s="32">
        <f t="shared" si="1"/>
        <v>0</v>
      </c>
      <c r="M3" s="32">
        <f t="shared" si="1"/>
        <v>0</v>
      </c>
      <c r="N3" s="32">
        <f t="shared" si="1"/>
        <v>0</v>
      </c>
      <c r="O3" s="32">
        <f t="shared" si="1"/>
        <v>0</v>
      </c>
      <c r="P3" s="32">
        <f t="shared" si="1"/>
        <v>0</v>
      </c>
      <c r="Q3" s="32">
        <f t="shared" si="1"/>
        <v>0</v>
      </c>
      <c r="R3" s="32">
        <f t="shared" si="1"/>
        <v>0</v>
      </c>
      <c r="S3" s="32">
        <f t="shared" si="1"/>
        <v>0</v>
      </c>
      <c r="T3" s="32">
        <f t="shared" si="1"/>
        <v>0</v>
      </c>
      <c r="U3" s="32">
        <f t="shared" si="1"/>
        <v>0</v>
      </c>
      <c r="V3" s="32">
        <f t="shared" si="1"/>
        <v>0</v>
      </c>
      <c r="W3" s="32">
        <f t="shared" si="1"/>
        <v>0</v>
      </c>
      <c r="X3" s="32">
        <f t="shared" si="1"/>
        <v>0</v>
      </c>
      <c r="Y3" s="32">
        <f t="shared" si="1"/>
        <v>0</v>
      </c>
      <c r="Z3" s="32">
        <f t="shared" si="1"/>
        <v>0</v>
      </c>
      <c r="AA3" s="32">
        <f t="shared" si="1"/>
        <v>0</v>
      </c>
      <c r="AB3" s="32">
        <f t="shared" si="1"/>
        <v>0</v>
      </c>
      <c r="AC3" s="32">
        <f t="shared" si="1"/>
        <v>0</v>
      </c>
      <c r="AD3" s="32">
        <f t="shared" si="1"/>
        <v>12</v>
      </c>
      <c r="AE3" s="32">
        <f t="shared" si="1"/>
        <v>13</v>
      </c>
      <c r="AF3" s="32">
        <f t="shared" si="1"/>
        <v>13</v>
      </c>
      <c r="AG3" s="32">
        <f t="shared" si="1"/>
        <v>13</v>
      </c>
      <c r="AH3" s="32">
        <f t="shared" si="1"/>
        <v>12</v>
      </c>
      <c r="AI3" s="32">
        <f t="shared" si="1"/>
        <v>11</v>
      </c>
      <c r="AJ3" s="32">
        <f t="shared" si="1"/>
        <v>13</v>
      </c>
      <c r="AK3" s="32">
        <f t="shared" si="1"/>
        <v>11</v>
      </c>
      <c r="AL3" s="32">
        <f t="shared" si="1"/>
        <v>9</v>
      </c>
    </row>
    <row r="4" spans="1:39" x14ac:dyDescent="0.25">
      <c r="C4" s="22"/>
      <c r="D4" s="89"/>
      <c r="G4" s="22" t="s">
        <v>41</v>
      </c>
      <c r="H4" s="22" t="s">
        <v>42</v>
      </c>
      <c r="I4" s="35">
        <f t="shared" ref="I4:AL4" si="2">COUNTIFS(I$11:I$460,$H4)-I5</f>
        <v>0</v>
      </c>
      <c r="J4" s="35">
        <f t="shared" si="2"/>
        <v>0</v>
      </c>
      <c r="K4" s="35">
        <f t="shared" si="2"/>
        <v>0</v>
      </c>
      <c r="L4" s="35">
        <f t="shared" si="2"/>
        <v>0</v>
      </c>
      <c r="M4" s="35">
        <f t="shared" si="2"/>
        <v>0</v>
      </c>
      <c r="N4" s="35">
        <f t="shared" si="2"/>
        <v>0</v>
      </c>
      <c r="O4" s="35">
        <f t="shared" si="2"/>
        <v>0</v>
      </c>
      <c r="P4" s="35">
        <f t="shared" si="2"/>
        <v>0</v>
      </c>
      <c r="Q4" s="35">
        <f t="shared" si="2"/>
        <v>0</v>
      </c>
      <c r="R4" s="35">
        <f t="shared" si="2"/>
        <v>0</v>
      </c>
      <c r="S4" s="35">
        <f t="shared" si="2"/>
        <v>0</v>
      </c>
      <c r="T4" s="35">
        <f t="shared" si="2"/>
        <v>0</v>
      </c>
      <c r="U4" s="35">
        <f t="shared" si="2"/>
        <v>0</v>
      </c>
      <c r="V4" s="35">
        <f t="shared" si="2"/>
        <v>0</v>
      </c>
      <c r="W4" s="35">
        <f t="shared" si="2"/>
        <v>0</v>
      </c>
      <c r="X4" s="35">
        <f t="shared" si="2"/>
        <v>0</v>
      </c>
      <c r="Y4" s="35">
        <f t="shared" si="2"/>
        <v>0</v>
      </c>
      <c r="Z4" s="35">
        <f t="shared" si="2"/>
        <v>0</v>
      </c>
      <c r="AA4" s="35">
        <f t="shared" si="2"/>
        <v>0</v>
      </c>
      <c r="AB4" s="35">
        <f t="shared" si="2"/>
        <v>0</v>
      </c>
      <c r="AC4" s="35">
        <f t="shared" si="2"/>
        <v>0</v>
      </c>
      <c r="AD4" s="35">
        <f t="shared" si="2"/>
        <v>59</v>
      </c>
      <c r="AE4" s="35">
        <f t="shared" si="2"/>
        <v>30</v>
      </c>
      <c r="AF4" s="35">
        <f t="shared" si="2"/>
        <v>28</v>
      </c>
      <c r="AG4" s="35">
        <f t="shared" si="2"/>
        <v>33</v>
      </c>
      <c r="AH4" s="35">
        <f t="shared" si="2"/>
        <v>28</v>
      </c>
      <c r="AI4" s="35">
        <f t="shared" si="2"/>
        <v>52</v>
      </c>
      <c r="AJ4" s="35">
        <f t="shared" si="2"/>
        <v>27</v>
      </c>
      <c r="AK4" s="35">
        <f t="shared" si="2"/>
        <v>30</v>
      </c>
      <c r="AL4" s="35">
        <f t="shared" si="2"/>
        <v>28</v>
      </c>
      <c r="AM4" s="37"/>
    </row>
    <row r="5" spans="1:39" x14ac:dyDescent="0.25">
      <c r="C5" s="22"/>
      <c r="G5" s="22" t="s">
        <v>43</v>
      </c>
      <c r="H5" s="22" t="s">
        <v>44</v>
      </c>
      <c r="I5" s="35"/>
      <c r="J5" s="35"/>
      <c r="K5" s="35"/>
      <c r="L5" s="35"/>
      <c r="M5" s="35"/>
      <c r="N5" s="35"/>
      <c r="O5" s="35"/>
      <c r="P5" s="35"/>
      <c r="Q5" s="35"/>
      <c r="R5" s="35"/>
      <c r="S5" s="35"/>
      <c r="T5" s="35"/>
      <c r="U5" s="36"/>
      <c r="V5" s="35"/>
      <c r="W5" s="35"/>
      <c r="X5" s="35"/>
      <c r="Y5" s="35"/>
      <c r="Z5" s="35"/>
      <c r="AA5" s="35"/>
      <c r="AB5" s="35"/>
      <c r="AC5" s="35"/>
      <c r="AD5" s="35"/>
      <c r="AE5" s="35"/>
      <c r="AF5" s="35"/>
      <c r="AG5" s="35"/>
      <c r="AH5" s="35"/>
      <c r="AI5" s="22">
        <f>8</f>
        <v>8</v>
      </c>
    </row>
    <row r="6" spans="1:39" x14ac:dyDescent="0.25">
      <c r="E6" s="37">
        <f>SUM(I6:AL6)</f>
        <v>430</v>
      </c>
      <c r="G6" s="30"/>
      <c r="H6" s="30"/>
      <c r="I6" s="9">
        <f>SUM(I7:I8)</f>
        <v>0</v>
      </c>
      <c r="J6" s="9">
        <f>SUM(J7:J8)</f>
        <v>0</v>
      </c>
      <c r="K6" s="9">
        <f t="shared" ref="K6:AL6" si="3">SUM(K7:K8)</f>
        <v>0</v>
      </c>
      <c r="L6" s="9">
        <f t="shared" si="3"/>
        <v>0</v>
      </c>
      <c r="M6" s="9">
        <f t="shared" si="3"/>
        <v>0</v>
      </c>
      <c r="N6" s="9">
        <f t="shared" si="3"/>
        <v>0</v>
      </c>
      <c r="O6" s="9">
        <f t="shared" si="3"/>
        <v>0</v>
      </c>
      <c r="P6" s="9">
        <f t="shared" si="3"/>
        <v>0</v>
      </c>
      <c r="Q6" s="9">
        <f t="shared" si="3"/>
        <v>0</v>
      </c>
      <c r="R6" s="9">
        <f t="shared" si="3"/>
        <v>0</v>
      </c>
      <c r="S6" s="9">
        <f t="shared" si="3"/>
        <v>0</v>
      </c>
      <c r="T6" s="9">
        <f t="shared" si="3"/>
        <v>0</v>
      </c>
      <c r="U6" s="9">
        <f t="shared" si="3"/>
        <v>0</v>
      </c>
      <c r="V6" s="9">
        <f t="shared" si="3"/>
        <v>0</v>
      </c>
      <c r="W6" s="9">
        <f t="shared" si="3"/>
        <v>0</v>
      </c>
      <c r="X6" s="9">
        <f t="shared" si="3"/>
        <v>0</v>
      </c>
      <c r="Y6" s="9">
        <f t="shared" si="3"/>
        <v>0</v>
      </c>
      <c r="Z6" s="9">
        <f t="shared" si="3"/>
        <v>0</v>
      </c>
      <c r="AA6" s="9">
        <f t="shared" si="3"/>
        <v>0</v>
      </c>
      <c r="AB6" s="9">
        <f t="shared" si="3"/>
        <v>0</v>
      </c>
      <c r="AC6" s="9">
        <f t="shared" si="3"/>
        <v>0</v>
      </c>
      <c r="AD6" s="9">
        <f t="shared" si="3"/>
        <v>71</v>
      </c>
      <c r="AE6" s="9">
        <f t="shared" si="3"/>
        <v>43</v>
      </c>
      <c r="AF6" s="9">
        <f t="shared" si="3"/>
        <v>41</v>
      </c>
      <c r="AG6" s="9">
        <f t="shared" si="3"/>
        <v>46</v>
      </c>
      <c r="AH6" s="9">
        <f t="shared" si="3"/>
        <v>40</v>
      </c>
      <c r="AI6" s="9">
        <f t="shared" si="3"/>
        <v>71</v>
      </c>
      <c r="AJ6" s="9">
        <f t="shared" si="3"/>
        <v>40</v>
      </c>
      <c r="AK6" s="9">
        <f t="shared" si="3"/>
        <v>41</v>
      </c>
      <c r="AL6" s="9">
        <f t="shared" si="3"/>
        <v>37</v>
      </c>
    </row>
    <row r="7" spans="1:39" x14ac:dyDescent="0.25">
      <c r="D7" s="87">
        <v>57</v>
      </c>
      <c r="E7" s="37">
        <f>SUM(I7:AL7)</f>
        <v>107</v>
      </c>
      <c r="G7" s="31" t="s">
        <v>45</v>
      </c>
      <c r="I7" s="32">
        <f t="shared" ref="I7:AL7" si="4">I3</f>
        <v>0</v>
      </c>
      <c r="J7" s="32">
        <f t="shared" si="4"/>
        <v>0</v>
      </c>
      <c r="K7" s="32">
        <f t="shared" si="4"/>
        <v>0</v>
      </c>
      <c r="L7" s="32">
        <f t="shared" si="4"/>
        <v>0</v>
      </c>
      <c r="M7" s="32">
        <f t="shared" si="4"/>
        <v>0</v>
      </c>
      <c r="N7" s="32">
        <f t="shared" si="4"/>
        <v>0</v>
      </c>
      <c r="O7" s="32">
        <f t="shared" si="4"/>
        <v>0</v>
      </c>
      <c r="P7" s="32">
        <f t="shared" si="4"/>
        <v>0</v>
      </c>
      <c r="Q7" s="32">
        <f t="shared" si="4"/>
        <v>0</v>
      </c>
      <c r="R7" s="32">
        <f t="shared" si="4"/>
        <v>0</v>
      </c>
      <c r="S7" s="32">
        <f t="shared" si="4"/>
        <v>0</v>
      </c>
      <c r="T7" s="32">
        <f t="shared" si="4"/>
        <v>0</v>
      </c>
      <c r="U7" s="32">
        <f t="shared" si="4"/>
        <v>0</v>
      </c>
      <c r="V7" s="32">
        <f t="shared" si="4"/>
        <v>0</v>
      </c>
      <c r="W7" s="32">
        <f t="shared" si="4"/>
        <v>0</v>
      </c>
      <c r="X7" s="32">
        <f t="shared" si="4"/>
        <v>0</v>
      </c>
      <c r="Y7" s="32">
        <f t="shared" si="4"/>
        <v>0</v>
      </c>
      <c r="Z7" s="32">
        <f t="shared" si="4"/>
        <v>0</v>
      </c>
      <c r="AA7" s="32">
        <f t="shared" si="4"/>
        <v>0</v>
      </c>
      <c r="AB7" s="32">
        <f t="shared" si="4"/>
        <v>0</v>
      </c>
      <c r="AC7" s="32">
        <f t="shared" si="4"/>
        <v>0</v>
      </c>
      <c r="AD7" s="32">
        <f t="shared" si="4"/>
        <v>12</v>
      </c>
      <c r="AE7" s="32">
        <f t="shared" si="4"/>
        <v>13</v>
      </c>
      <c r="AF7" s="32">
        <f t="shared" si="4"/>
        <v>13</v>
      </c>
      <c r="AG7" s="32">
        <f t="shared" si="4"/>
        <v>13</v>
      </c>
      <c r="AH7" s="32">
        <f t="shared" si="4"/>
        <v>12</v>
      </c>
      <c r="AI7" s="32">
        <f t="shared" si="4"/>
        <v>11</v>
      </c>
      <c r="AJ7" s="32">
        <f t="shared" si="4"/>
        <v>13</v>
      </c>
      <c r="AK7" s="32">
        <f t="shared" si="4"/>
        <v>11</v>
      </c>
      <c r="AL7" s="32">
        <f t="shared" si="4"/>
        <v>9</v>
      </c>
    </row>
    <row r="8" spans="1:39" x14ac:dyDescent="0.25">
      <c r="E8" s="37">
        <f>SUM(I8:AL8)</f>
        <v>323</v>
      </c>
      <c r="G8" s="31" t="s">
        <v>46</v>
      </c>
      <c r="I8" s="32">
        <f t="shared" ref="I8:AL8" si="5">I2-I3</f>
        <v>0</v>
      </c>
      <c r="J8" s="32">
        <f t="shared" si="5"/>
        <v>0</v>
      </c>
      <c r="K8" s="32">
        <f t="shared" si="5"/>
        <v>0</v>
      </c>
      <c r="L8" s="32">
        <f t="shared" si="5"/>
        <v>0</v>
      </c>
      <c r="M8" s="32">
        <f t="shared" si="5"/>
        <v>0</v>
      </c>
      <c r="N8" s="32">
        <f t="shared" si="5"/>
        <v>0</v>
      </c>
      <c r="O8" s="32">
        <f t="shared" si="5"/>
        <v>0</v>
      </c>
      <c r="P8" s="32">
        <f t="shared" si="5"/>
        <v>0</v>
      </c>
      <c r="Q8" s="32">
        <f t="shared" si="5"/>
        <v>0</v>
      </c>
      <c r="R8" s="32">
        <f t="shared" si="5"/>
        <v>0</v>
      </c>
      <c r="S8" s="32">
        <f t="shared" si="5"/>
        <v>0</v>
      </c>
      <c r="T8" s="32">
        <f t="shared" si="5"/>
        <v>0</v>
      </c>
      <c r="U8" s="32">
        <f t="shared" si="5"/>
        <v>0</v>
      </c>
      <c r="V8" s="32">
        <f t="shared" si="5"/>
        <v>0</v>
      </c>
      <c r="W8" s="32">
        <f t="shared" si="5"/>
        <v>0</v>
      </c>
      <c r="X8" s="32">
        <f t="shared" si="5"/>
        <v>0</v>
      </c>
      <c r="Y8" s="32">
        <f t="shared" si="5"/>
        <v>0</v>
      </c>
      <c r="Z8" s="32">
        <f t="shared" si="5"/>
        <v>0</v>
      </c>
      <c r="AA8" s="32">
        <f t="shared" si="5"/>
        <v>0</v>
      </c>
      <c r="AB8" s="32">
        <f t="shared" si="5"/>
        <v>0</v>
      </c>
      <c r="AC8" s="32">
        <f t="shared" si="5"/>
        <v>0</v>
      </c>
      <c r="AD8" s="32">
        <f t="shared" si="5"/>
        <v>59</v>
      </c>
      <c r="AE8" s="32">
        <f t="shared" si="5"/>
        <v>30</v>
      </c>
      <c r="AF8" s="32">
        <f t="shared" si="5"/>
        <v>28</v>
      </c>
      <c r="AG8" s="32">
        <f t="shared" si="5"/>
        <v>33</v>
      </c>
      <c r="AH8" s="32">
        <f t="shared" si="5"/>
        <v>28</v>
      </c>
      <c r="AI8" s="32">
        <f t="shared" si="5"/>
        <v>60</v>
      </c>
      <c r="AJ8" s="32">
        <f t="shared" si="5"/>
        <v>27</v>
      </c>
      <c r="AK8" s="32">
        <f t="shared" si="5"/>
        <v>30</v>
      </c>
      <c r="AL8" s="32">
        <f t="shared" si="5"/>
        <v>28</v>
      </c>
    </row>
    <row r="9" spans="1:39" x14ac:dyDescent="0.25">
      <c r="G9" s="30"/>
      <c r="H9" s="30"/>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row>
    <row r="10" spans="1:39" ht="24" customHeight="1" x14ac:dyDescent="0.25">
      <c r="AM10" s="37">
        <f>E6-SUM(AM12:AM352)</f>
        <v>0</v>
      </c>
    </row>
    <row r="11" spans="1:39" s="27" customFormat="1" x14ac:dyDescent="0.25">
      <c r="A11" s="14" t="s">
        <v>47</v>
      </c>
      <c r="B11" s="15" t="s">
        <v>48</v>
      </c>
      <c r="C11" s="14" t="s">
        <v>49</v>
      </c>
      <c r="D11" s="14" t="s">
        <v>50</v>
      </c>
      <c r="E11" s="14" t="s">
        <v>51</v>
      </c>
      <c r="F11" s="14" t="s">
        <v>52</v>
      </c>
      <c r="G11" s="16"/>
      <c r="H11" s="17" t="s">
        <v>53</v>
      </c>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t="s">
        <v>54</v>
      </c>
    </row>
    <row r="12" spans="1:39" x14ac:dyDescent="0.25">
      <c r="A12" s="20" t="s">
        <v>55</v>
      </c>
      <c r="B12" s="38">
        <v>26000</v>
      </c>
      <c r="C12" s="20" t="s">
        <v>1014</v>
      </c>
      <c r="D12" s="20" t="s">
        <v>1044</v>
      </c>
      <c r="E12" s="20"/>
      <c r="F12" s="20" t="s">
        <v>1013</v>
      </c>
      <c r="G12" s="39"/>
      <c r="H12" s="40"/>
      <c r="I12" s="22"/>
      <c r="L12" s="22"/>
      <c r="M12" s="22"/>
      <c r="O12" s="22"/>
      <c r="P12" s="22"/>
      <c r="Q12" s="22"/>
      <c r="R12" s="22"/>
      <c r="S12" s="22"/>
      <c r="T12" s="22"/>
      <c r="U12" s="22"/>
      <c r="V12" s="22"/>
      <c r="W12" s="22"/>
      <c r="X12" s="22"/>
      <c r="Y12" s="22"/>
      <c r="Z12" s="22"/>
      <c r="AA12" s="22"/>
      <c r="AB12" s="22"/>
      <c r="AC12" s="22"/>
      <c r="AD12" s="22" t="s">
        <v>42</v>
      </c>
      <c r="AE12" s="22" t="s">
        <v>42</v>
      </c>
      <c r="AF12" s="22" t="s">
        <v>42</v>
      </c>
      <c r="AG12" s="22" t="s">
        <v>42</v>
      </c>
      <c r="AH12" s="22" t="s">
        <v>42</v>
      </c>
      <c r="AJ12" s="22" t="s">
        <v>42</v>
      </c>
      <c r="AK12" s="22" t="s">
        <v>42</v>
      </c>
      <c r="AL12" s="22" t="s">
        <v>42</v>
      </c>
      <c r="AM12" s="22">
        <f>COUNTA(I12:AL12)-COUNTIF(I12:AL12,"CT")</f>
        <v>8</v>
      </c>
    </row>
    <row r="13" spans="1:39" x14ac:dyDescent="0.25">
      <c r="A13" s="20" t="s">
        <v>55</v>
      </c>
      <c r="B13" s="38">
        <v>26001</v>
      </c>
      <c r="C13" s="20" t="s">
        <v>1015</v>
      </c>
      <c r="D13" s="20" t="s">
        <v>1044</v>
      </c>
      <c r="E13" s="20"/>
      <c r="F13" s="20" t="s">
        <v>1013</v>
      </c>
      <c r="G13" s="39"/>
      <c r="H13" s="40"/>
      <c r="I13" s="22"/>
      <c r="L13" s="22"/>
      <c r="M13" s="22"/>
      <c r="O13" s="22"/>
      <c r="P13" s="22"/>
      <c r="Q13" s="22"/>
      <c r="R13" s="22"/>
      <c r="S13" s="22"/>
      <c r="T13" s="22"/>
      <c r="U13" s="22"/>
      <c r="V13" s="22"/>
      <c r="W13" s="22"/>
      <c r="X13" s="22"/>
      <c r="Y13" s="22"/>
      <c r="Z13" s="22"/>
      <c r="AA13" s="22"/>
      <c r="AB13" s="22"/>
      <c r="AC13" s="22"/>
      <c r="AD13" s="22" t="s">
        <v>42</v>
      </c>
      <c r="AE13" s="22" t="s">
        <v>42</v>
      </c>
      <c r="AF13" s="22" t="s">
        <v>42</v>
      </c>
      <c r="AG13" s="22" t="s">
        <v>42</v>
      </c>
      <c r="AH13" s="22" t="s">
        <v>42</v>
      </c>
      <c r="AJ13" s="22" t="s">
        <v>42</v>
      </c>
      <c r="AK13" s="22" t="s">
        <v>42</v>
      </c>
      <c r="AL13" s="22" t="s">
        <v>42</v>
      </c>
      <c r="AM13" s="22">
        <f t="shared" ref="AM13:AM77" si="6">COUNTA(I13:AL13)-COUNTIF(I13:AL13,"CT")</f>
        <v>8</v>
      </c>
    </row>
    <row r="14" spans="1:39" x14ac:dyDescent="0.25">
      <c r="A14" s="20" t="s">
        <v>55</v>
      </c>
      <c r="B14" s="38">
        <v>26004</v>
      </c>
      <c r="C14" s="20" t="s">
        <v>1016</v>
      </c>
      <c r="D14" s="20" t="s">
        <v>1044</v>
      </c>
      <c r="E14" s="20"/>
      <c r="F14" s="20" t="s">
        <v>1013</v>
      </c>
      <c r="G14" s="39"/>
      <c r="H14" s="40"/>
      <c r="I14" s="22"/>
      <c r="J14" s="33"/>
      <c r="K14" s="33"/>
      <c r="L14" s="33"/>
      <c r="M14" s="33"/>
      <c r="N14" s="33"/>
      <c r="O14" s="33"/>
      <c r="P14" s="33"/>
      <c r="Q14" s="33"/>
      <c r="R14" s="33"/>
      <c r="S14" s="33"/>
      <c r="T14" s="33"/>
      <c r="U14" s="22"/>
      <c r="V14" s="33"/>
      <c r="W14" s="33"/>
      <c r="X14" s="33"/>
      <c r="Y14" s="33"/>
      <c r="Z14" s="33"/>
      <c r="AA14" s="33"/>
      <c r="AB14" s="33"/>
      <c r="AC14" s="33"/>
      <c r="AD14" s="22" t="s">
        <v>42</v>
      </c>
      <c r="AE14" s="22" t="s">
        <v>42</v>
      </c>
      <c r="AF14" s="22" t="s">
        <v>42</v>
      </c>
      <c r="AG14" s="22" t="s">
        <v>42</v>
      </c>
      <c r="AH14" s="22" t="s">
        <v>42</v>
      </c>
      <c r="AI14" s="33"/>
      <c r="AK14" s="22" t="s">
        <v>42</v>
      </c>
      <c r="AL14" s="22" t="s">
        <v>42</v>
      </c>
      <c r="AM14" s="22">
        <f t="shared" si="6"/>
        <v>7</v>
      </c>
    </row>
    <row r="15" spans="1:39" x14ac:dyDescent="0.25">
      <c r="A15" s="20" t="s">
        <v>55</v>
      </c>
      <c r="B15" s="38">
        <v>26005</v>
      </c>
      <c r="C15" s="20" t="s">
        <v>1017</v>
      </c>
      <c r="D15" s="20" t="s">
        <v>1044</v>
      </c>
      <c r="E15" s="20"/>
      <c r="F15" s="20" t="s">
        <v>1013</v>
      </c>
      <c r="G15" s="39"/>
      <c r="H15" s="40"/>
      <c r="I15" s="22"/>
      <c r="L15" s="22"/>
      <c r="M15" s="22"/>
      <c r="O15" s="22"/>
      <c r="P15" s="22"/>
      <c r="Q15" s="22"/>
      <c r="R15" s="22"/>
      <c r="S15" s="22"/>
      <c r="T15" s="22"/>
      <c r="U15" s="22"/>
      <c r="V15" s="22"/>
      <c r="W15" s="22"/>
      <c r="X15" s="22"/>
      <c r="Y15" s="22"/>
      <c r="Z15" s="22"/>
      <c r="AA15" s="22"/>
      <c r="AB15" s="22"/>
      <c r="AC15" s="22"/>
      <c r="AD15" s="22" t="s">
        <v>42</v>
      </c>
      <c r="AE15" s="22" t="s">
        <v>42</v>
      </c>
      <c r="AF15" s="22" t="s">
        <v>42</v>
      </c>
      <c r="AG15" s="22" t="s">
        <v>42</v>
      </c>
      <c r="AH15" s="22" t="s">
        <v>42</v>
      </c>
      <c r="AJ15" s="22" t="s">
        <v>42</v>
      </c>
      <c r="AK15" s="22" t="s">
        <v>42</v>
      </c>
      <c r="AL15" s="22" t="s">
        <v>42</v>
      </c>
      <c r="AM15" s="22">
        <f t="shared" si="6"/>
        <v>8</v>
      </c>
    </row>
    <row r="16" spans="1:39" x14ac:dyDescent="0.25">
      <c r="A16" s="20" t="s">
        <v>55</v>
      </c>
      <c r="B16" s="38">
        <v>26006</v>
      </c>
      <c r="C16" s="20" t="s">
        <v>1018</v>
      </c>
      <c r="D16" s="20" t="s">
        <v>1044</v>
      </c>
      <c r="E16" s="20"/>
      <c r="F16" s="20" t="s">
        <v>1013</v>
      </c>
      <c r="G16" s="39"/>
      <c r="H16" s="40"/>
      <c r="I16" s="22"/>
      <c r="M16" s="22"/>
      <c r="R16" s="22"/>
      <c r="S16" s="22"/>
      <c r="T16" s="22"/>
      <c r="U16" s="22"/>
      <c r="V16" s="22"/>
      <c r="W16" s="22"/>
      <c r="X16" s="22"/>
      <c r="Y16" s="22"/>
      <c r="Z16" s="22"/>
      <c r="AA16" s="22"/>
      <c r="AB16" s="22"/>
      <c r="AC16" s="22"/>
      <c r="AD16" s="22" t="s">
        <v>42</v>
      </c>
      <c r="AE16" s="22" t="s">
        <v>42</v>
      </c>
      <c r="AF16" s="22" t="s">
        <v>42</v>
      </c>
      <c r="AG16" s="22" t="s">
        <v>42</v>
      </c>
      <c r="AH16" s="22" t="s">
        <v>42</v>
      </c>
      <c r="AJ16" s="22" t="s">
        <v>42</v>
      </c>
      <c r="AK16" s="22" t="s">
        <v>42</v>
      </c>
      <c r="AL16" s="22" t="s">
        <v>42</v>
      </c>
      <c r="AM16" s="22">
        <f t="shared" si="6"/>
        <v>8</v>
      </c>
    </row>
    <row r="17" spans="1:39" x14ac:dyDescent="0.25">
      <c r="A17" s="20" t="s">
        <v>55</v>
      </c>
      <c r="B17" s="38">
        <v>26007</v>
      </c>
      <c r="C17" s="20" t="s">
        <v>1019</v>
      </c>
      <c r="D17" s="20" t="s">
        <v>1044</v>
      </c>
      <c r="E17" s="20"/>
      <c r="F17" s="20" t="s">
        <v>1013</v>
      </c>
      <c r="G17" s="39"/>
      <c r="H17" s="40"/>
      <c r="I17" s="22"/>
      <c r="M17" s="22"/>
      <c r="N17" s="22"/>
      <c r="U17" s="22"/>
      <c r="V17" s="22"/>
      <c r="W17" s="22"/>
      <c r="X17" s="22"/>
      <c r="Y17" s="22"/>
      <c r="Z17" s="22"/>
      <c r="AA17" s="22"/>
      <c r="AB17" s="22"/>
      <c r="AC17" s="22"/>
      <c r="AD17" s="22" t="s">
        <v>42</v>
      </c>
      <c r="AE17" s="22" t="s">
        <v>42</v>
      </c>
      <c r="AF17" s="22" t="s">
        <v>42</v>
      </c>
      <c r="AG17" s="22" t="s">
        <v>42</v>
      </c>
      <c r="AH17" s="22" t="s">
        <v>42</v>
      </c>
      <c r="AJ17" s="22" t="s">
        <v>42</v>
      </c>
      <c r="AK17" s="22" t="s">
        <v>42</v>
      </c>
      <c r="AL17" s="22" t="s">
        <v>42</v>
      </c>
      <c r="AM17" s="22">
        <f t="shared" si="6"/>
        <v>8</v>
      </c>
    </row>
    <row r="18" spans="1:39" x14ac:dyDescent="0.25">
      <c r="A18" s="20" t="s">
        <v>55</v>
      </c>
      <c r="B18" s="38">
        <v>26009</v>
      </c>
      <c r="C18" s="20" t="s">
        <v>1020</v>
      </c>
      <c r="D18" s="20" t="s">
        <v>1044</v>
      </c>
      <c r="E18" s="20"/>
      <c r="F18" s="20" t="s">
        <v>1013</v>
      </c>
      <c r="G18" s="39"/>
      <c r="H18" s="40"/>
      <c r="I18" s="22"/>
      <c r="J18" s="33"/>
      <c r="R18" s="22"/>
      <c r="S18" s="22"/>
      <c r="U18" s="22"/>
      <c r="V18" s="22"/>
      <c r="W18" s="22"/>
      <c r="X18" s="22"/>
      <c r="Z18" s="22"/>
      <c r="AA18" s="22"/>
      <c r="AB18" s="22"/>
      <c r="AC18" s="22"/>
      <c r="AD18" s="22" t="s">
        <v>42</v>
      </c>
      <c r="AE18" s="22" t="s">
        <v>42</v>
      </c>
      <c r="AF18" s="22" t="s">
        <v>42</v>
      </c>
      <c r="AG18" s="22" t="s">
        <v>42</v>
      </c>
      <c r="AH18" s="22" t="s">
        <v>42</v>
      </c>
      <c r="AJ18" s="22" t="s">
        <v>42</v>
      </c>
      <c r="AK18" s="22" t="s">
        <v>42</v>
      </c>
      <c r="AL18" s="22" t="s">
        <v>42</v>
      </c>
      <c r="AM18" s="22">
        <f t="shared" si="6"/>
        <v>8</v>
      </c>
    </row>
    <row r="19" spans="1:39" x14ac:dyDescent="0.25">
      <c r="A19" s="20" t="s">
        <v>55</v>
      </c>
      <c r="B19" s="38">
        <v>26010</v>
      </c>
      <c r="C19" s="20" t="s">
        <v>1021</v>
      </c>
      <c r="D19" s="20" t="s">
        <v>1044</v>
      </c>
      <c r="E19" s="20"/>
      <c r="F19" s="20" t="s">
        <v>1013</v>
      </c>
      <c r="G19" s="39"/>
      <c r="H19" s="40"/>
      <c r="I19" s="22"/>
      <c r="L19" s="22"/>
      <c r="M19" s="22"/>
      <c r="R19" s="22"/>
      <c r="S19" s="22"/>
      <c r="T19" s="22"/>
      <c r="U19" s="22"/>
      <c r="V19" s="22"/>
      <c r="W19" s="22"/>
      <c r="X19" s="22"/>
      <c r="Z19" s="22"/>
      <c r="AA19" s="22"/>
      <c r="AB19" s="22"/>
      <c r="AC19" s="22"/>
      <c r="AD19" s="22" t="s">
        <v>42</v>
      </c>
      <c r="AE19" s="22" t="s">
        <v>42</v>
      </c>
      <c r="AF19" s="22" t="s">
        <v>42</v>
      </c>
      <c r="AG19" s="22" t="s">
        <v>42</v>
      </c>
      <c r="AH19" s="22" t="s">
        <v>42</v>
      </c>
      <c r="AJ19" s="22" t="s">
        <v>42</v>
      </c>
      <c r="AK19" s="22" t="s">
        <v>42</v>
      </c>
      <c r="AM19" s="22">
        <f t="shared" si="6"/>
        <v>7</v>
      </c>
    </row>
    <row r="20" spans="1:39" x14ac:dyDescent="0.25">
      <c r="A20" s="20" t="s">
        <v>55</v>
      </c>
      <c r="B20" s="38">
        <v>26011</v>
      </c>
      <c r="C20" s="20" t="s">
        <v>1022</v>
      </c>
      <c r="D20" s="20" t="s">
        <v>1044</v>
      </c>
      <c r="E20" s="20"/>
      <c r="F20" s="20" t="s">
        <v>1013</v>
      </c>
      <c r="G20" s="39"/>
      <c r="H20" s="40"/>
      <c r="I20" s="22"/>
      <c r="J20" s="33"/>
      <c r="L20" s="22"/>
      <c r="R20" s="22"/>
      <c r="S20" s="22"/>
      <c r="T20" s="22"/>
      <c r="U20" s="22"/>
      <c r="V20" s="22"/>
      <c r="W20" s="22"/>
      <c r="X20" s="22"/>
      <c r="Z20" s="22"/>
      <c r="AA20" s="22"/>
      <c r="AC20" s="22"/>
      <c r="AD20" s="22" t="s">
        <v>42</v>
      </c>
      <c r="AE20" s="22" t="s">
        <v>42</v>
      </c>
      <c r="AF20" s="22" t="s">
        <v>42</v>
      </c>
      <c r="AG20" s="22" t="s">
        <v>42</v>
      </c>
      <c r="AH20" s="22" t="s">
        <v>42</v>
      </c>
      <c r="AK20" s="22" t="s">
        <v>42</v>
      </c>
      <c r="AL20" s="22" t="s">
        <v>42</v>
      </c>
      <c r="AM20" s="22">
        <f t="shared" si="6"/>
        <v>7</v>
      </c>
    </row>
    <row r="21" spans="1:39" x14ac:dyDescent="0.25">
      <c r="A21" s="20" t="s">
        <v>55</v>
      </c>
      <c r="B21" s="38">
        <v>26012</v>
      </c>
      <c r="C21" s="20" t="s">
        <v>1023</v>
      </c>
      <c r="D21" s="20" t="s">
        <v>1044</v>
      </c>
      <c r="E21" s="20"/>
      <c r="F21" s="20" t="s">
        <v>1013</v>
      </c>
      <c r="G21" s="39"/>
      <c r="H21" s="40"/>
      <c r="I21" s="22"/>
      <c r="M21" s="22"/>
      <c r="N21" s="22"/>
      <c r="R21" s="22"/>
      <c r="S21" s="22"/>
      <c r="T21" s="22"/>
      <c r="U21" s="22"/>
      <c r="V21" s="22"/>
      <c r="W21" s="22"/>
      <c r="X21" s="22"/>
      <c r="Y21" s="22"/>
      <c r="Z21" s="22"/>
      <c r="AA21" s="22"/>
      <c r="AB21" s="22"/>
      <c r="AC21" s="22"/>
      <c r="AD21" s="22" t="s">
        <v>42</v>
      </c>
      <c r="AE21" s="22" t="s">
        <v>42</v>
      </c>
      <c r="AF21" s="22" t="s">
        <v>42</v>
      </c>
      <c r="AG21" s="22" t="s">
        <v>42</v>
      </c>
      <c r="AH21" s="22" t="s">
        <v>42</v>
      </c>
      <c r="AK21" s="22" t="s">
        <v>42</v>
      </c>
      <c r="AL21" s="22" t="s">
        <v>42</v>
      </c>
      <c r="AM21" s="22">
        <f t="shared" si="6"/>
        <v>7</v>
      </c>
    </row>
    <row r="22" spans="1:39" x14ac:dyDescent="0.25">
      <c r="A22" s="20" t="s">
        <v>55</v>
      </c>
      <c r="B22" s="38">
        <v>26013</v>
      </c>
      <c r="C22" s="20" t="s">
        <v>1024</v>
      </c>
      <c r="D22" s="20" t="s">
        <v>1044</v>
      </c>
      <c r="E22" s="20"/>
      <c r="F22" s="20" t="s">
        <v>1013</v>
      </c>
      <c r="G22" s="39"/>
      <c r="H22" s="40"/>
      <c r="I22" s="22"/>
      <c r="R22" s="22"/>
      <c r="S22" s="22"/>
      <c r="T22" s="22"/>
      <c r="U22" s="22"/>
      <c r="V22" s="22"/>
      <c r="W22" s="22"/>
      <c r="X22" s="22"/>
      <c r="Y22" s="22"/>
      <c r="Z22" s="22"/>
      <c r="AA22" s="22"/>
      <c r="AB22" s="22"/>
      <c r="AC22" s="22"/>
      <c r="AD22" s="22" t="s">
        <v>42</v>
      </c>
      <c r="AE22" s="22" t="s">
        <v>42</v>
      </c>
      <c r="AF22" s="22" t="s">
        <v>42</v>
      </c>
      <c r="AG22" s="22" t="s">
        <v>42</v>
      </c>
      <c r="AH22" s="22" t="s">
        <v>42</v>
      </c>
      <c r="AJ22" s="22" t="s">
        <v>42</v>
      </c>
      <c r="AK22" s="22" t="s">
        <v>42</v>
      </c>
      <c r="AL22" s="22" t="s">
        <v>42</v>
      </c>
      <c r="AM22" s="22">
        <f t="shared" si="6"/>
        <v>8</v>
      </c>
    </row>
    <row r="23" spans="1:39" x14ac:dyDescent="0.25">
      <c r="A23" s="20" t="s">
        <v>55</v>
      </c>
      <c r="B23" s="38">
        <v>26014</v>
      </c>
      <c r="C23" s="20" t="s">
        <v>1025</v>
      </c>
      <c r="D23" s="20" t="s">
        <v>1044</v>
      </c>
      <c r="E23" s="20"/>
      <c r="F23" s="20" t="s">
        <v>1013</v>
      </c>
      <c r="G23" s="39"/>
      <c r="H23" s="40"/>
      <c r="I23" s="22"/>
      <c r="J23" s="33"/>
      <c r="M23" s="22"/>
      <c r="N23" s="22"/>
      <c r="R23" s="22"/>
      <c r="S23" s="22"/>
      <c r="T23" s="22"/>
      <c r="U23" s="22"/>
      <c r="V23" s="22"/>
      <c r="W23" s="22"/>
      <c r="X23" s="22"/>
      <c r="Y23" s="22"/>
      <c r="Z23" s="22"/>
      <c r="AA23" s="22"/>
      <c r="AB23" s="22"/>
      <c r="AC23" s="22"/>
      <c r="AD23" s="22"/>
      <c r="AE23" s="22" t="s">
        <v>42</v>
      </c>
      <c r="AF23" s="22" t="s">
        <v>42</v>
      </c>
      <c r="AG23" s="22"/>
      <c r="AH23" s="22"/>
      <c r="AK23" s="22" t="s">
        <v>42</v>
      </c>
      <c r="AL23" s="22" t="s">
        <v>42</v>
      </c>
      <c r="AM23" s="22">
        <f t="shared" si="6"/>
        <v>4</v>
      </c>
    </row>
    <row r="24" spans="1:39" x14ac:dyDescent="0.25">
      <c r="A24" s="20" t="s">
        <v>55</v>
      </c>
      <c r="B24" s="38">
        <v>26016</v>
      </c>
      <c r="C24" s="20" t="s">
        <v>1026</v>
      </c>
      <c r="D24" s="20" t="s">
        <v>1044</v>
      </c>
      <c r="E24" s="20"/>
      <c r="F24" s="20" t="s">
        <v>1013</v>
      </c>
      <c r="G24" s="39"/>
      <c r="H24" s="40"/>
      <c r="I24" s="22"/>
      <c r="L24" s="22"/>
      <c r="M24" s="22"/>
      <c r="N24" s="22"/>
      <c r="O24" s="22"/>
      <c r="P24" s="22"/>
      <c r="Q24" s="22"/>
      <c r="R24" s="22"/>
      <c r="S24" s="22"/>
      <c r="T24" s="22"/>
      <c r="U24" s="22"/>
      <c r="V24" s="22"/>
      <c r="W24" s="22"/>
      <c r="X24" s="22"/>
      <c r="Y24" s="22"/>
      <c r="Z24" s="22"/>
      <c r="AA24" s="22"/>
      <c r="AB24" s="22"/>
      <c r="AC24" s="22"/>
      <c r="AD24" s="22" t="s">
        <v>42</v>
      </c>
      <c r="AE24" s="22" t="s">
        <v>42</v>
      </c>
      <c r="AF24" s="22" t="s">
        <v>42</v>
      </c>
      <c r="AG24" s="22" t="s">
        <v>42</v>
      </c>
      <c r="AH24" s="22" t="s">
        <v>42</v>
      </c>
      <c r="AJ24" s="22" t="s">
        <v>42</v>
      </c>
      <c r="AK24" s="22" t="s">
        <v>42</v>
      </c>
      <c r="AL24" s="22" t="s">
        <v>42</v>
      </c>
      <c r="AM24" s="22">
        <f t="shared" si="6"/>
        <v>8</v>
      </c>
    </row>
    <row r="25" spans="1:39" x14ac:dyDescent="0.25">
      <c r="A25" s="20" t="s">
        <v>55</v>
      </c>
      <c r="B25" s="38">
        <v>26017</v>
      </c>
      <c r="C25" s="20" t="s">
        <v>1027</v>
      </c>
      <c r="D25" s="20" t="s">
        <v>1044</v>
      </c>
      <c r="E25" s="20"/>
      <c r="F25" s="20" t="s">
        <v>1013</v>
      </c>
      <c r="G25" s="39"/>
      <c r="H25" s="40"/>
      <c r="I25" s="22"/>
      <c r="L25" s="22"/>
      <c r="M25" s="22"/>
      <c r="N25" s="22"/>
      <c r="O25" s="22"/>
      <c r="P25" s="22"/>
      <c r="Q25" s="22"/>
      <c r="R25" s="22"/>
      <c r="S25" s="22"/>
      <c r="T25" s="22"/>
      <c r="U25" s="22"/>
      <c r="V25" s="22"/>
      <c r="W25" s="22"/>
      <c r="X25" s="22"/>
      <c r="Y25" s="22"/>
      <c r="Z25" s="22"/>
      <c r="AA25" s="22"/>
      <c r="AB25" s="22"/>
      <c r="AC25" s="22"/>
      <c r="AD25" s="22" t="s">
        <v>42</v>
      </c>
      <c r="AE25" s="22"/>
      <c r="AF25" s="22" t="s">
        <v>42</v>
      </c>
      <c r="AG25" s="22" t="s">
        <v>42</v>
      </c>
      <c r="AH25" s="22" t="s">
        <v>42</v>
      </c>
      <c r="AK25" s="22" t="s">
        <v>42</v>
      </c>
      <c r="AL25" s="22" t="s">
        <v>42</v>
      </c>
      <c r="AM25" s="22">
        <f t="shared" si="6"/>
        <v>6</v>
      </c>
    </row>
    <row r="26" spans="1:39" x14ac:dyDescent="0.25">
      <c r="A26" s="20" t="s">
        <v>55</v>
      </c>
      <c r="B26" s="38">
        <v>26003</v>
      </c>
      <c r="C26" s="20" t="s">
        <v>1028</v>
      </c>
      <c r="D26" s="20" t="s">
        <v>1044</v>
      </c>
      <c r="E26" s="20"/>
      <c r="F26" s="20" t="s">
        <v>1013</v>
      </c>
      <c r="G26" s="39"/>
      <c r="H26" s="40"/>
      <c r="I26" s="22"/>
      <c r="L26" s="22"/>
      <c r="M26" s="22"/>
      <c r="N26" s="22"/>
      <c r="O26" s="22"/>
      <c r="P26" s="22"/>
      <c r="Q26" s="22"/>
      <c r="R26" s="22"/>
      <c r="S26" s="22"/>
      <c r="T26" s="22"/>
      <c r="U26" s="22"/>
      <c r="V26" s="22"/>
      <c r="W26" s="22"/>
      <c r="X26" s="22"/>
      <c r="Y26" s="22"/>
      <c r="Z26" s="22"/>
      <c r="AA26" s="22"/>
      <c r="AB26" s="22"/>
      <c r="AC26" s="22"/>
      <c r="AD26" s="22" t="s">
        <v>42</v>
      </c>
      <c r="AE26" s="22" t="s">
        <v>42</v>
      </c>
      <c r="AF26" s="22" t="s">
        <v>42</v>
      </c>
      <c r="AG26" s="22" t="s">
        <v>42</v>
      </c>
      <c r="AH26" s="22" t="s">
        <v>42</v>
      </c>
      <c r="AJ26" s="22" t="s">
        <v>42</v>
      </c>
      <c r="AK26" s="22" t="s">
        <v>42</v>
      </c>
      <c r="AL26" s="22" t="s">
        <v>42</v>
      </c>
      <c r="AM26" s="22">
        <f t="shared" si="6"/>
        <v>8</v>
      </c>
    </row>
    <row r="27" spans="1:39" x14ac:dyDescent="0.25">
      <c r="A27" s="20" t="s">
        <v>55</v>
      </c>
      <c r="B27" s="38">
        <v>26002</v>
      </c>
      <c r="C27" s="20" t="s">
        <v>1029</v>
      </c>
      <c r="D27" s="20" t="s">
        <v>1044</v>
      </c>
      <c r="E27" s="20"/>
      <c r="F27" s="20" t="s">
        <v>1013</v>
      </c>
      <c r="G27" s="39"/>
      <c r="H27" s="40"/>
      <c r="I27" s="22"/>
      <c r="L27" s="22"/>
      <c r="M27" s="22"/>
      <c r="R27" s="22"/>
      <c r="S27" s="22"/>
      <c r="T27" s="22"/>
      <c r="U27" s="22"/>
      <c r="V27" s="22"/>
      <c r="W27" s="22"/>
      <c r="X27" s="22"/>
      <c r="Y27" s="22"/>
      <c r="Z27" s="22"/>
      <c r="AA27" s="22"/>
      <c r="AB27" s="22"/>
      <c r="AC27" s="22"/>
      <c r="AD27" s="22" t="s">
        <v>42</v>
      </c>
      <c r="AE27" s="22" t="s">
        <v>42</v>
      </c>
      <c r="AF27" s="22" t="s">
        <v>42</v>
      </c>
      <c r="AG27" s="22" t="s">
        <v>42</v>
      </c>
      <c r="AH27" s="22" t="s">
        <v>42</v>
      </c>
      <c r="AJ27" s="22" t="s">
        <v>42</v>
      </c>
      <c r="AK27" s="22" t="s">
        <v>42</v>
      </c>
      <c r="AL27" s="22" t="s">
        <v>42</v>
      </c>
      <c r="AM27" s="22">
        <f t="shared" si="6"/>
        <v>8</v>
      </c>
    </row>
    <row r="28" spans="1:39" x14ac:dyDescent="0.25">
      <c r="A28" s="20" t="s">
        <v>55</v>
      </c>
      <c r="B28" s="38"/>
      <c r="C28" s="20" t="s">
        <v>1030</v>
      </c>
      <c r="D28" s="20" t="s">
        <v>1044</v>
      </c>
      <c r="E28" s="20"/>
      <c r="F28" s="20" t="s">
        <v>1013</v>
      </c>
      <c r="G28" s="39"/>
      <c r="H28" s="40"/>
      <c r="I28" s="22"/>
      <c r="L28" s="22"/>
      <c r="M28" s="22"/>
      <c r="R28" s="22"/>
      <c r="S28" s="22"/>
      <c r="T28" s="22"/>
      <c r="U28" s="22"/>
      <c r="V28" s="22"/>
      <c r="W28" s="22"/>
      <c r="X28" s="22"/>
      <c r="Y28" s="22"/>
      <c r="Z28" s="22"/>
      <c r="AA28" s="22"/>
      <c r="AB28" s="22"/>
      <c r="AC28" s="22"/>
      <c r="AD28" s="22" t="s">
        <v>42</v>
      </c>
      <c r="AE28" s="22" t="s">
        <v>42</v>
      </c>
      <c r="AF28" s="22" t="s">
        <v>42</v>
      </c>
      <c r="AG28" s="22" t="s">
        <v>42</v>
      </c>
      <c r="AH28" s="22" t="s">
        <v>42</v>
      </c>
      <c r="AJ28" s="22" t="s">
        <v>42</v>
      </c>
      <c r="AK28" s="22" t="s">
        <v>42</v>
      </c>
      <c r="AL28" s="22" t="s">
        <v>42</v>
      </c>
      <c r="AM28" s="22">
        <f t="shared" si="6"/>
        <v>8</v>
      </c>
    </row>
    <row r="29" spans="1:39" x14ac:dyDescent="0.25">
      <c r="A29" s="20" t="s">
        <v>55</v>
      </c>
      <c r="B29" s="38"/>
      <c r="C29" s="20" t="s">
        <v>1031</v>
      </c>
      <c r="D29" s="20" t="s">
        <v>1044</v>
      </c>
      <c r="E29" s="20"/>
      <c r="F29" s="20" t="s">
        <v>1013</v>
      </c>
      <c r="G29" s="39"/>
      <c r="H29" s="40"/>
      <c r="I29" s="22"/>
      <c r="L29" s="22"/>
      <c r="M29" s="22"/>
      <c r="O29" s="22"/>
      <c r="P29" s="22"/>
      <c r="Q29" s="22"/>
      <c r="R29" s="22"/>
      <c r="S29" s="22"/>
      <c r="T29" s="22"/>
      <c r="U29" s="22"/>
      <c r="V29" s="22"/>
      <c r="W29" s="22"/>
      <c r="X29" s="22"/>
      <c r="Y29" s="22"/>
      <c r="Z29" s="22"/>
      <c r="AA29" s="22"/>
      <c r="AB29" s="22"/>
      <c r="AC29" s="22"/>
      <c r="AD29" s="22" t="s">
        <v>42</v>
      </c>
      <c r="AE29" s="22" t="s">
        <v>42</v>
      </c>
      <c r="AF29" s="22" t="s">
        <v>42</v>
      </c>
      <c r="AG29" s="22"/>
      <c r="AH29" s="22"/>
      <c r="AK29" s="22" t="s">
        <v>42</v>
      </c>
      <c r="AL29" s="22" t="s">
        <v>42</v>
      </c>
      <c r="AM29" s="22">
        <f t="shared" si="6"/>
        <v>5</v>
      </c>
    </row>
    <row r="30" spans="1:39" x14ac:dyDescent="0.25">
      <c r="A30" s="20" t="s">
        <v>55</v>
      </c>
      <c r="B30" s="38" t="s">
        <v>427</v>
      </c>
      <c r="C30" s="20" t="s">
        <v>1032</v>
      </c>
      <c r="D30" s="20" t="s">
        <v>10</v>
      </c>
      <c r="E30" s="20" t="s">
        <v>10</v>
      </c>
      <c r="F30" s="20" t="s">
        <v>1013</v>
      </c>
      <c r="G30" s="39"/>
      <c r="H30" s="40"/>
      <c r="I30" s="22"/>
      <c r="J30" s="33"/>
      <c r="L30" s="22"/>
      <c r="M30" s="22"/>
      <c r="N30" s="22"/>
      <c r="O30" s="22"/>
      <c r="P30" s="22"/>
      <c r="Q30" s="22"/>
      <c r="R30" s="22"/>
      <c r="S30" s="22"/>
      <c r="T30" s="22"/>
      <c r="U30" s="22"/>
      <c r="V30" s="22"/>
      <c r="W30" s="22"/>
      <c r="X30" s="22"/>
      <c r="Y30" s="22"/>
      <c r="Z30" s="22"/>
      <c r="AA30" s="22"/>
      <c r="AB30" s="22"/>
      <c r="AC30" s="22"/>
      <c r="AD30" s="22" t="s">
        <v>42</v>
      </c>
      <c r="AE30" s="22" t="s">
        <v>42</v>
      </c>
      <c r="AF30" s="22" t="s">
        <v>42</v>
      </c>
      <c r="AG30" s="22" t="s">
        <v>42</v>
      </c>
      <c r="AH30" s="22" t="s">
        <v>42</v>
      </c>
      <c r="AJ30" s="22" t="s">
        <v>42</v>
      </c>
      <c r="AK30" s="22" t="s">
        <v>42</v>
      </c>
      <c r="AL30" s="22" t="s">
        <v>42</v>
      </c>
      <c r="AM30" s="22">
        <f t="shared" si="6"/>
        <v>8</v>
      </c>
    </row>
    <row r="31" spans="1:39" x14ac:dyDescent="0.25">
      <c r="A31" s="20" t="s">
        <v>55</v>
      </c>
      <c r="B31" s="38" t="s">
        <v>962</v>
      </c>
      <c r="C31" s="20" t="s">
        <v>1033</v>
      </c>
      <c r="D31" s="20" t="s">
        <v>10</v>
      </c>
      <c r="E31" s="20" t="s">
        <v>10</v>
      </c>
      <c r="F31" s="20" t="s">
        <v>1013</v>
      </c>
      <c r="G31" s="39"/>
      <c r="H31" s="40"/>
      <c r="I31" s="22"/>
      <c r="M31" s="22"/>
      <c r="N31" s="22"/>
      <c r="U31" s="22"/>
      <c r="V31" s="22"/>
      <c r="W31" s="22"/>
      <c r="X31" s="22"/>
      <c r="Y31" s="22"/>
      <c r="Z31" s="22"/>
      <c r="AA31" s="22"/>
      <c r="AB31" s="22"/>
      <c r="AC31" s="22"/>
      <c r="AD31" s="22" t="s">
        <v>42</v>
      </c>
      <c r="AE31" s="22" t="s">
        <v>42</v>
      </c>
      <c r="AF31" s="22" t="s">
        <v>42</v>
      </c>
      <c r="AG31" s="22" t="s">
        <v>42</v>
      </c>
      <c r="AH31" s="22" t="s">
        <v>42</v>
      </c>
      <c r="AJ31" s="22" t="s">
        <v>42</v>
      </c>
      <c r="AK31" s="22" t="s">
        <v>42</v>
      </c>
      <c r="AL31" s="22" t="s">
        <v>42</v>
      </c>
      <c r="AM31" s="22">
        <f t="shared" si="6"/>
        <v>8</v>
      </c>
    </row>
    <row r="32" spans="1:39" x14ac:dyDescent="0.25">
      <c r="A32" s="20" t="s">
        <v>55</v>
      </c>
      <c r="B32" s="38" t="s">
        <v>787</v>
      </c>
      <c r="C32" s="20" t="s">
        <v>788</v>
      </c>
      <c r="D32" s="20" t="s">
        <v>10</v>
      </c>
      <c r="E32" s="20" t="s">
        <v>10</v>
      </c>
      <c r="F32" s="20" t="s">
        <v>1013</v>
      </c>
      <c r="G32" s="39"/>
      <c r="H32" s="40"/>
      <c r="I32" s="22"/>
      <c r="L32" s="22"/>
      <c r="M32" s="22"/>
      <c r="O32" s="22"/>
      <c r="P32" s="22"/>
      <c r="Q32" s="22"/>
      <c r="R32" s="22"/>
      <c r="S32" s="22"/>
      <c r="T32" s="22"/>
      <c r="U32" s="22"/>
      <c r="V32" s="22"/>
      <c r="W32" s="22"/>
      <c r="X32" s="22"/>
      <c r="Y32" s="22"/>
      <c r="Z32" s="22"/>
      <c r="AA32" s="22"/>
      <c r="AB32" s="22"/>
      <c r="AC32" s="22"/>
      <c r="AD32" s="22" t="s">
        <v>42</v>
      </c>
      <c r="AE32" s="22" t="s">
        <v>42</v>
      </c>
      <c r="AF32" s="22" t="s">
        <v>42</v>
      </c>
      <c r="AG32" s="22" t="s">
        <v>42</v>
      </c>
      <c r="AH32" s="22" t="s">
        <v>42</v>
      </c>
      <c r="AJ32" s="22" t="s">
        <v>42</v>
      </c>
      <c r="AK32" s="22" t="s">
        <v>42</v>
      </c>
      <c r="AL32" s="22" t="s">
        <v>42</v>
      </c>
      <c r="AM32" s="22">
        <f t="shared" si="6"/>
        <v>8</v>
      </c>
    </row>
    <row r="33" spans="1:39" x14ac:dyDescent="0.25">
      <c r="A33" s="20" t="s">
        <v>55</v>
      </c>
      <c r="B33" s="38" t="s">
        <v>822</v>
      </c>
      <c r="C33" s="20" t="s">
        <v>1034</v>
      </c>
      <c r="D33" s="20" t="s">
        <v>10</v>
      </c>
      <c r="E33" s="20" t="s">
        <v>10</v>
      </c>
      <c r="F33" s="20" t="s">
        <v>1013</v>
      </c>
      <c r="G33" s="39"/>
      <c r="H33" s="40"/>
      <c r="I33" s="22"/>
      <c r="L33" s="33"/>
      <c r="M33" s="33"/>
      <c r="O33" s="33"/>
      <c r="Q33" s="33"/>
      <c r="R33" s="33"/>
      <c r="S33" s="33"/>
      <c r="T33" s="33"/>
      <c r="V33" s="33"/>
      <c r="W33" s="33"/>
      <c r="X33" s="33"/>
      <c r="Y33" s="33"/>
      <c r="Z33" s="33"/>
      <c r="AA33" s="33"/>
      <c r="AC33" s="33"/>
      <c r="AD33" s="22" t="s">
        <v>42</v>
      </c>
      <c r="AE33" s="22" t="s">
        <v>42</v>
      </c>
      <c r="AF33" s="22" t="s">
        <v>42</v>
      </c>
      <c r="AG33" s="22" t="s">
        <v>42</v>
      </c>
      <c r="AH33" s="22" t="s">
        <v>42</v>
      </c>
      <c r="AJ33" s="22" t="s">
        <v>42</v>
      </c>
      <c r="AK33" s="22" t="s">
        <v>42</v>
      </c>
      <c r="AL33" s="22" t="s">
        <v>42</v>
      </c>
      <c r="AM33" s="22">
        <f t="shared" si="6"/>
        <v>8</v>
      </c>
    </row>
    <row r="34" spans="1:39" x14ac:dyDescent="0.25">
      <c r="A34" s="20" t="s">
        <v>55</v>
      </c>
      <c r="B34" s="38" t="s">
        <v>681</v>
      </c>
      <c r="C34" s="20" t="s">
        <v>682</v>
      </c>
      <c r="D34" s="20" t="s">
        <v>10</v>
      </c>
      <c r="E34" s="20" t="s">
        <v>10</v>
      </c>
      <c r="F34" s="20" t="s">
        <v>1013</v>
      </c>
      <c r="G34" s="39"/>
      <c r="H34" s="40"/>
      <c r="I34" s="22"/>
      <c r="J34" s="33"/>
      <c r="K34" s="33"/>
      <c r="L34" s="33"/>
      <c r="M34" s="33"/>
      <c r="N34" s="33"/>
      <c r="O34" s="33"/>
      <c r="P34" s="33"/>
      <c r="Q34" s="33"/>
      <c r="R34" s="33"/>
      <c r="S34" s="33"/>
      <c r="T34" s="33"/>
      <c r="U34" s="33"/>
      <c r="V34" s="33"/>
      <c r="W34" s="33"/>
      <c r="X34" s="22"/>
      <c r="Y34" s="22"/>
      <c r="Z34" s="22"/>
      <c r="AA34" s="22"/>
      <c r="AB34" s="33"/>
      <c r="AC34" s="22"/>
      <c r="AD34" s="22" t="s">
        <v>42</v>
      </c>
      <c r="AE34" s="22" t="s">
        <v>42</v>
      </c>
      <c r="AF34" s="22" t="s">
        <v>42</v>
      </c>
      <c r="AG34" s="22" t="s">
        <v>42</v>
      </c>
      <c r="AH34" s="22"/>
      <c r="AI34" s="33"/>
      <c r="AJ34" s="22" t="s">
        <v>42</v>
      </c>
      <c r="AK34" s="22" t="s">
        <v>42</v>
      </c>
      <c r="AL34" s="22" t="s">
        <v>42</v>
      </c>
      <c r="AM34" s="22">
        <f t="shared" si="6"/>
        <v>7</v>
      </c>
    </row>
    <row r="35" spans="1:39" x14ac:dyDescent="0.25">
      <c r="A35" s="20" t="s">
        <v>55</v>
      </c>
      <c r="B35" s="38" t="s">
        <v>951</v>
      </c>
      <c r="C35" s="20" t="s">
        <v>944</v>
      </c>
      <c r="D35" s="20" t="s">
        <v>10</v>
      </c>
      <c r="E35" s="20" t="s">
        <v>10</v>
      </c>
      <c r="F35" s="20" t="s">
        <v>1013</v>
      </c>
      <c r="G35" s="39"/>
      <c r="H35" s="40"/>
      <c r="I35" s="22"/>
      <c r="J35" s="33"/>
      <c r="K35" s="33"/>
      <c r="L35" s="33"/>
      <c r="M35" s="33"/>
      <c r="N35" s="33"/>
      <c r="O35" s="33"/>
      <c r="P35" s="33"/>
      <c r="Q35" s="33"/>
      <c r="R35" s="33"/>
      <c r="S35" s="33"/>
      <c r="T35" s="33"/>
      <c r="U35" s="33"/>
      <c r="V35" s="33"/>
      <c r="W35" s="33"/>
      <c r="X35" s="33"/>
      <c r="Y35" s="33"/>
      <c r="Z35" s="33"/>
      <c r="AA35" s="33"/>
      <c r="AB35" s="33"/>
      <c r="AC35" s="33"/>
      <c r="AD35" s="22" t="s">
        <v>42</v>
      </c>
      <c r="AE35" s="22" t="s">
        <v>42</v>
      </c>
      <c r="AF35" s="22"/>
      <c r="AG35" s="22"/>
      <c r="AH35" s="22"/>
      <c r="AI35" s="33"/>
      <c r="AK35" s="33"/>
      <c r="AL35" s="22" t="s">
        <v>42</v>
      </c>
      <c r="AM35" s="22">
        <f t="shared" si="6"/>
        <v>3</v>
      </c>
    </row>
    <row r="36" spans="1:39" x14ac:dyDescent="0.25">
      <c r="A36" s="20" t="s">
        <v>55</v>
      </c>
      <c r="B36" s="38" t="s">
        <v>831</v>
      </c>
      <c r="C36" s="20" t="s">
        <v>832</v>
      </c>
      <c r="D36" s="20" t="s">
        <v>10</v>
      </c>
      <c r="E36" s="20" t="s">
        <v>10</v>
      </c>
      <c r="F36" s="20" t="s">
        <v>1013</v>
      </c>
      <c r="G36" s="39"/>
      <c r="H36" s="40"/>
      <c r="I36" s="22"/>
      <c r="L36" s="22"/>
      <c r="M36" s="22"/>
      <c r="O36" s="22"/>
      <c r="P36" s="22"/>
      <c r="Q36" s="22"/>
      <c r="R36" s="22"/>
      <c r="S36" s="22"/>
      <c r="T36" s="22"/>
      <c r="U36" s="22"/>
      <c r="V36" s="22"/>
      <c r="W36" s="22"/>
      <c r="X36" s="22"/>
      <c r="Y36" s="22"/>
      <c r="Z36" s="22"/>
      <c r="AA36" s="22"/>
      <c r="AB36" s="22"/>
      <c r="AC36" s="22"/>
      <c r="AD36" s="22" t="s">
        <v>42</v>
      </c>
      <c r="AE36" s="22" t="s">
        <v>42</v>
      </c>
      <c r="AF36" s="22" t="s">
        <v>42</v>
      </c>
      <c r="AG36" s="22" t="s">
        <v>42</v>
      </c>
      <c r="AH36" s="22" t="s">
        <v>42</v>
      </c>
      <c r="AJ36" s="22" t="s">
        <v>42</v>
      </c>
      <c r="AK36" s="22" t="s">
        <v>42</v>
      </c>
      <c r="AL36" s="22" t="s">
        <v>42</v>
      </c>
      <c r="AM36" s="22">
        <f t="shared" si="6"/>
        <v>8</v>
      </c>
    </row>
    <row r="37" spans="1:39" x14ac:dyDescent="0.25">
      <c r="A37" s="20" t="s">
        <v>55</v>
      </c>
      <c r="B37" s="38"/>
      <c r="C37" s="20" t="s">
        <v>1035</v>
      </c>
      <c r="D37" s="20" t="s">
        <v>10</v>
      </c>
      <c r="E37" s="20" t="s">
        <v>10</v>
      </c>
      <c r="F37" s="20" t="s">
        <v>1013</v>
      </c>
      <c r="G37" s="39"/>
      <c r="H37" s="40"/>
      <c r="I37" s="22"/>
      <c r="L37" s="22"/>
      <c r="M37" s="22"/>
      <c r="O37" s="22"/>
      <c r="P37" s="22"/>
      <c r="Q37" s="22"/>
      <c r="R37" s="22"/>
      <c r="S37" s="22"/>
      <c r="T37" s="22"/>
      <c r="U37" s="22"/>
      <c r="V37" s="22"/>
      <c r="W37" s="22"/>
      <c r="X37" s="22"/>
      <c r="Y37" s="22"/>
      <c r="Z37" s="22"/>
      <c r="AA37" s="22"/>
      <c r="AB37" s="22"/>
      <c r="AC37" s="22"/>
      <c r="AD37" s="22" t="s">
        <v>42</v>
      </c>
      <c r="AE37" s="22" t="s">
        <v>42</v>
      </c>
      <c r="AF37" s="22" t="s">
        <v>42</v>
      </c>
      <c r="AG37" s="22" t="s">
        <v>42</v>
      </c>
      <c r="AH37" s="22" t="s">
        <v>42</v>
      </c>
      <c r="AJ37" s="22" t="s">
        <v>42</v>
      </c>
      <c r="AK37" s="22" t="s">
        <v>42</v>
      </c>
      <c r="AL37" s="22" t="s">
        <v>42</v>
      </c>
      <c r="AM37" s="22">
        <f t="shared" si="6"/>
        <v>8</v>
      </c>
    </row>
    <row r="38" spans="1:39" x14ac:dyDescent="0.25">
      <c r="A38" s="20" t="s">
        <v>55</v>
      </c>
      <c r="B38" s="38" t="s">
        <v>523</v>
      </c>
      <c r="C38" s="20" t="s">
        <v>524</v>
      </c>
      <c r="D38" s="20" t="s">
        <v>10</v>
      </c>
      <c r="E38" s="20" t="s">
        <v>10</v>
      </c>
      <c r="F38" s="20" t="s">
        <v>1013</v>
      </c>
      <c r="G38" s="39"/>
      <c r="H38" s="40"/>
      <c r="I38" s="22"/>
      <c r="J38" s="33"/>
      <c r="K38" s="33"/>
      <c r="L38" s="33"/>
      <c r="M38" s="33"/>
      <c r="N38" s="33"/>
      <c r="O38" s="33"/>
      <c r="P38" s="33"/>
      <c r="Q38" s="33"/>
      <c r="R38" s="33"/>
      <c r="S38" s="33"/>
      <c r="T38" s="33"/>
      <c r="U38" s="33"/>
      <c r="V38" s="33"/>
      <c r="W38" s="33"/>
      <c r="X38" s="33"/>
      <c r="Y38" s="33"/>
      <c r="Z38" s="33"/>
      <c r="AA38" s="33"/>
      <c r="AB38" s="33"/>
      <c r="AC38" s="33"/>
      <c r="AD38" s="22"/>
      <c r="AE38" s="22" t="s">
        <v>42</v>
      </c>
      <c r="AF38" s="22"/>
      <c r="AG38" s="22" t="s">
        <v>42</v>
      </c>
      <c r="AH38" s="22" t="s">
        <v>42</v>
      </c>
      <c r="AI38" s="33"/>
      <c r="AJ38" s="22" t="s">
        <v>42</v>
      </c>
      <c r="AK38" s="22" t="s">
        <v>42</v>
      </c>
      <c r="AL38" s="22" t="s">
        <v>42</v>
      </c>
      <c r="AM38" s="22">
        <f t="shared" si="6"/>
        <v>6</v>
      </c>
    </row>
    <row r="39" spans="1:39" x14ac:dyDescent="0.25">
      <c r="A39" s="20" t="s">
        <v>55</v>
      </c>
      <c r="B39" s="38" t="s">
        <v>547</v>
      </c>
      <c r="C39" s="20" t="s">
        <v>104</v>
      </c>
      <c r="D39" s="20" t="s">
        <v>10</v>
      </c>
      <c r="E39" s="20" t="s">
        <v>10</v>
      </c>
      <c r="F39" s="20" t="s">
        <v>1013</v>
      </c>
      <c r="G39" s="39"/>
      <c r="H39" s="40"/>
      <c r="I39" s="22"/>
      <c r="J39" s="33"/>
      <c r="M39" s="22"/>
      <c r="O39" s="22"/>
      <c r="P39" s="22"/>
      <c r="Q39" s="22"/>
      <c r="R39" s="22"/>
      <c r="S39" s="22"/>
      <c r="T39" s="22"/>
      <c r="U39" s="22"/>
      <c r="V39" s="22"/>
      <c r="W39" s="22"/>
      <c r="X39" s="22"/>
      <c r="Y39" s="22"/>
      <c r="Z39" s="22"/>
      <c r="AA39" s="22"/>
      <c r="AB39" s="22"/>
      <c r="AC39" s="22"/>
      <c r="AD39" s="22" t="s">
        <v>42</v>
      </c>
      <c r="AE39" s="22"/>
      <c r="AF39" s="22"/>
      <c r="AG39" s="22" t="s">
        <v>42</v>
      </c>
      <c r="AH39" s="22" t="s">
        <v>42</v>
      </c>
      <c r="AJ39" s="22" t="s">
        <v>42</v>
      </c>
      <c r="AK39" s="22" t="s">
        <v>42</v>
      </c>
      <c r="AM39" s="22">
        <f t="shared" si="6"/>
        <v>5</v>
      </c>
    </row>
    <row r="40" spans="1:39" x14ac:dyDescent="0.25">
      <c r="A40" s="20" t="s">
        <v>55</v>
      </c>
      <c r="B40" s="38" t="s">
        <v>860</v>
      </c>
      <c r="C40" s="20" t="s">
        <v>861</v>
      </c>
      <c r="D40" s="20" t="s">
        <v>10</v>
      </c>
      <c r="E40" s="20" t="s">
        <v>10</v>
      </c>
      <c r="F40" s="20" t="s">
        <v>1013</v>
      </c>
      <c r="G40" s="39"/>
      <c r="H40" s="40"/>
      <c r="I40" s="22"/>
      <c r="L40" s="22"/>
      <c r="M40" s="22"/>
      <c r="O40" s="22"/>
      <c r="P40" s="22"/>
      <c r="Q40" s="22"/>
      <c r="R40" s="22"/>
      <c r="S40" s="22"/>
      <c r="T40" s="22"/>
      <c r="U40" s="22"/>
      <c r="V40" s="22"/>
      <c r="W40" s="22"/>
      <c r="X40" s="22"/>
      <c r="Y40" s="22"/>
      <c r="Z40" s="22"/>
      <c r="AA40" s="22"/>
      <c r="AB40" s="22"/>
      <c r="AC40" s="22"/>
      <c r="AD40" s="22"/>
      <c r="AE40" s="22"/>
      <c r="AF40" s="22"/>
      <c r="AG40" s="22" t="s">
        <v>42</v>
      </c>
      <c r="AH40" s="22"/>
      <c r="AM40" s="22">
        <f t="shared" si="6"/>
        <v>1</v>
      </c>
    </row>
    <row r="41" spans="1:39" x14ac:dyDescent="0.25">
      <c r="A41" s="20" t="s">
        <v>55</v>
      </c>
      <c r="B41" s="38"/>
      <c r="C41" s="20" t="s">
        <v>670</v>
      </c>
      <c r="D41" s="20" t="s">
        <v>10</v>
      </c>
      <c r="E41" s="20" t="s">
        <v>10</v>
      </c>
      <c r="F41" s="20" t="s">
        <v>1013</v>
      </c>
      <c r="G41" s="39"/>
      <c r="H41" s="40"/>
      <c r="I41" s="22"/>
      <c r="L41" s="22"/>
      <c r="M41" s="22"/>
      <c r="O41" s="22"/>
      <c r="P41" s="22"/>
      <c r="Q41" s="22"/>
      <c r="R41" s="22"/>
      <c r="S41" s="22"/>
      <c r="T41" s="22"/>
      <c r="U41" s="22"/>
      <c r="V41" s="22"/>
      <c r="W41" s="22"/>
      <c r="X41" s="22"/>
      <c r="Y41" s="22"/>
      <c r="Z41" s="22"/>
      <c r="AA41" s="22"/>
      <c r="AB41" s="22"/>
      <c r="AC41" s="22"/>
      <c r="AD41" s="22"/>
      <c r="AE41" s="22"/>
      <c r="AF41" s="22"/>
      <c r="AG41" s="22"/>
      <c r="AH41" s="22"/>
      <c r="AK41" s="22" t="s">
        <v>42</v>
      </c>
      <c r="AM41" s="22">
        <f t="shared" si="6"/>
        <v>1</v>
      </c>
    </row>
    <row r="42" spans="1:39" x14ac:dyDescent="0.25">
      <c r="A42" s="20" t="s">
        <v>55</v>
      </c>
      <c r="B42" s="38" t="s">
        <v>985</v>
      </c>
      <c r="C42" s="20" t="s">
        <v>986</v>
      </c>
      <c r="D42" s="20" t="s">
        <v>10</v>
      </c>
      <c r="E42" s="20" t="s">
        <v>10</v>
      </c>
      <c r="F42" s="20" t="s">
        <v>1013</v>
      </c>
      <c r="G42" s="39"/>
      <c r="H42" s="40"/>
      <c r="I42" s="22"/>
      <c r="L42" s="22"/>
      <c r="M42" s="22"/>
      <c r="O42" s="22"/>
      <c r="P42" s="22"/>
      <c r="Q42" s="22"/>
      <c r="R42" s="22"/>
      <c r="S42" s="22"/>
      <c r="T42" s="22"/>
      <c r="U42" s="22"/>
      <c r="V42" s="22"/>
      <c r="W42" s="22"/>
      <c r="X42" s="22"/>
      <c r="Y42" s="22"/>
      <c r="Z42" s="22"/>
      <c r="AA42" s="22"/>
      <c r="AB42" s="22"/>
      <c r="AC42" s="22"/>
      <c r="AD42" s="22"/>
      <c r="AE42" s="22"/>
      <c r="AF42" s="22"/>
      <c r="AG42" s="22" t="s">
        <v>42</v>
      </c>
      <c r="AH42" s="22"/>
      <c r="AM42" s="22">
        <f t="shared" si="6"/>
        <v>1</v>
      </c>
    </row>
    <row r="43" spans="1:39" x14ac:dyDescent="0.25">
      <c r="A43" s="20" t="s">
        <v>55</v>
      </c>
      <c r="B43" s="38"/>
      <c r="C43" s="20" t="s">
        <v>1036</v>
      </c>
      <c r="D43" s="20" t="s">
        <v>32</v>
      </c>
      <c r="E43" s="20" t="s">
        <v>778</v>
      </c>
      <c r="F43" s="20" t="s">
        <v>1013</v>
      </c>
      <c r="G43" s="39"/>
      <c r="H43" s="40"/>
      <c r="I43" s="22"/>
      <c r="O43" s="22"/>
      <c r="P43" s="22"/>
      <c r="Q43" s="22"/>
      <c r="R43" s="22"/>
      <c r="S43" s="22"/>
      <c r="T43" s="22"/>
      <c r="U43" s="22"/>
      <c r="V43" s="22"/>
      <c r="W43" s="22"/>
      <c r="X43" s="22"/>
      <c r="Y43" s="22"/>
      <c r="Z43" s="22"/>
      <c r="AA43" s="22"/>
      <c r="AB43" s="22"/>
      <c r="AC43" s="22"/>
      <c r="AD43" s="22" t="s">
        <v>42</v>
      </c>
      <c r="AE43" s="22" t="s">
        <v>42</v>
      </c>
      <c r="AF43" s="22"/>
      <c r="AG43" s="22"/>
      <c r="AH43" s="22"/>
      <c r="AJ43" s="22" t="s">
        <v>42</v>
      </c>
      <c r="AM43" s="22">
        <f t="shared" si="6"/>
        <v>3</v>
      </c>
    </row>
    <row r="44" spans="1:39" x14ac:dyDescent="0.25">
      <c r="A44" s="20" t="s">
        <v>55</v>
      </c>
      <c r="B44" s="38"/>
      <c r="C44" s="20" t="s">
        <v>1037</v>
      </c>
      <c r="D44" s="20" t="s">
        <v>32</v>
      </c>
      <c r="E44" s="20" t="s">
        <v>778</v>
      </c>
      <c r="F44" s="20" t="s">
        <v>1013</v>
      </c>
      <c r="G44" s="39"/>
      <c r="H44" s="40"/>
      <c r="I44" s="22"/>
      <c r="J44" s="33"/>
      <c r="K44" s="33"/>
      <c r="L44" s="33"/>
      <c r="M44" s="33"/>
      <c r="N44" s="33"/>
      <c r="O44" s="33"/>
      <c r="P44" s="33"/>
      <c r="Q44" s="33"/>
      <c r="R44" s="33"/>
      <c r="S44" s="33"/>
      <c r="T44" s="33"/>
      <c r="U44" s="33"/>
      <c r="V44" s="33"/>
      <c r="W44" s="33"/>
      <c r="X44" s="33"/>
      <c r="Y44" s="33"/>
      <c r="Z44" s="33"/>
      <c r="AA44" s="33"/>
      <c r="AB44" s="33"/>
      <c r="AC44" s="33"/>
      <c r="AD44" s="22" t="s">
        <v>42</v>
      </c>
      <c r="AE44" s="22" t="s">
        <v>42</v>
      </c>
      <c r="AF44" s="22"/>
      <c r="AG44" s="22" t="s">
        <v>42</v>
      </c>
      <c r="AH44" s="22" t="s">
        <v>42</v>
      </c>
      <c r="AJ44" s="22" t="s">
        <v>42</v>
      </c>
      <c r="AK44" s="33"/>
      <c r="AL44" s="22" t="s">
        <v>42</v>
      </c>
      <c r="AM44" s="22">
        <f t="shared" si="6"/>
        <v>6</v>
      </c>
    </row>
    <row r="45" spans="1:39" x14ac:dyDescent="0.25">
      <c r="A45" s="20" t="s">
        <v>55</v>
      </c>
      <c r="B45" s="38"/>
      <c r="C45" s="20" t="s">
        <v>1038</v>
      </c>
      <c r="D45" s="20" t="s">
        <v>32</v>
      </c>
      <c r="E45" s="20" t="s">
        <v>778</v>
      </c>
      <c r="F45" s="20" t="s">
        <v>1013</v>
      </c>
      <c r="G45" s="39"/>
      <c r="H45" s="40"/>
      <c r="I45" s="22"/>
      <c r="J45" s="33"/>
      <c r="L45" s="22"/>
      <c r="M45" s="22"/>
      <c r="O45" s="22"/>
      <c r="P45" s="22"/>
      <c r="Q45" s="22"/>
      <c r="R45" s="22"/>
      <c r="S45" s="22"/>
      <c r="T45" s="22"/>
      <c r="U45" s="22"/>
      <c r="V45" s="22"/>
      <c r="W45" s="22"/>
      <c r="X45" s="22"/>
      <c r="Y45" s="22"/>
      <c r="Z45" s="22"/>
      <c r="AA45" s="22"/>
      <c r="AB45" s="22"/>
      <c r="AD45" s="22" t="s">
        <v>42</v>
      </c>
      <c r="AE45" s="22"/>
      <c r="AF45" s="22"/>
      <c r="AG45" s="22" t="s">
        <v>42</v>
      </c>
      <c r="AH45" s="22" t="s">
        <v>42</v>
      </c>
      <c r="AJ45" s="22" t="s">
        <v>42</v>
      </c>
      <c r="AK45" s="22" t="s">
        <v>42</v>
      </c>
      <c r="AM45" s="22">
        <f t="shared" si="6"/>
        <v>5</v>
      </c>
    </row>
    <row r="46" spans="1:39" x14ac:dyDescent="0.25">
      <c r="A46" s="20" t="s">
        <v>55</v>
      </c>
      <c r="B46" s="38"/>
      <c r="C46" s="20" t="s">
        <v>1039</v>
      </c>
      <c r="D46" s="20" t="s">
        <v>32</v>
      </c>
      <c r="E46" s="20" t="s">
        <v>778</v>
      </c>
      <c r="F46" s="20" t="s">
        <v>1013</v>
      </c>
      <c r="G46" s="39"/>
      <c r="H46" s="40"/>
      <c r="I46" s="22"/>
      <c r="L46" s="22"/>
      <c r="M46" s="22"/>
      <c r="N46" s="22"/>
      <c r="O46" s="22"/>
      <c r="P46" s="22"/>
      <c r="Q46" s="22"/>
      <c r="R46" s="22"/>
      <c r="S46" s="22"/>
      <c r="T46" s="22"/>
      <c r="U46" s="22"/>
      <c r="V46" s="22"/>
      <c r="W46" s="22"/>
      <c r="X46" s="22"/>
      <c r="Y46" s="22"/>
      <c r="Z46" s="22"/>
      <c r="AA46" s="22"/>
      <c r="AB46" s="22"/>
      <c r="AC46" s="22"/>
      <c r="AD46" s="22"/>
      <c r="AE46" s="22"/>
      <c r="AF46" s="22"/>
      <c r="AG46" s="22" t="s">
        <v>42</v>
      </c>
      <c r="AH46" s="22"/>
      <c r="AM46" s="22">
        <f t="shared" si="6"/>
        <v>1</v>
      </c>
    </row>
    <row r="47" spans="1:39" x14ac:dyDescent="0.25">
      <c r="A47" s="20" t="s">
        <v>55</v>
      </c>
      <c r="B47" s="38"/>
      <c r="C47" s="20" t="s">
        <v>309</v>
      </c>
      <c r="D47" s="20" t="s">
        <v>8</v>
      </c>
      <c r="E47" s="20" t="s">
        <v>8</v>
      </c>
      <c r="F47" s="20" t="s">
        <v>1013</v>
      </c>
      <c r="G47" s="39"/>
      <c r="H47" s="40"/>
      <c r="I47" s="22"/>
      <c r="L47" s="22"/>
      <c r="M47" s="22"/>
      <c r="O47" s="22"/>
      <c r="R47" s="22"/>
      <c r="S47" s="22"/>
      <c r="T47" s="22"/>
      <c r="U47" s="22"/>
      <c r="V47" s="22"/>
      <c r="W47" s="22"/>
      <c r="X47" s="22"/>
      <c r="Y47" s="22"/>
      <c r="Z47" s="22"/>
      <c r="AA47" s="22"/>
      <c r="AB47" s="22"/>
      <c r="AC47" s="22"/>
      <c r="AD47" s="22" t="s">
        <v>42</v>
      </c>
      <c r="AE47" s="22"/>
      <c r="AF47" s="22"/>
      <c r="AG47" s="22" t="s">
        <v>42</v>
      </c>
      <c r="AH47" s="22"/>
      <c r="AJ47" s="22" t="s">
        <v>42</v>
      </c>
      <c r="AM47" s="22">
        <f t="shared" si="6"/>
        <v>3</v>
      </c>
    </row>
    <row r="48" spans="1:39" x14ac:dyDescent="0.25">
      <c r="A48" s="20" t="s">
        <v>55</v>
      </c>
      <c r="B48" s="38"/>
      <c r="C48" s="20" t="s">
        <v>1040</v>
      </c>
      <c r="D48" s="20" t="s">
        <v>3</v>
      </c>
      <c r="E48" s="20" t="s">
        <v>3</v>
      </c>
      <c r="F48" s="20" t="s">
        <v>1013</v>
      </c>
      <c r="G48" s="39"/>
      <c r="H48" s="40"/>
      <c r="I48" s="22"/>
      <c r="L48" s="22"/>
      <c r="M48" s="22"/>
      <c r="O48" s="22"/>
      <c r="P48" s="22"/>
      <c r="Q48" s="22"/>
      <c r="R48" s="22"/>
      <c r="S48" s="22"/>
      <c r="T48" s="22"/>
      <c r="U48" s="22"/>
      <c r="V48" s="22"/>
      <c r="W48" s="22"/>
      <c r="X48" s="22"/>
      <c r="Y48" s="22"/>
      <c r="Z48" s="22"/>
      <c r="AA48" s="22"/>
      <c r="AB48" s="22"/>
      <c r="AC48" s="22"/>
      <c r="AD48" s="22" t="s">
        <v>42</v>
      </c>
      <c r="AE48" s="22" t="s">
        <v>42</v>
      </c>
      <c r="AF48" s="22" t="s">
        <v>42</v>
      </c>
      <c r="AG48" s="22" t="s">
        <v>42</v>
      </c>
      <c r="AH48" s="22" t="s">
        <v>42</v>
      </c>
      <c r="AM48" s="22">
        <f t="shared" si="6"/>
        <v>5</v>
      </c>
    </row>
    <row r="49" spans="1:39" x14ac:dyDescent="0.25">
      <c r="A49" s="20" t="s">
        <v>55</v>
      </c>
      <c r="B49" s="38"/>
      <c r="C49" s="20" t="s">
        <v>134</v>
      </c>
      <c r="D49" s="20" t="s">
        <v>3</v>
      </c>
      <c r="E49" s="20" t="s">
        <v>3</v>
      </c>
      <c r="F49" s="20" t="s">
        <v>1013</v>
      </c>
      <c r="G49" s="39"/>
      <c r="H49" s="40"/>
      <c r="I49" s="22"/>
      <c r="J49" s="33"/>
      <c r="L49" s="22"/>
      <c r="M49" s="22"/>
      <c r="O49" s="22"/>
      <c r="P49" s="22"/>
      <c r="Q49" s="22"/>
      <c r="R49" s="22"/>
      <c r="S49" s="22"/>
      <c r="T49" s="22"/>
      <c r="U49" s="22"/>
      <c r="V49" s="22"/>
      <c r="W49" s="22"/>
      <c r="X49" s="22"/>
      <c r="Y49" s="22"/>
      <c r="Z49" s="22"/>
      <c r="AA49" s="22"/>
      <c r="AB49" s="22"/>
      <c r="AC49" s="22"/>
      <c r="AD49" s="22" t="s">
        <v>42</v>
      </c>
      <c r="AE49" s="22" t="s">
        <v>42</v>
      </c>
      <c r="AF49" s="22" t="s">
        <v>42</v>
      </c>
      <c r="AG49" s="22" t="s">
        <v>42</v>
      </c>
      <c r="AH49" s="22" t="s">
        <v>42</v>
      </c>
      <c r="AJ49" s="22" t="s">
        <v>42</v>
      </c>
      <c r="AM49" s="22">
        <f t="shared" si="6"/>
        <v>6</v>
      </c>
    </row>
    <row r="50" spans="1:39" x14ac:dyDescent="0.25">
      <c r="A50" s="20" t="s">
        <v>55</v>
      </c>
      <c r="B50" s="38"/>
      <c r="C50" s="20" t="s">
        <v>315</v>
      </c>
      <c r="D50" s="20" t="s">
        <v>3</v>
      </c>
      <c r="E50" s="20" t="s">
        <v>3</v>
      </c>
      <c r="F50" s="20" t="s">
        <v>1013</v>
      </c>
      <c r="G50" s="39"/>
      <c r="H50" s="40"/>
      <c r="I50" s="22"/>
      <c r="L50" s="22"/>
      <c r="M50" s="22"/>
      <c r="O50" s="22"/>
      <c r="R50" s="22"/>
      <c r="S50" s="22"/>
      <c r="T50" s="22"/>
      <c r="U50" s="22"/>
      <c r="V50" s="22"/>
      <c r="W50" s="22"/>
      <c r="X50" s="22"/>
      <c r="Y50" s="22"/>
      <c r="Z50" s="22"/>
      <c r="AA50" s="22"/>
      <c r="AB50" s="22"/>
      <c r="AC50" s="22"/>
      <c r="AD50" s="22"/>
      <c r="AE50" s="22"/>
      <c r="AF50" s="22" t="s">
        <v>42</v>
      </c>
      <c r="AG50" s="22"/>
      <c r="AH50" s="22"/>
      <c r="AJ50" s="22" t="s">
        <v>42</v>
      </c>
      <c r="AM50" s="22">
        <f t="shared" si="6"/>
        <v>2</v>
      </c>
    </row>
    <row r="51" spans="1:39" x14ac:dyDescent="0.25">
      <c r="A51" s="20" t="s">
        <v>55</v>
      </c>
      <c r="B51" s="38"/>
      <c r="C51" s="20" t="s">
        <v>1041</v>
      </c>
      <c r="D51" s="20" t="s">
        <v>32</v>
      </c>
      <c r="E51" s="20" t="s">
        <v>1043</v>
      </c>
      <c r="F51" s="20" t="s">
        <v>1013</v>
      </c>
      <c r="G51" s="39"/>
      <c r="H51" s="40"/>
      <c r="I51" s="22"/>
      <c r="L51" s="22"/>
      <c r="M51" s="22"/>
      <c r="O51" s="22"/>
      <c r="R51" s="22"/>
      <c r="S51" s="22"/>
      <c r="T51" s="22"/>
      <c r="U51" s="22"/>
      <c r="V51" s="22"/>
      <c r="W51" s="22"/>
      <c r="X51" s="22"/>
      <c r="Y51" s="22"/>
      <c r="Z51" s="22"/>
      <c r="AA51" s="22"/>
      <c r="AB51" s="22"/>
      <c r="AC51" s="22"/>
      <c r="AD51" s="22"/>
      <c r="AE51" s="22"/>
      <c r="AF51" s="22"/>
      <c r="AG51" s="22"/>
      <c r="AH51" s="22"/>
      <c r="AK51" s="22" t="s">
        <v>42</v>
      </c>
      <c r="AL51" s="22" t="s">
        <v>42</v>
      </c>
      <c r="AM51" s="22">
        <f t="shared" si="6"/>
        <v>2</v>
      </c>
    </row>
    <row r="52" spans="1:39" x14ac:dyDescent="0.25">
      <c r="A52" s="20" t="s">
        <v>55</v>
      </c>
      <c r="B52" s="38"/>
      <c r="C52" s="20" t="s">
        <v>1042</v>
      </c>
      <c r="D52" s="20" t="s">
        <v>32</v>
      </c>
      <c r="E52" s="20" t="s">
        <v>1043</v>
      </c>
      <c r="F52" s="20" t="s">
        <v>1013</v>
      </c>
      <c r="G52" s="39"/>
      <c r="H52" s="40"/>
      <c r="I52" s="22"/>
      <c r="J52" s="31"/>
      <c r="K52" s="31"/>
      <c r="L52" s="31"/>
      <c r="M52" s="31"/>
      <c r="N52" s="31"/>
      <c r="O52" s="31"/>
      <c r="P52" s="31"/>
      <c r="Q52" s="31"/>
      <c r="R52" s="31"/>
      <c r="S52" s="31"/>
      <c r="T52" s="31"/>
      <c r="U52" s="31"/>
      <c r="V52" s="31"/>
      <c r="W52" s="31"/>
      <c r="X52" s="31"/>
      <c r="Y52" s="31"/>
      <c r="Z52" s="31"/>
      <c r="AA52" s="31"/>
      <c r="AB52" s="31"/>
      <c r="AC52" s="31"/>
      <c r="AD52" s="22"/>
      <c r="AE52" s="22"/>
      <c r="AF52" s="22"/>
      <c r="AG52" s="22"/>
      <c r="AH52" s="22"/>
      <c r="AI52" s="31"/>
      <c r="AJ52" s="31"/>
      <c r="AK52" s="31"/>
      <c r="AL52" s="31"/>
      <c r="AM52" s="22">
        <f t="shared" si="6"/>
        <v>0</v>
      </c>
    </row>
    <row r="53" spans="1:39" x14ac:dyDescent="0.25">
      <c r="A53" s="20" t="s">
        <v>55</v>
      </c>
      <c r="B53" s="38"/>
      <c r="C53" s="20" t="s">
        <v>1045</v>
      </c>
      <c r="D53" s="20" t="s">
        <v>16</v>
      </c>
      <c r="E53" s="20" t="s">
        <v>16</v>
      </c>
      <c r="F53" s="20" t="s">
        <v>1013</v>
      </c>
      <c r="G53" s="39"/>
      <c r="H53" s="40"/>
      <c r="I53" s="31"/>
      <c r="J53" s="31"/>
      <c r="K53" s="31"/>
      <c r="L53" s="31"/>
      <c r="M53" s="31"/>
      <c r="N53" s="31"/>
      <c r="P53" s="31"/>
      <c r="Q53" s="31"/>
      <c r="R53" s="31"/>
      <c r="S53" s="31"/>
      <c r="T53" s="31"/>
      <c r="U53" s="31"/>
      <c r="V53" s="22"/>
      <c r="W53" s="31"/>
      <c r="X53" s="31"/>
      <c r="Y53" s="31"/>
      <c r="Z53" s="31"/>
      <c r="AA53" s="31"/>
      <c r="AB53" s="31"/>
      <c r="AC53" s="31"/>
      <c r="AD53" s="33" t="s">
        <v>36</v>
      </c>
      <c r="AE53" s="33" t="s">
        <v>36</v>
      </c>
      <c r="AF53" s="33" t="s">
        <v>36</v>
      </c>
      <c r="AG53" s="33" t="s">
        <v>36</v>
      </c>
      <c r="AH53" s="33" t="s">
        <v>36</v>
      </c>
      <c r="AI53" s="33"/>
      <c r="AJ53" s="33" t="s">
        <v>36</v>
      </c>
      <c r="AK53" s="33" t="s">
        <v>36</v>
      </c>
      <c r="AL53" s="33" t="s">
        <v>36</v>
      </c>
      <c r="AM53" s="22">
        <f t="shared" si="6"/>
        <v>8</v>
      </c>
    </row>
    <row r="54" spans="1:39" x14ac:dyDescent="0.25">
      <c r="A54" s="20" t="s">
        <v>55</v>
      </c>
      <c r="B54" s="38"/>
      <c r="C54" s="20" t="s">
        <v>1045</v>
      </c>
      <c r="D54" s="20" t="s">
        <v>16</v>
      </c>
      <c r="E54" s="20" t="s">
        <v>16</v>
      </c>
      <c r="F54" s="20" t="s">
        <v>1013</v>
      </c>
      <c r="G54" s="39"/>
      <c r="H54" s="40"/>
      <c r="I54" s="31"/>
      <c r="J54" s="33"/>
      <c r="K54" s="31"/>
      <c r="L54" s="31"/>
      <c r="M54" s="31"/>
      <c r="N54" s="31"/>
      <c r="Q54" s="31"/>
      <c r="R54" s="31"/>
      <c r="S54" s="31"/>
      <c r="T54" s="31"/>
      <c r="U54" s="31"/>
      <c r="V54" s="22"/>
      <c r="W54" s="31"/>
      <c r="X54" s="31"/>
      <c r="Y54" s="31"/>
      <c r="Z54" s="31"/>
      <c r="AA54" s="31"/>
      <c r="AB54" s="31"/>
      <c r="AC54" s="22"/>
      <c r="AD54" s="33" t="s">
        <v>36</v>
      </c>
      <c r="AE54" s="33" t="s">
        <v>36</v>
      </c>
      <c r="AF54" s="33" t="s">
        <v>36</v>
      </c>
      <c r="AG54" s="33" t="s">
        <v>36</v>
      </c>
      <c r="AH54" s="33" t="s">
        <v>36</v>
      </c>
      <c r="AI54" s="33"/>
      <c r="AJ54" s="33" t="s">
        <v>36</v>
      </c>
      <c r="AK54" s="33" t="s">
        <v>36</v>
      </c>
      <c r="AL54" s="33" t="s">
        <v>36</v>
      </c>
      <c r="AM54" s="22">
        <f t="shared" si="6"/>
        <v>8</v>
      </c>
    </row>
    <row r="55" spans="1:39" x14ac:dyDescent="0.25">
      <c r="A55" s="20" t="s">
        <v>55</v>
      </c>
      <c r="B55" s="38"/>
      <c r="C55" s="20" t="s">
        <v>1050</v>
      </c>
      <c r="D55" s="20" t="s">
        <v>16</v>
      </c>
      <c r="E55" s="20" t="s">
        <v>16</v>
      </c>
      <c r="F55" s="20" t="s">
        <v>1013</v>
      </c>
      <c r="G55" s="39"/>
      <c r="H55" s="40"/>
      <c r="I55" s="31"/>
      <c r="J55" s="31"/>
      <c r="K55" s="31"/>
      <c r="L55" s="31"/>
      <c r="M55" s="31"/>
      <c r="N55" s="31"/>
      <c r="O55" s="31"/>
      <c r="P55" s="31"/>
      <c r="Q55" s="31"/>
      <c r="R55" s="31"/>
      <c r="S55" s="31"/>
      <c r="T55" s="31"/>
      <c r="U55" s="31"/>
      <c r="V55" s="31"/>
      <c r="W55" s="31"/>
      <c r="X55" s="31"/>
      <c r="Y55" s="31"/>
      <c r="Z55" s="31"/>
      <c r="AA55" s="31"/>
      <c r="AB55" s="31"/>
      <c r="AC55" s="31"/>
      <c r="AD55" s="31" t="s">
        <v>36</v>
      </c>
      <c r="AE55" s="31" t="s">
        <v>36</v>
      </c>
      <c r="AF55" s="31" t="s">
        <v>36</v>
      </c>
      <c r="AG55" s="31" t="s">
        <v>36</v>
      </c>
      <c r="AH55" s="31" t="s">
        <v>36</v>
      </c>
      <c r="AI55" s="31" t="s">
        <v>36</v>
      </c>
      <c r="AJ55" s="31" t="s">
        <v>36</v>
      </c>
      <c r="AK55" s="31"/>
      <c r="AL55" s="31"/>
      <c r="AM55" s="22">
        <f t="shared" si="6"/>
        <v>7</v>
      </c>
    </row>
    <row r="56" spans="1:39" x14ac:dyDescent="0.25">
      <c r="A56" s="20" t="s">
        <v>55</v>
      </c>
      <c r="B56" s="38"/>
      <c r="C56" s="20" t="s">
        <v>1051</v>
      </c>
      <c r="D56" s="20" t="s">
        <v>16</v>
      </c>
      <c r="E56" s="20" t="s">
        <v>16</v>
      </c>
      <c r="F56" s="20" t="s">
        <v>1013</v>
      </c>
      <c r="G56" s="39"/>
      <c r="H56" s="40"/>
      <c r="I56" s="31"/>
      <c r="J56" s="33"/>
      <c r="L56" s="31"/>
      <c r="M56" s="31"/>
      <c r="O56" s="31"/>
      <c r="P56" s="31"/>
      <c r="Q56" s="31"/>
      <c r="R56" s="31"/>
      <c r="S56" s="31"/>
      <c r="T56" s="31"/>
      <c r="U56" s="22"/>
      <c r="V56" s="31"/>
      <c r="W56" s="31"/>
      <c r="X56" s="31"/>
      <c r="Y56" s="31"/>
      <c r="Z56" s="31"/>
      <c r="AA56" s="31"/>
      <c r="AB56" s="31"/>
      <c r="AC56" s="31"/>
      <c r="AD56" s="31" t="s">
        <v>36</v>
      </c>
      <c r="AE56" s="31" t="s">
        <v>36</v>
      </c>
      <c r="AF56" s="31" t="s">
        <v>36</v>
      </c>
      <c r="AG56" s="31" t="s">
        <v>36</v>
      </c>
      <c r="AH56" s="31" t="s">
        <v>36</v>
      </c>
      <c r="AI56" s="31" t="s">
        <v>36</v>
      </c>
      <c r="AJ56" s="31" t="s">
        <v>36</v>
      </c>
      <c r="AK56" s="31"/>
      <c r="AL56" s="31"/>
      <c r="AM56" s="22">
        <f t="shared" si="6"/>
        <v>7</v>
      </c>
    </row>
    <row r="57" spans="1:39" x14ac:dyDescent="0.25">
      <c r="A57" s="20" t="s">
        <v>55</v>
      </c>
      <c r="B57" s="38"/>
      <c r="C57" s="20" t="s">
        <v>1052</v>
      </c>
      <c r="D57" s="20" t="s">
        <v>16</v>
      </c>
      <c r="E57" s="20" t="s">
        <v>16</v>
      </c>
      <c r="F57" s="20" t="s">
        <v>1013</v>
      </c>
      <c r="G57" s="39"/>
      <c r="H57" s="40"/>
      <c r="I57" s="31"/>
      <c r="J57" s="31"/>
      <c r="K57" s="31"/>
      <c r="L57" s="31"/>
      <c r="M57" s="31"/>
      <c r="N57" s="31"/>
      <c r="O57" s="31"/>
      <c r="P57" s="31"/>
      <c r="Q57" s="31"/>
      <c r="R57" s="31"/>
      <c r="S57" s="31"/>
      <c r="T57" s="31"/>
      <c r="U57" s="31"/>
      <c r="V57" s="31"/>
      <c r="W57" s="31"/>
      <c r="X57" s="31"/>
      <c r="Y57" s="31"/>
      <c r="Z57" s="31"/>
      <c r="AA57" s="31"/>
      <c r="AB57" s="31"/>
      <c r="AC57" s="31"/>
      <c r="AD57" s="31" t="s">
        <v>36</v>
      </c>
      <c r="AE57" s="31" t="s">
        <v>36</v>
      </c>
      <c r="AF57" s="31" t="s">
        <v>36</v>
      </c>
      <c r="AG57" s="31" t="s">
        <v>36</v>
      </c>
      <c r="AH57" s="31" t="s">
        <v>36</v>
      </c>
      <c r="AI57" s="31" t="s">
        <v>36</v>
      </c>
      <c r="AJ57" s="31" t="s">
        <v>36</v>
      </c>
      <c r="AK57" s="33" t="s">
        <v>36</v>
      </c>
      <c r="AL57" s="33" t="s">
        <v>36</v>
      </c>
      <c r="AM57" s="22">
        <f t="shared" si="6"/>
        <v>9</v>
      </c>
    </row>
    <row r="58" spans="1:39" x14ac:dyDescent="0.25">
      <c r="A58" s="20" t="s">
        <v>55</v>
      </c>
      <c r="B58" s="38"/>
      <c r="C58" s="20" t="s">
        <v>1053</v>
      </c>
      <c r="D58" s="20" t="s">
        <v>16</v>
      </c>
      <c r="E58" s="20" t="s">
        <v>16</v>
      </c>
      <c r="F58" s="20" t="s">
        <v>1013</v>
      </c>
      <c r="G58" s="39"/>
      <c r="H58" s="40"/>
      <c r="I58" s="31"/>
      <c r="J58" s="31"/>
      <c r="K58" s="31"/>
      <c r="L58" s="31"/>
      <c r="M58" s="31"/>
      <c r="N58" s="31"/>
      <c r="O58" s="31"/>
      <c r="P58" s="31"/>
      <c r="Q58" s="31"/>
      <c r="R58" s="31"/>
      <c r="S58" s="31"/>
      <c r="T58" s="31"/>
      <c r="U58" s="31"/>
      <c r="V58" s="31"/>
      <c r="W58" s="31"/>
      <c r="X58" s="31"/>
      <c r="Y58" s="31"/>
      <c r="Z58" s="31"/>
      <c r="AA58" s="31"/>
      <c r="AB58" s="31"/>
      <c r="AC58" s="31"/>
      <c r="AD58" s="31" t="s">
        <v>36</v>
      </c>
      <c r="AE58" s="31" t="s">
        <v>36</v>
      </c>
      <c r="AF58" s="31" t="s">
        <v>36</v>
      </c>
      <c r="AG58" s="31" t="s">
        <v>36</v>
      </c>
      <c r="AH58" s="31" t="s">
        <v>36</v>
      </c>
      <c r="AI58" s="31"/>
      <c r="AJ58" s="31" t="s">
        <v>36</v>
      </c>
      <c r="AK58" s="33" t="s">
        <v>36</v>
      </c>
      <c r="AL58" s="33" t="s">
        <v>36</v>
      </c>
      <c r="AM58" s="22">
        <f t="shared" si="6"/>
        <v>8</v>
      </c>
    </row>
    <row r="59" spans="1:39" x14ac:dyDescent="0.25">
      <c r="A59" s="20" t="s">
        <v>55</v>
      </c>
      <c r="B59" s="38"/>
      <c r="C59" s="20" t="s">
        <v>1054</v>
      </c>
      <c r="D59" s="20" t="s">
        <v>16</v>
      </c>
      <c r="E59" s="20" t="s">
        <v>16</v>
      </c>
      <c r="F59" s="20" t="s">
        <v>1013</v>
      </c>
      <c r="G59" s="39"/>
      <c r="H59" s="40"/>
      <c r="I59" s="31"/>
      <c r="J59" s="31"/>
      <c r="K59" s="31"/>
      <c r="L59" s="31"/>
      <c r="M59" s="31"/>
      <c r="N59" s="31"/>
      <c r="O59" s="31"/>
      <c r="P59" s="31"/>
      <c r="Q59" s="31"/>
      <c r="R59" s="31"/>
      <c r="S59" s="31"/>
      <c r="T59" s="31"/>
      <c r="U59" s="31"/>
      <c r="V59" s="31"/>
      <c r="W59" s="31"/>
      <c r="X59" s="31"/>
      <c r="Y59" s="31"/>
      <c r="Z59" s="31"/>
      <c r="AA59" s="31"/>
      <c r="AB59" s="31"/>
      <c r="AC59" s="31"/>
      <c r="AD59" s="31" t="s">
        <v>36</v>
      </c>
      <c r="AE59" s="31" t="s">
        <v>36</v>
      </c>
      <c r="AF59" s="31" t="s">
        <v>36</v>
      </c>
      <c r="AG59" s="31" t="s">
        <v>36</v>
      </c>
      <c r="AH59" s="31" t="s">
        <v>36</v>
      </c>
      <c r="AI59" s="31"/>
      <c r="AJ59" s="31" t="s">
        <v>36</v>
      </c>
      <c r="AK59" s="33" t="s">
        <v>36</v>
      </c>
      <c r="AL59" s="33" t="s">
        <v>36</v>
      </c>
      <c r="AM59" s="22">
        <f t="shared" si="6"/>
        <v>8</v>
      </c>
    </row>
    <row r="60" spans="1:39" x14ac:dyDescent="0.25">
      <c r="A60" s="20" t="s">
        <v>55</v>
      </c>
      <c r="B60" s="38"/>
      <c r="C60" s="20" t="s">
        <v>1055</v>
      </c>
      <c r="D60" s="20" t="s">
        <v>16</v>
      </c>
      <c r="E60" s="20" t="s">
        <v>16</v>
      </c>
      <c r="F60" s="20" t="s">
        <v>1013</v>
      </c>
      <c r="G60" s="39"/>
      <c r="H60" s="40"/>
      <c r="I60" s="31"/>
      <c r="J60" s="31"/>
      <c r="K60" s="31"/>
      <c r="L60" s="31"/>
      <c r="M60" s="31"/>
      <c r="N60" s="31"/>
      <c r="O60" s="31"/>
      <c r="P60" s="31"/>
      <c r="Q60" s="31"/>
      <c r="R60" s="31"/>
      <c r="S60" s="31"/>
      <c r="T60" s="31"/>
      <c r="U60" s="31"/>
      <c r="V60" s="31"/>
      <c r="W60" s="31"/>
      <c r="X60" s="31"/>
      <c r="Y60" s="31"/>
      <c r="Z60" s="31"/>
      <c r="AA60" s="31"/>
      <c r="AB60" s="31"/>
      <c r="AC60" s="31"/>
      <c r="AD60" s="31" t="s">
        <v>36</v>
      </c>
      <c r="AE60" s="31" t="s">
        <v>36</v>
      </c>
      <c r="AF60" s="31" t="s">
        <v>36</v>
      </c>
      <c r="AG60" s="31" t="s">
        <v>36</v>
      </c>
      <c r="AH60" s="31" t="s">
        <v>36</v>
      </c>
      <c r="AI60" s="31"/>
      <c r="AJ60" s="31" t="s">
        <v>36</v>
      </c>
      <c r="AK60" s="33" t="s">
        <v>36</v>
      </c>
      <c r="AL60" s="33" t="s">
        <v>36</v>
      </c>
      <c r="AM60" s="22">
        <f t="shared" si="6"/>
        <v>8</v>
      </c>
    </row>
    <row r="61" spans="1:39" x14ac:dyDescent="0.25">
      <c r="A61" s="20" t="s">
        <v>55</v>
      </c>
      <c r="B61" s="38"/>
      <c r="C61" s="20" t="s">
        <v>1056</v>
      </c>
      <c r="D61" s="20" t="s">
        <v>16</v>
      </c>
      <c r="E61" s="20" t="s">
        <v>16</v>
      </c>
      <c r="F61" s="20" t="s">
        <v>1013</v>
      </c>
      <c r="G61" s="39"/>
      <c r="H61" s="40"/>
      <c r="I61" s="31"/>
      <c r="J61" s="31"/>
      <c r="K61" s="31"/>
      <c r="L61" s="31"/>
      <c r="M61" s="31"/>
      <c r="N61" s="31"/>
      <c r="O61" s="31"/>
      <c r="P61" s="31"/>
      <c r="Q61" s="31"/>
      <c r="R61" s="31"/>
      <c r="S61" s="31"/>
      <c r="T61" s="31"/>
      <c r="U61" s="31"/>
      <c r="V61" s="31"/>
      <c r="W61" s="31"/>
      <c r="X61" s="31"/>
      <c r="Y61" s="31"/>
      <c r="Z61" s="31"/>
      <c r="AA61" s="31"/>
      <c r="AB61" s="31"/>
      <c r="AC61" s="31"/>
      <c r="AD61" s="31" t="s">
        <v>36</v>
      </c>
      <c r="AE61" s="31" t="s">
        <v>36</v>
      </c>
      <c r="AF61" s="31" t="s">
        <v>36</v>
      </c>
      <c r="AG61" s="31" t="s">
        <v>36</v>
      </c>
      <c r="AH61" s="31" t="s">
        <v>36</v>
      </c>
      <c r="AI61" s="31"/>
      <c r="AJ61" s="31" t="s">
        <v>36</v>
      </c>
      <c r="AK61" s="33" t="s">
        <v>36</v>
      </c>
      <c r="AL61" s="31"/>
      <c r="AM61" s="22">
        <f t="shared" si="6"/>
        <v>7</v>
      </c>
    </row>
    <row r="62" spans="1:39" x14ac:dyDescent="0.25">
      <c r="A62" s="20" t="s">
        <v>55</v>
      </c>
      <c r="B62" s="38"/>
      <c r="C62" s="20" t="s">
        <v>1057</v>
      </c>
      <c r="D62" s="20" t="s">
        <v>16</v>
      </c>
      <c r="E62" s="20" t="s">
        <v>16</v>
      </c>
      <c r="F62" s="20" t="s">
        <v>1013</v>
      </c>
      <c r="G62" s="39"/>
      <c r="H62" s="40"/>
      <c r="I62" s="33"/>
      <c r="J62" s="33"/>
      <c r="K62" s="33"/>
      <c r="L62" s="33"/>
      <c r="M62" s="33"/>
      <c r="O62" s="33"/>
      <c r="P62" s="33"/>
      <c r="Q62" s="33"/>
      <c r="R62" s="33"/>
      <c r="S62" s="33"/>
      <c r="T62" s="33"/>
      <c r="U62" s="33"/>
      <c r="V62" s="22"/>
      <c r="W62" s="33"/>
      <c r="X62" s="33"/>
      <c r="Y62" s="33"/>
      <c r="Z62" s="33"/>
      <c r="AA62" s="33"/>
      <c r="AB62" s="33"/>
      <c r="AC62" s="33"/>
      <c r="AD62" s="31"/>
      <c r="AE62" s="31" t="s">
        <v>36</v>
      </c>
      <c r="AF62" s="31" t="s">
        <v>36</v>
      </c>
      <c r="AG62" s="31" t="s">
        <v>36</v>
      </c>
      <c r="AH62" s="33"/>
      <c r="AI62" s="33"/>
      <c r="AJ62" s="31" t="s">
        <v>36</v>
      </c>
      <c r="AK62" s="33" t="s">
        <v>36</v>
      </c>
      <c r="AL62" s="33" t="s">
        <v>36</v>
      </c>
      <c r="AM62" s="22">
        <f t="shared" si="6"/>
        <v>6</v>
      </c>
    </row>
    <row r="63" spans="1:39" x14ac:dyDescent="0.25">
      <c r="A63" s="20" t="s">
        <v>55</v>
      </c>
      <c r="B63" s="38"/>
      <c r="C63" s="20" t="s">
        <v>16</v>
      </c>
      <c r="D63" s="20" t="s">
        <v>16</v>
      </c>
      <c r="E63" s="20" t="s">
        <v>16</v>
      </c>
      <c r="F63" s="20" t="s">
        <v>1013</v>
      </c>
      <c r="G63" s="39"/>
      <c r="H63" s="40"/>
      <c r="I63" s="22"/>
      <c r="L63" s="22"/>
      <c r="M63" s="22"/>
      <c r="R63" s="22"/>
      <c r="S63" s="22"/>
      <c r="T63" s="22"/>
      <c r="U63" s="22"/>
      <c r="V63" s="22"/>
      <c r="W63" s="22"/>
      <c r="X63" s="22"/>
      <c r="Y63" s="22"/>
      <c r="Z63" s="22"/>
      <c r="AA63" s="22"/>
      <c r="AB63" s="22"/>
      <c r="AC63" s="22"/>
      <c r="AD63" s="31" t="s">
        <v>36</v>
      </c>
      <c r="AE63" s="31" t="s">
        <v>36</v>
      </c>
      <c r="AF63" s="31" t="s">
        <v>36</v>
      </c>
      <c r="AG63" s="31" t="s">
        <v>36</v>
      </c>
      <c r="AH63" s="31" t="s">
        <v>36</v>
      </c>
      <c r="AJ63" s="31" t="s">
        <v>36</v>
      </c>
      <c r="AK63" s="31" t="s">
        <v>36</v>
      </c>
      <c r="AL63" s="31" t="s">
        <v>36</v>
      </c>
      <c r="AM63" s="22">
        <f t="shared" si="6"/>
        <v>8</v>
      </c>
    </row>
    <row r="64" spans="1:39" x14ac:dyDescent="0.25">
      <c r="A64" s="20" t="s">
        <v>55</v>
      </c>
      <c r="B64" s="38"/>
      <c r="C64" s="20" t="s">
        <v>16</v>
      </c>
      <c r="D64" s="20" t="s">
        <v>16</v>
      </c>
      <c r="E64" s="20" t="s">
        <v>16</v>
      </c>
      <c r="F64" s="20" t="s">
        <v>1013</v>
      </c>
      <c r="G64" s="39"/>
      <c r="H64" s="40"/>
      <c r="I64" s="22"/>
      <c r="L64" s="22"/>
      <c r="M64" s="22"/>
      <c r="P64" s="22"/>
      <c r="Q64" s="22"/>
      <c r="R64" s="22"/>
      <c r="S64" s="22"/>
      <c r="T64" s="22"/>
      <c r="U64" s="22"/>
      <c r="V64" s="22"/>
      <c r="W64" s="22"/>
      <c r="X64" s="22"/>
      <c r="Y64" s="22"/>
      <c r="Z64" s="22"/>
      <c r="AA64" s="22"/>
      <c r="AB64" s="22"/>
      <c r="AC64" s="22"/>
      <c r="AD64" s="31" t="s">
        <v>36</v>
      </c>
      <c r="AE64" s="31" t="s">
        <v>36</v>
      </c>
      <c r="AF64" s="31" t="s">
        <v>36</v>
      </c>
      <c r="AG64" s="31" t="s">
        <v>36</v>
      </c>
      <c r="AH64" s="31" t="s">
        <v>36</v>
      </c>
      <c r="AJ64" s="31" t="s">
        <v>36</v>
      </c>
      <c r="AK64" s="31" t="s">
        <v>36</v>
      </c>
      <c r="AL64" s="31" t="s">
        <v>36</v>
      </c>
      <c r="AM64" s="22">
        <f t="shared" si="6"/>
        <v>8</v>
      </c>
    </row>
    <row r="65" spans="1:39" x14ac:dyDescent="0.25">
      <c r="A65" s="20" t="s">
        <v>55</v>
      </c>
      <c r="B65" s="38"/>
      <c r="C65" s="20" t="s">
        <v>16</v>
      </c>
      <c r="D65" s="20" t="s">
        <v>16</v>
      </c>
      <c r="E65" s="20" t="s">
        <v>16</v>
      </c>
      <c r="F65" s="20" t="s">
        <v>1013</v>
      </c>
      <c r="G65" s="39"/>
      <c r="H65" s="40"/>
      <c r="I65" s="22"/>
      <c r="L65" s="22"/>
      <c r="M65" s="22"/>
      <c r="O65" s="22"/>
      <c r="P65" s="22"/>
      <c r="Q65" s="22"/>
      <c r="R65" s="22"/>
      <c r="S65" s="22"/>
      <c r="T65" s="22"/>
      <c r="U65" s="22"/>
      <c r="V65" s="22"/>
      <c r="W65" s="22"/>
      <c r="X65" s="22"/>
      <c r="Y65" s="22"/>
      <c r="Z65" s="22"/>
      <c r="AA65" s="22"/>
      <c r="AB65" s="22"/>
      <c r="AC65" s="22"/>
      <c r="AD65" s="31" t="s">
        <v>36</v>
      </c>
      <c r="AE65" s="31" t="s">
        <v>36</v>
      </c>
      <c r="AF65" s="31" t="s">
        <v>36</v>
      </c>
      <c r="AG65" s="31" t="s">
        <v>36</v>
      </c>
      <c r="AH65" s="31" t="s">
        <v>36</v>
      </c>
      <c r="AJ65" s="31" t="s">
        <v>36</v>
      </c>
      <c r="AK65" s="31" t="s">
        <v>36</v>
      </c>
      <c r="AL65" s="31"/>
      <c r="AM65" s="22">
        <f t="shared" si="6"/>
        <v>7</v>
      </c>
    </row>
    <row r="66" spans="1:39" x14ac:dyDescent="0.25">
      <c r="A66" s="20" t="s">
        <v>55</v>
      </c>
      <c r="B66" s="38"/>
      <c r="C66" s="20" t="s">
        <v>16</v>
      </c>
      <c r="D66" s="20" t="s">
        <v>16</v>
      </c>
      <c r="E66" s="20" t="s">
        <v>16</v>
      </c>
      <c r="F66" s="20" t="s">
        <v>1013</v>
      </c>
      <c r="G66" s="39"/>
      <c r="H66" s="40"/>
      <c r="I66" s="22"/>
      <c r="L66" s="22"/>
      <c r="M66" s="22"/>
      <c r="O66" s="22"/>
      <c r="P66" s="22"/>
      <c r="Q66" s="22"/>
      <c r="R66" s="22"/>
      <c r="S66" s="22"/>
      <c r="T66" s="22"/>
      <c r="U66" s="22"/>
      <c r="V66" s="22"/>
      <c r="W66" s="22"/>
      <c r="X66" s="22"/>
      <c r="Y66" s="22"/>
      <c r="Z66" s="22"/>
      <c r="AA66" s="22"/>
      <c r="AB66" s="22"/>
      <c r="AC66" s="22"/>
      <c r="AD66" s="31"/>
      <c r="AE66" s="31"/>
      <c r="AF66" s="31"/>
      <c r="AG66" s="31"/>
      <c r="AH66" s="31"/>
      <c r="AJ66" s="31"/>
      <c r="AM66" s="22">
        <f t="shared" si="6"/>
        <v>0</v>
      </c>
    </row>
    <row r="67" spans="1:39" x14ac:dyDescent="0.25">
      <c r="A67" s="20" t="s">
        <v>55</v>
      </c>
      <c r="B67" s="38"/>
      <c r="C67" s="20"/>
      <c r="D67" s="20"/>
      <c r="E67" s="20"/>
      <c r="F67" s="20" t="s">
        <v>1013</v>
      </c>
      <c r="G67" s="39"/>
      <c r="H67" s="40"/>
      <c r="I67" s="22"/>
      <c r="L67" s="22"/>
      <c r="M67" s="22"/>
      <c r="O67" s="22"/>
      <c r="P67" s="22"/>
      <c r="Q67" s="22"/>
      <c r="R67" s="22"/>
      <c r="S67" s="22"/>
      <c r="T67" s="22"/>
      <c r="U67" s="22"/>
      <c r="V67" s="22"/>
      <c r="W67" s="22"/>
      <c r="X67" s="22"/>
      <c r="Y67" s="22"/>
      <c r="Z67" s="22"/>
      <c r="AA67" s="22"/>
      <c r="AB67" s="22"/>
      <c r="AC67" s="22"/>
      <c r="AD67" s="22"/>
      <c r="AE67" s="22"/>
      <c r="AF67" s="22"/>
      <c r="AG67" s="22"/>
      <c r="AH67" s="22"/>
      <c r="AM67" s="22">
        <f t="shared" si="6"/>
        <v>0</v>
      </c>
    </row>
    <row r="68" spans="1:39" x14ac:dyDescent="0.25">
      <c r="A68" s="20" t="s">
        <v>55</v>
      </c>
      <c r="B68" s="38"/>
      <c r="C68" s="20" t="s">
        <v>78</v>
      </c>
      <c r="D68" s="20" t="s">
        <v>11</v>
      </c>
      <c r="E68" s="20" t="s">
        <v>11</v>
      </c>
      <c r="F68" s="20" t="s">
        <v>58</v>
      </c>
      <c r="G68" s="39"/>
      <c r="H68" s="40"/>
      <c r="I68" s="22"/>
      <c r="O68" s="22"/>
      <c r="R68" s="22"/>
      <c r="S68" s="22"/>
      <c r="T68" s="22"/>
      <c r="U68" s="22"/>
      <c r="V68" s="22"/>
      <c r="W68" s="22"/>
      <c r="X68" s="22"/>
      <c r="Y68" s="22"/>
      <c r="Z68" s="22"/>
      <c r="AA68" s="22"/>
      <c r="AB68" s="22"/>
      <c r="AC68" s="22"/>
      <c r="AD68" s="22" t="s">
        <v>42</v>
      </c>
      <c r="AE68" s="22"/>
      <c r="AF68" s="22"/>
      <c r="AG68" s="22"/>
      <c r="AH68" s="22"/>
      <c r="AM68" s="22">
        <f t="shared" si="6"/>
        <v>1</v>
      </c>
    </row>
    <row r="69" spans="1:39" x14ac:dyDescent="0.25">
      <c r="A69" s="20" t="s">
        <v>55</v>
      </c>
      <c r="B69" s="38"/>
      <c r="C69" s="20" t="s">
        <v>80</v>
      </c>
      <c r="D69" s="20" t="s">
        <v>11</v>
      </c>
      <c r="E69" s="20" t="s">
        <v>11</v>
      </c>
      <c r="F69" s="20" t="s">
        <v>58</v>
      </c>
      <c r="G69" s="39"/>
      <c r="H69" s="40"/>
      <c r="I69" s="22"/>
      <c r="L69" s="22"/>
      <c r="M69" s="22"/>
      <c r="O69" s="22"/>
      <c r="P69" s="22"/>
      <c r="Q69" s="22"/>
      <c r="R69" s="22"/>
      <c r="S69" s="22"/>
      <c r="T69" s="22"/>
      <c r="U69" s="22"/>
      <c r="V69" s="22"/>
      <c r="W69" s="22"/>
      <c r="X69" s="22"/>
      <c r="Y69" s="22"/>
      <c r="Z69" s="22"/>
      <c r="AA69" s="22"/>
      <c r="AB69" s="22"/>
      <c r="AC69" s="22"/>
      <c r="AD69" s="22" t="s">
        <v>42</v>
      </c>
      <c r="AE69" s="22"/>
      <c r="AF69" s="22"/>
      <c r="AG69" s="22"/>
      <c r="AH69" s="22"/>
      <c r="AM69" s="22">
        <f t="shared" si="6"/>
        <v>1</v>
      </c>
    </row>
    <row r="70" spans="1:39" x14ac:dyDescent="0.25">
      <c r="A70" s="20" t="s">
        <v>55</v>
      </c>
      <c r="B70" s="38"/>
      <c r="C70" s="20" t="s">
        <v>83</v>
      </c>
      <c r="D70" s="20" t="s">
        <v>22</v>
      </c>
      <c r="E70" s="20" t="s">
        <v>22</v>
      </c>
      <c r="F70" s="20" t="s">
        <v>58</v>
      </c>
      <c r="G70" s="39"/>
      <c r="H70" s="40"/>
      <c r="I70" s="31"/>
      <c r="J70" s="31"/>
      <c r="K70" s="31"/>
      <c r="L70" s="31"/>
      <c r="M70" s="31"/>
      <c r="N70" s="31"/>
      <c r="O70" s="31"/>
      <c r="P70" s="31"/>
      <c r="Q70" s="31"/>
      <c r="R70" s="31"/>
      <c r="S70" s="31"/>
      <c r="T70" s="31"/>
      <c r="U70" s="31"/>
      <c r="V70" s="31"/>
      <c r="W70" s="31"/>
      <c r="X70" s="31"/>
      <c r="Y70" s="31"/>
      <c r="Z70" s="31"/>
      <c r="AA70" s="31"/>
      <c r="AB70" s="31"/>
      <c r="AC70" s="31"/>
      <c r="AD70" s="22" t="s">
        <v>42</v>
      </c>
      <c r="AE70" s="31"/>
      <c r="AF70" s="31"/>
      <c r="AG70" s="31"/>
      <c r="AH70" s="31"/>
      <c r="AI70" s="31"/>
      <c r="AJ70" s="31"/>
      <c r="AK70" s="31"/>
      <c r="AL70" s="31"/>
      <c r="AM70" s="22">
        <f t="shared" si="6"/>
        <v>1</v>
      </c>
    </row>
    <row r="71" spans="1:39" x14ac:dyDescent="0.25">
      <c r="A71" s="20" t="s">
        <v>55</v>
      </c>
      <c r="B71" s="38"/>
      <c r="C71" s="20" t="s">
        <v>88</v>
      </c>
      <c r="D71" s="20" t="s">
        <v>21</v>
      </c>
      <c r="E71" s="20" t="s">
        <v>21</v>
      </c>
      <c r="F71" s="20" t="s">
        <v>58</v>
      </c>
      <c r="G71" s="39"/>
      <c r="H71" s="40"/>
      <c r="I71" s="22"/>
      <c r="L71" s="22"/>
      <c r="M71" s="22"/>
      <c r="O71" s="22"/>
      <c r="P71" s="22"/>
      <c r="Q71" s="22"/>
      <c r="R71" s="22"/>
      <c r="S71" s="22"/>
      <c r="T71" s="22"/>
      <c r="U71" s="22"/>
      <c r="V71" s="22"/>
      <c r="W71" s="22"/>
      <c r="X71" s="22"/>
      <c r="Y71" s="22"/>
      <c r="Z71" s="22"/>
      <c r="AA71" s="22"/>
      <c r="AB71" s="22"/>
      <c r="AC71" s="22"/>
      <c r="AD71" s="22" t="s">
        <v>42</v>
      </c>
      <c r="AE71" s="22"/>
      <c r="AF71" s="22"/>
      <c r="AG71" s="22"/>
      <c r="AH71" s="22"/>
      <c r="AM71" s="22">
        <f t="shared" si="6"/>
        <v>1</v>
      </c>
    </row>
    <row r="72" spans="1:39" x14ac:dyDescent="0.25">
      <c r="A72" s="20" t="s">
        <v>55</v>
      </c>
      <c r="B72" s="38"/>
      <c r="C72" s="20" t="s">
        <v>151</v>
      </c>
      <c r="D72" s="20" t="s">
        <v>23</v>
      </c>
      <c r="E72" s="20" t="s">
        <v>23</v>
      </c>
      <c r="F72" s="20" t="s">
        <v>58</v>
      </c>
      <c r="G72" s="39"/>
      <c r="H72" s="40"/>
      <c r="I72" s="22"/>
      <c r="L72" s="22"/>
      <c r="M72" s="22"/>
      <c r="O72" s="22"/>
      <c r="Q72" s="22"/>
      <c r="R72" s="22"/>
      <c r="S72" s="22"/>
      <c r="T72" s="22"/>
      <c r="U72" s="22"/>
      <c r="V72" s="22"/>
      <c r="W72" s="22"/>
      <c r="X72" s="22"/>
      <c r="Y72" s="22"/>
      <c r="Z72" s="22"/>
      <c r="AA72" s="22"/>
      <c r="AB72" s="22"/>
      <c r="AC72" s="22"/>
      <c r="AD72" s="22" t="s">
        <v>42</v>
      </c>
      <c r="AE72" s="22"/>
      <c r="AF72" s="22"/>
      <c r="AG72" s="22"/>
      <c r="AH72" s="22"/>
      <c r="AM72" s="22">
        <f t="shared" si="6"/>
        <v>1</v>
      </c>
    </row>
    <row r="73" spans="1:39" x14ac:dyDescent="0.25">
      <c r="A73" s="20" t="s">
        <v>55</v>
      </c>
      <c r="B73" s="38"/>
      <c r="C73" s="20" t="s">
        <v>194</v>
      </c>
      <c r="D73" s="20" t="s">
        <v>14</v>
      </c>
      <c r="E73" s="20" t="s">
        <v>14</v>
      </c>
      <c r="F73" s="20" t="s">
        <v>58</v>
      </c>
      <c r="G73" s="39"/>
      <c r="H73" s="40"/>
      <c r="I73" s="22"/>
      <c r="L73" s="22"/>
      <c r="M73" s="22"/>
      <c r="O73" s="22"/>
      <c r="P73" s="22"/>
      <c r="Q73" s="22"/>
      <c r="R73" s="22"/>
      <c r="S73" s="22"/>
      <c r="T73" s="22"/>
      <c r="U73" s="22"/>
      <c r="V73" s="22"/>
      <c r="W73" s="22"/>
      <c r="X73" s="22"/>
      <c r="Y73" s="22"/>
      <c r="Z73" s="22"/>
      <c r="AA73" s="22"/>
      <c r="AB73" s="22"/>
      <c r="AC73" s="22"/>
      <c r="AD73" s="22" t="s">
        <v>42</v>
      </c>
      <c r="AE73" s="22"/>
      <c r="AF73" s="22"/>
      <c r="AG73" s="22"/>
      <c r="AH73" s="22"/>
      <c r="AM73" s="22">
        <f t="shared" si="6"/>
        <v>1</v>
      </c>
    </row>
    <row r="74" spans="1:39" x14ac:dyDescent="0.25">
      <c r="A74" s="20" t="s">
        <v>55</v>
      </c>
      <c r="B74" s="38"/>
      <c r="C74" s="20" t="s">
        <v>210</v>
      </c>
      <c r="D74" s="20" t="s">
        <v>23</v>
      </c>
      <c r="E74" s="20" t="s">
        <v>23</v>
      </c>
      <c r="F74" s="20" t="s">
        <v>58</v>
      </c>
      <c r="G74" s="39"/>
      <c r="H74" s="40"/>
      <c r="I74" s="22"/>
      <c r="L74" s="22"/>
      <c r="M74" s="22"/>
      <c r="O74" s="22"/>
      <c r="P74" s="22"/>
      <c r="Q74" s="22"/>
      <c r="R74" s="22"/>
      <c r="S74" s="22"/>
      <c r="T74" s="22"/>
      <c r="U74" s="22"/>
      <c r="V74" s="22"/>
      <c r="W74" s="22"/>
      <c r="X74" s="22"/>
      <c r="Y74" s="22"/>
      <c r="Z74" s="22"/>
      <c r="AA74" s="22"/>
      <c r="AB74" s="22"/>
      <c r="AC74" s="22"/>
      <c r="AD74" s="22" t="s">
        <v>42</v>
      </c>
      <c r="AE74" s="22"/>
      <c r="AF74" s="22"/>
      <c r="AG74" s="22"/>
      <c r="AH74" s="22"/>
      <c r="AM74" s="22">
        <f t="shared" si="6"/>
        <v>1</v>
      </c>
    </row>
    <row r="75" spans="1:39" x14ac:dyDescent="0.25">
      <c r="A75" s="20" t="s">
        <v>55</v>
      </c>
      <c r="B75" s="38"/>
      <c r="C75" s="20" t="s">
        <v>229</v>
      </c>
      <c r="D75" s="20" t="s">
        <v>8</v>
      </c>
      <c r="E75" s="20" t="s">
        <v>8</v>
      </c>
      <c r="F75" s="20" t="s">
        <v>58</v>
      </c>
      <c r="G75" s="39"/>
      <c r="H75" s="40"/>
      <c r="I75" s="22"/>
      <c r="L75" s="22"/>
      <c r="M75" s="22"/>
      <c r="O75" s="22"/>
      <c r="P75" s="22"/>
      <c r="Q75" s="22"/>
      <c r="R75" s="22"/>
      <c r="S75" s="22"/>
      <c r="T75" s="22"/>
      <c r="U75" s="22"/>
      <c r="V75" s="22"/>
      <c r="W75" s="22"/>
      <c r="X75" s="22"/>
      <c r="Y75" s="22"/>
      <c r="Z75" s="22"/>
      <c r="AA75" s="22"/>
      <c r="AB75" s="22"/>
      <c r="AC75" s="22"/>
      <c r="AD75" s="22" t="s">
        <v>42</v>
      </c>
      <c r="AE75" s="22"/>
      <c r="AF75" s="22"/>
      <c r="AG75" s="22"/>
      <c r="AH75" s="22"/>
      <c r="AM75" s="22">
        <f t="shared" si="6"/>
        <v>1</v>
      </c>
    </row>
    <row r="76" spans="1:39" x14ac:dyDescent="0.25">
      <c r="A76" s="20" t="s">
        <v>55</v>
      </c>
      <c r="B76" s="38"/>
      <c r="C76" s="20" t="s">
        <v>263</v>
      </c>
      <c r="D76" s="20" t="s">
        <v>23</v>
      </c>
      <c r="E76" s="20" t="s">
        <v>23</v>
      </c>
      <c r="F76" s="20" t="s">
        <v>58</v>
      </c>
      <c r="G76" s="39"/>
      <c r="H76" s="40"/>
      <c r="I76" s="22"/>
      <c r="J76" s="33"/>
      <c r="L76" s="22"/>
      <c r="M76" s="22"/>
      <c r="O76" s="22"/>
      <c r="S76" s="22"/>
      <c r="T76" s="22"/>
      <c r="U76" s="22"/>
      <c r="V76" s="22"/>
      <c r="W76" s="22"/>
      <c r="X76" s="22"/>
      <c r="Y76" s="22"/>
      <c r="Z76" s="22"/>
      <c r="AA76" s="22"/>
      <c r="AB76" s="22"/>
      <c r="AC76" s="22"/>
      <c r="AD76" s="22" t="s">
        <v>42</v>
      </c>
      <c r="AE76" s="22"/>
      <c r="AF76" s="22"/>
      <c r="AG76" s="22"/>
      <c r="AH76" s="22"/>
      <c r="AM76" s="22">
        <f t="shared" si="6"/>
        <v>1</v>
      </c>
    </row>
    <row r="77" spans="1:39" x14ac:dyDescent="0.25">
      <c r="A77" s="20" t="s">
        <v>55</v>
      </c>
      <c r="B77" s="38"/>
      <c r="C77" s="20" t="s">
        <v>313</v>
      </c>
      <c r="D77" s="20" t="s">
        <v>14</v>
      </c>
      <c r="E77" s="20" t="s">
        <v>14</v>
      </c>
      <c r="F77" s="20" t="s">
        <v>58</v>
      </c>
      <c r="G77" s="39"/>
      <c r="H77" s="40"/>
      <c r="I77" s="31"/>
      <c r="J77" s="31"/>
      <c r="K77" s="31"/>
      <c r="L77" s="31"/>
      <c r="M77" s="31"/>
      <c r="O77" s="31"/>
      <c r="P77" s="31"/>
      <c r="Q77" s="31"/>
      <c r="R77" s="31"/>
      <c r="S77" s="31"/>
      <c r="T77" s="31"/>
      <c r="U77" s="22"/>
      <c r="V77" s="31"/>
      <c r="W77" s="31"/>
      <c r="X77" s="31"/>
      <c r="Y77" s="31"/>
      <c r="Z77" s="31"/>
      <c r="AA77" s="31"/>
      <c r="AB77" s="31"/>
      <c r="AC77" s="31"/>
      <c r="AD77" s="22" t="s">
        <v>42</v>
      </c>
      <c r="AE77" s="31"/>
      <c r="AF77" s="31"/>
      <c r="AG77" s="31"/>
      <c r="AH77" s="31"/>
      <c r="AI77" s="31"/>
      <c r="AJ77" s="31"/>
      <c r="AK77" s="31"/>
      <c r="AL77" s="31"/>
      <c r="AM77" s="22">
        <f t="shared" si="6"/>
        <v>1</v>
      </c>
    </row>
    <row r="78" spans="1:39" x14ac:dyDescent="0.25">
      <c r="A78" s="20" t="s">
        <v>55</v>
      </c>
      <c r="B78" s="38"/>
      <c r="C78" s="20" t="s">
        <v>343</v>
      </c>
      <c r="D78" s="20" t="s">
        <v>14</v>
      </c>
      <c r="E78" s="20" t="s">
        <v>14</v>
      </c>
      <c r="F78" s="20" t="s">
        <v>58</v>
      </c>
      <c r="G78" s="39"/>
      <c r="H78" s="40"/>
      <c r="I78" s="22"/>
      <c r="L78" s="22"/>
      <c r="M78" s="22"/>
      <c r="O78" s="22"/>
      <c r="Q78" s="22"/>
      <c r="R78" s="22"/>
      <c r="S78" s="22"/>
      <c r="T78" s="22"/>
      <c r="U78" s="22"/>
      <c r="V78" s="22"/>
      <c r="W78" s="22"/>
      <c r="X78" s="22"/>
      <c r="Y78" s="22"/>
      <c r="Z78" s="22"/>
      <c r="AA78" s="22"/>
      <c r="AB78" s="22"/>
      <c r="AC78" s="22"/>
      <c r="AD78" s="22" t="s">
        <v>42</v>
      </c>
      <c r="AE78" s="22"/>
      <c r="AF78" s="22"/>
      <c r="AG78" s="22"/>
      <c r="AH78" s="22"/>
      <c r="AM78" s="22">
        <f t="shared" ref="AM78:AM141" si="7">COUNTA(I78:AL78)-COUNTIF(I78:AL78,"CT")</f>
        <v>1</v>
      </c>
    </row>
    <row r="79" spans="1:39" x14ac:dyDescent="0.25">
      <c r="A79" s="20" t="s">
        <v>55</v>
      </c>
      <c r="B79" s="38"/>
      <c r="C79" s="20" t="s">
        <v>345</v>
      </c>
      <c r="D79" s="20" t="s">
        <v>14</v>
      </c>
      <c r="E79" s="20" t="s">
        <v>14</v>
      </c>
      <c r="F79" s="20" t="s">
        <v>58</v>
      </c>
      <c r="G79" s="39"/>
      <c r="H79" s="40"/>
      <c r="I79" s="22"/>
      <c r="L79" s="22"/>
      <c r="M79" s="22"/>
      <c r="O79" s="22"/>
      <c r="P79" s="22"/>
      <c r="Q79" s="22"/>
      <c r="R79" s="22"/>
      <c r="S79" s="22"/>
      <c r="T79" s="22"/>
      <c r="U79" s="22"/>
      <c r="V79" s="22"/>
      <c r="W79" s="22"/>
      <c r="X79" s="22"/>
      <c r="Y79" s="22"/>
      <c r="Z79" s="22"/>
      <c r="AA79" s="22"/>
      <c r="AB79" s="22"/>
      <c r="AC79" s="22"/>
      <c r="AD79" s="22" t="s">
        <v>42</v>
      </c>
      <c r="AE79" s="22"/>
      <c r="AF79" s="22"/>
      <c r="AG79" s="22"/>
      <c r="AH79" s="22"/>
      <c r="AM79" s="22">
        <f t="shared" si="7"/>
        <v>1</v>
      </c>
    </row>
    <row r="80" spans="1:39" x14ac:dyDescent="0.25">
      <c r="A80" s="20" t="s">
        <v>55</v>
      </c>
      <c r="B80" s="38"/>
      <c r="C80" s="20" t="s">
        <v>353</v>
      </c>
      <c r="D80" s="20" t="s">
        <v>14</v>
      </c>
      <c r="E80" s="20" t="s">
        <v>14</v>
      </c>
      <c r="F80" s="20" t="s">
        <v>58</v>
      </c>
      <c r="G80" s="39"/>
      <c r="H80" s="40"/>
      <c r="I80" s="22"/>
      <c r="L80" s="22"/>
      <c r="M80" s="22"/>
      <c r="O80" s="22"/>
      <c r="P80" s="22"/>
      <c r="Q80" s="22"/>
      <c r="R80" s="22"/>
      <c r="S80" s="22"/>
      <c r="T80" s="22"/>
      <c r="U80" s="22"/>
      <c r="V80" s="22"/>
      <c r="W80" s="22"/>
      <c r="X80" s="22"/>
      <c r="Y80" s="22"/>
      <c r="Z80" s="22"/>
      <c r="AA80" s="22"/>
      <c r="AB80" s="22"/>
      <c r="AC80" s="22"/>
      <c r="AD80" s="22" t="s">
        <v>42</v>
      </c>
      <c r="AE80" s="22"/>
      <c r="AF80" s="22"/>
      <c r="AG80" s="22"/>
      <c r="AH80" s="22"/>
      <c r="AI80" s="22" t="s">
        <v>42</v>
      </c>
      <c r="AM80" s="22">
        <f t="shared" si="7"/>
        <v>2</v>
      </c>
    </row>
    <row r="81" spans="1:39" x14ac:dyDescent="0.25">
      <c r="A81" s="20" t="s">
        <v>55</v>
      </c>
      <c r="B81" s="38"/>
      <c r="C81" s="20" t="s">
        <v>355</v>
      </c>
      <c r="D81" s="20" t="s">
        <v>23</v>
      </c>
      <c r="E81" s="20" t="s">
        <v>23</v>
      </c>
      <c r="F81" s="20" t="s">
        <v>58</v>
      </c>
      <c r="G81" s="39"/>
      <c r="H81" s="40"/>
      <c r="I81" s="22"/>
      <c r="J81" s="33"/>
      <c r="L81" s="22"/>
      <c r="M81" s="22"/>
      <c r="O81" s="22"/>
      <c r="P81" s="22"/>
      <c r="Q81" s="22"/>
      <c r="R81" s="22"/>
      <c r="S81" s="22"/>
      <c r="T81" s="22"/>
      <c r="U81" s="22"/>
      <c r="V81" s="22"/>
      <c r="W81" s="22"/>
      <c r="X81" s="22"/>
      <c r="Y81" s="22"/>
      <c r="Z81" s="22"/>
      <c r="AA81" s="22"/>
      <c r="AB81" s="22"/>
      <c r="AC81" s="22"/>
      <c r="AD81" s="22" t="s">
        <v>42</v>
      </c>
      <c r="AE81" s="22"/>
      <c r="AF81" s="22"/>
      <c r="AG81" s="22"/>
      <c r="AH81" s="22"/>
      <c r="AI81" s="22" t="s">
        <v>42</v>
      </c>
      <c r="AM81" s="22">
        <f t="shared" si="7"/>
        <v>2</v>
      </c>
    </row>
    <row r="82" spans="1:39" x14ac:dyDescent="0.25">
      <c r="A82" s="20" t="s">
        <v>55</v>
      </c>
      <c r="B82" s="38"/>
      <c r="C82" s="20" t="s">
        <v>367</v>
      </c>
      <c r="D82" s="20" t="s">
        <v>8</v>
      </c>
      <c r="E82" s="20" t="s">
        <v>8</v>
      </c>
      <c r="F82" s="20" t="s">
        <v>58</v>
      </c>
      <c r="G82" s="39"/>
      <c r="H82" s="40"/>
      <c r="I82" s="22"/>
      <c r="L82" s="22"/>
      <c r="M82" s="22"/>
      <c r="O82" s="22"/>
      <c r="R82" s="22"/>
      <c r="S82" s="22"/>
      <c r="T82" s="22"/>
      <c r="U82" s="22"/>
      <c r="V82" s="22"/>
      <c r="W82" s="22"/>
      <c r="X82" s="22"/>
      <c r="Y82" s="22"/>
      <c r="Z82" s="22"/>
      <c r="AA82" s="22"/>
      <c r="AB82" s="22"/>
      <c r="AC82" s="22"/>
      <c r="AD82" s="22" t="s">
        <v>42</v>
      </c>
      <c r="AE82" s="22"/>
      <c r="AF82" s="22"/>
      <c r="AG82" s="22"/>
      <c r="AH82" s="22"/>
      <c r="AI82" s="22" t="s">
        <v>42</v>
      </c>
      <c r="AM82" s="22">
        <f t="shared" si="7"/>
        <v>2</v>
      </c>
    </row>
    <row r="83" spans="1:39" x14ac:dyDescent="0.25">
      <c r="A83" s="20" t="s">
        <v>55</v>
      </c>
      <c r="B83" s="38"/>
      <c r="C83" s="20" t="s">
        <v>373</v>
      </c>
      <c r="D83" s="20" t="s">
        <v>23</v>
      </c>
      <c r="E83" s="20" t="s">
        <v>23</v>
      </c>
      <c r="F83" s="20" t="s">
        <v>58</v>
      </c>
      <c r="G83" s="39"/>
      <c r="H83" s="40"/>
      <c r="I83" s="22"/>
      <c r="L83" s="22"/>
      <c r="M83" s="22"/>
      <c r="O83" s="22"/>
      <c r="R83" s="22"/>
      <c r="S83" s="22"/>
      <c r="T83" s="22"/>
      <c r="U83" s="22"/>
      <c r="V83" s="22"/>
      <c r="W83" s="22"/>
      <c r="X83" s="22"/>
      <c r="Y83" s="22"/>
      <c r="Z83" s="22"/>
      <c r="AA83" s="22"/>
      <c r="AB83" s="22"/>
      <c r="AC83" s="22"/>
      <c r="AD83" s="22" t="s">
        <v>42</v>
      </c>
      <c r="AE83" s="22"/>
      <c r="AF83" s="22"/>
      <c r="AG83" s="22"/>
      <c r="AH83" s="22"/>
      <c r="AM83" s="22">
        <f t="shared" si="7"/>
        <v>1</v>
      </c>
    </row>
    <row r="84" spans="1:39" x14ac:dyDescent="0.25">
      <c r="A84" s="20" t="s">
        <v>55</v>
      </c>
      <c r="B84" s="38"/>
      <c r="C84" s="20" t="s">
        <v>456</v>
      </c>
      <c r="D84" s="20" t="s">
        <v>23</v>
      </c>
      <c r="E84" s="20" t="s">
        <v>23</v>
      </c>
      <c r="F84" s="20" t="s">
        <v>58</v>
      </c>
      <c r="G84" s="39"/>
      <c r="H84" s="40"/>
      <c r="I84" s="22"/>
      <c r="L84" s="22"/>
      <c r="M84" s="22"/>
      <c r="O84" s="22"/>
      <c r="R84" s="22"/>
      <c r="S84" s="22"/>
      <c r="T84" s="22"/>
      <c r="U84" s="22"/>
      <c r="V84" s="22"/>
      <c r="W84" s="22"/>
      <c r="X84" s="22"/>
      <c r="Y84" s="22"/>
      <c r="Z84" s="22"/>
      <c r="AA84" s="22"/>
      <c r="AB84" s="22"/>
      <c r="AC84" s="22"/>
      <c r="AD84" s="22" t="s">
        <v>42</v>
      </c>
      <c r="AE84" s="22"/>
      <c r="AF84" s="22"/>
      <c r="AG84" s="22"/>
      <c r="AH84" s="22"/>
      <c r="AM84" s="22">
        <f t="shared" si="7"/>
        <v>1</v>
      </c>
    </row>
    <row r="85" spans="1:39" x14ac:dyDescent="0.25">
      <c r="A85" s="20" t="s">
        <v>55</v>
      </c>
      <c r="B85" s="38"/>
      <c r="C85" s="20" t="s">
        <v>374</v>
      </c>
      <c r="D85" s="20" t="s">
        <v>23</v>
      </c>
      <c r="E85" s="20" t="s">
        <v>23</v>
      </c>
      <c r="F85" s="20" t="s">
        <v>58</v>
      </c>
      <c r="G85" s="39"/>
      <c r="H85" s="40"/>
      <c r="I85" s="22"/>
      <c r="L85" s="22"/>
      <c r="M85" s="22"/>
      <c r="O85" s="22"/>
      <c r="P85" s="22"/>
      <c r="Q85" s="22"/>
      <c r="R85" s="22"/>
      <c r="S85" s="22"/>
      <c r="T85" s="22"/>
      <c r="U85" s="22"/>
      <c r="V85" s="22"/>
      <c r="W85" s="22"/>
      <c r="X85" s="22"/>
      <c r="Y85" s="22"/>
      <c r="Z85" s="22"/>
      <c r="AA85" s="22"/>
      <c r="AB85" s="22"/>
      <c r="AC85" s="22"/>
      <c r="AD85" s="22" t="s">
        <v>42</v>
      </c>
      <c r="AE85" s="22"/>
      <c r="AF85" s="22"/>
      <c r="AG85" s="22"/>
      <c r="AH85" s="22"/>
      <c r="AM85" s="22">
        <f t="shared" si="7"/>
        <v>1</v>
      </c>
    </row>
    <row r="86" spans="1:39" x14ac:dyDescent="0.25">
      <c r="A86" s="20" t="s">
        <v>55</v>
      </c>
      <c r="B86" s="38"/>
      <c r="C86" s="20" t="s">
        <v>501</v>
      </c>
      <c r="D86" s="20" t="s">
        <v>8</v>
      </c>
      <c r="E86" s="20" t="s">
        <v>8</v>
      </c>
      <c r="F86" s="20" t="s">
        <v>58</v>
      </c>
      <c r="G86" s="39"/>
      <c r="H86" s="40"/>
      <c r="I86" s="22"/>
      <c r="L86" s="22"/>
      <c r="M86" s="22"/>
      <c r="O86" s="22"/>
      <c r="R86" s="22"/>
      <c r="S86" s="22"/>
      <c r="T86" s="22"/>
      <c r="U86" s="22"/>
      <c r="V86" s="22"/>
      <c r="W86" s="22"/>
      <c r="X86" s="22"/>
      <c r="Y86" s="22"/>
      <c r="Z86" s="22"/>
      <c r="AA86" s="22"/>
      <c r="AB86" s="22"/>
      <c r="AC86" s="22"/>
      <c r="AD86" s="22" t="s">
        <v>42</v>
      </c>
      <c r="AE86" s="22"/>
      <c r="AF86" s="22"/>
      <c r="AG86" s="22"/>
      <c r="AH86" s="22"/>
      <c r="AM86" s="22">
        <f t="shared" si="7"/>
        <v>1</v>
      </c>
    </row>
    <row r="87" spans="1:39" x14ac:dyDescent="0.25">
      <c r="A87" s="20" t="s">
        <v>55</v>
      </c>
      <c r="B87" s="38"/>
      <c r="C87" s="20" t="s">
        <v>503</v>
      </c>
      <c r="D87" s="20" t="s">
        <v>14</v>
      </c>
      <c r="E87" s="20" t="s">
        <v>14</v>
      </c>
      <c r="F87" s="20" t="s">
        <v>58</v>
      </c>
      <c r="G87" s="39"/>
      <c r="H87" s="40"/>
      <c r="I87" s="22"/>
      <c r="L87" s="22"/>
      <c r="M87" s="22"/>
      <c r="O87" s="22"/>
      <c r="S87" s="22"/>
      <c r="T87" s="22"/>
      <c r="U87" s="22"/>
      <c r="V87" s="22"/>
      <c r="W87" s="22"/>
      <c r="X87" s="22"/>
      <c r="Y87" s="22"/>
      <c r="Z87" s="22"/>
      <c r="AA87" s="22"/>
      <c r="AB87" s="22"/>
      <c r="AC87" s="22"/>
      <c r="AD87" s="22" t="s">
        <v>42</v>
      </c>
      <c r="AE87" s="22"/>
      <c r="AF87" s="22"/>
      <c r="AG87" s="22"/>
      <c r="AH87" s="22"/>
      <c r="AM87" s="22">
        <f t="shared" si="7"/>
        <v>1</v>
      </c>
    </row>
    <row r="88" spans="1:39" x14ac:dyDescent="0.25">
      <c r="A88" s="20" t="s">
        <v>55</v>
      </c>
      <c r="B88" s="38"/>
      <c r="C88" s="20" t="s">
        <v>520</v>
      </c>
      <c r="D88" s="20" t="s">
        <v>14</v>
      </c>
      <c r="E88" s="20" t="s">
        <v>14</v>
      </c>
      <c r="F88" s="20" t="s">
        <v>58</v>
      </c>
      <c r="G88" s="39"/>
      <c r="H88" s="40"/>
      <c r="I88" s="22"/>
      <c r="L88" s="22"/>
      <c r="M88" s="22"/>
      <c r="O88" s="22"/>
      <c r="Q88" s="22"/>
      <c r="R88" s="22"/>
      <c r="S88" s="22"/>
      <c r="T88" s="22"/>
      <c r="U88" s="22"/>
      <c r="V88" s="22"/>
      <c r="W88" s="22"/>
      <c r="X88" s="22"/>
      <c r="Y88" s="22"/>
      <c r="Z88" s="22"/>
      <c r="AA88" s="22"/>
      <c r="AB88" s="22"/>
      <c r="AC88" s="22"/>
      <c r="AD88" s="22" t="s">
        <v>42</v>
      </c>
      <c r="AE88" s="22"/>
      <c r="AF88" s="22"/>
      <c r="AG88" s="22"/>
      <c r="AH88" s="22"/>
      <c r="AM88" s="22">
        <f t="shared" si="7"/>
        <v>1</v>
      </c>
    </row>
    <row r="89" spans="1:39" x14ac:dyDescent="0.25">
      <c r="A89" s="20" t="s">
        <v>55</v>
      </c>
      <c r="B89" s="38"/>
      <c r="C89" s="20" t="s">
        <v>613</v>
      </c>
      <c r="D89" s="20" t="s">
        <v>14</v>
      </c>
      <c r="E89" s="20" t="s">
        <v>14</v>
      </c>
      <c r="F89" s="20" t="s">
        <v>58</v>
      </c>
      <c r="G89" s="39"/>
      <c r="H89" s="40"/>
      <c r="I89" s="22"/>
      <c r="L89" s="22"/>
      <c r="M89" s="22"/>
      <c r="O89" s="22"/>
      <c r="P89" s="22"/>
      <c r="Q89" s="22"/>
      <c r="R89" s="22"/>
      <c r="S89" s="22"/>
      <c r="T89" s="22"/>
      <c r="U89" s="22"/>
      <c r="V89" s="22"/>
      <c r="W89" s="22"/>
      <c r="X89" s="22"/>
      <c r="Y89" s="22"/>
      <c r="Z89" s="22"/>
      <c r="AA89" s="22"/>
      <c r="AB89" s="22"/>
      <c r="AC89" s="22"/>
      <c r="AD89" s="22" t="s">
        <v>42</v>
      </c>
      <c r="AE89" s="22"/>
      <c r="AF89" s="22"/>
      <c r="AG89" s="22"/>
      <c r="AH89" s="22"/>
      <c r="AM89" s="22">
        <f t="shared" si="7"/>
        <v>1</v>
      </c>
    </row>
    <row r="90" spans="1:39" x14ac:dyDescent="0.25">
      <c r="A90" s="20" t="s">
        <v>55</v>
      </c>
      <c r="B90" s="38"/>
      <c r="C90" s="20" t="s">
        <v>703</v>
      </c>
      <c r="D90" s="20" t="s">
        <v>14</v>
      </c>
      <c r="E90" s="20" t="s">
        <v>14</v>
      </c>
      <c r="F90" s="20" t="s">
        <v>58</v>
      </c>
      <c r="G90" s="39"/>
      <c r="H90" s="40"/>
      <c r="I90" s="33"/>
      <c r="J90" s="33"/>
      <c r="K90" s="33"/>
      <c r="L90" s="33"/>
      <c r="M90" s="33"/>
      <c r="N90" s="33"/>
      <c r="O90" s="33"/>
      <c r="P90" s="33"/>
      <c r="Q90" s="33"/>
      <c r="R90" s="33"/>
      <c r="S90" s="33"/>
      <c r="T90" s="33"/>
      <c r="U90" s="33"/>
      <c r="V90" s="33"/>
      <c r="W90" s="33"/>
      <c r="X90" s="33"/>
      <c r="Y90" s="33"/>
      <c r="Z90" s="33"/>
      <c r="AA90" s="33"/>
      <c r="AB90" s="33"/>
      <c r="AC90" s="33"/>
      <c r="AD90" s="22" t="s">
        <v>42</v>
      </c>
      <c r="AE90" s="33"/>
      <c r="AF90" s="33"/>
      <c r="AG90" s="33"/>
      <c r="AH90" s="33"/>
      <c r="AI90" s="33"/>
      <c r="AJ90" s="33"/>
      <c r="AK90" s="33"/>
      <c r="AL90" s="33"/>
      <c r="AM90" s="22">
        <f t="shared" si="7"/>
        <v>1</v>
      </c>
    </row>
    <row r="91" spans="1:39" x14ac:dyDescent="0.25">
      <c r="A91" s="20" t="s">
        <v>55</v>
      </c>
      <c r="B91" s="38"/>
      <c r="C91" s="20" t="s">
        <v>884</v>
      </c>
      <c r="D91" s="20" t="s">
        <v>27</v>
      </c>
      <c r="E91" s="20" t="s">
        <v>27</v>
      </c>
      <c r="F91" s="20" t="s">
        <v>58</v>
      </c>
      <c r="G91" s="39"/>
      <c r="H91" s="40"/>
      <c r="I91" s="22"/>
      <c r="J91" s="33"/>
      <c r="L91" s="22"/>
      <c r="M91" s="22"/>
      <c r="O91" s="22"/>
      <c r="P91" s="22"/>
      <c r="Q91" s="22"/>
      <c r="R91" s="22"/>
      <c r="S91" s="22"/>
      <c r="T91" s="22"/>
      <c r="U91" s="22"/>
      <c r="V91" s="22"/>
      <c r="W91" s="22"/>
      <c r="X91" s="22"/>
      <c r="Y91" s="22"/>
      <c r="Z91" s="22"/>
      <c r="AA91" s="22"/>
      <c r="AB91" s="22"/>
      <c r="AC91" s="22"/>
      <c r="AD91" s="22" t="s">
        <v>42</v>
      </c>
      <c r="AE91" s="22"/>
      <c r="AF91" s="22"/>
      <c r="AG91" s="22"/>
      <c r="AH91" s="22"/>
      <c r="AM91" s="22">
        <f t="shared" si="7"/>
        <v>1</v>
      </c>
    </row>
    <row r="92" spans="1:39" x14ac:dyDescent="0.25">
      <c r="A92" s="20" t="s">
        <v>55</v>
      </c>
      <c r="B92" s="38"/>
      <c r="C92" s="20" t="s">
        <v>884</v>
      </c>
      <c r="D92" s="20" t="s">
        <v>27</v>
      </c>
      <c r="E92" s="20" t="s">
        <v>27</v>
      </c>
      <c r="F92" s="20" t="s">
        <v>58</v>
      </c>
      <c r="G92" s="39"/>
      <c r="H92" s="40"/>
      <c r="I92" s="22"/>
      <c r="L92" s="22"/>
      <c r="M92" s="22"/>
      <c r="O92" s="22"/>
      <c r="P92" s="22"/>
      <c r="Q92" s="22"/>
      <c r="R92" s="22"/>
      <c r="S92" s="22"/>
      <c r="T92" s="22"/>
      <c r="U92" s="22"/>
      <c r="V92" s="22"/>
      <c r="W92" s="22"/>
      <c r="X92" s="22"/>
      <c r="Y92" s="22"/>
      <c r="Z92" s="22"/>
      <c r="AA92" s="22"/>
      <c r="AB92" s="22"/>
      <c r="AC92" s="22"/>
      <c r="AD92" s="22" t="s">
        <v>42</v>
      </c>
      <c r="AE92" s="22"/>
      <c r="AF92" s="22"/>
      <c r="AG92" s="22"/>
      <c r="AH92" s="22"/>
      <c r="AM92" s="22">
        <f t="shared" si="7"/>
        <v>1</v>
      </c>
    </row>
    <row r="93" spans="1:39" x14ac:dyDescent="0.25">
      <c r="A93" s="20" t="s">
        <v>55</v>
      </c>
      <c r="B93" s="38"/>
      <c r="C93" s="20" t="s">
        <v>621</v>
      </c>
      <c r="D93" s="20" t="s">
        <v>28</v>
      </c>
      <c r="E93" s="20" t="s">
        <v>28</v>
      </c>
      <c r="F93" s="20" t="s">
        <v>58</v>
      </c>
      <c r="G93" s="39"/>
      <c r="H93" s="40"/>
      <c r="I93" s="33"/>
      <c r="J93" s="33"/>
      <c r="K93" s="33"/>
      <c r="L93" s="33"/>
      <c r="M93" s="33"/>
      <c r="N93" s="33"/>
      <c r="O93" s="33"/>
      <c r="P93" s="33"/>
      <c r="Q93" s="33"/>
      <c r="R93" s="33"/>
      <c r="S93" s="33"/>
      <c r="T93" s="33"/>
      <c r="U93" s="33"/>
      <c r="V93" s="33"/>
      <c r="W93" s="33"/>
      <c r="X93" s="33"/>
      <c r="Y93" s="33"/>
      <c r="Z93" s="33"/>
      <c r="AA93" s="33"/>
      <c r="AB93" s="33"/>
      <c r="AC93" s="33"/>
      <c r="AD93" s="22" t="s">
        <v>42</v>
      </c>
      <c r="AE93" s="33"/>
      <c r="AF93" s="33"/>
      <c r="AG93" s="33"/>
      <c r="AH93" s="33"/>
      <c r="AI93" s="33"/>
      <c r="AK93" s="33"/>
      <c r="AL93" s="33"/>
      <c r="AM93" s="22">
        <f t="shared" si="7"/>
        <v>1</v>
      </c>
    </row>
    <row r="94" spans="1:39" x14ac:dyDescent="0.25">
      <c r="A94" s="20" t="s">
        <v>55</v>
      </c>
      <c r="B94" s="38"/>
      <c r="C94" s="20" t="s">
        <v>815</v>
      </c>
      <c r="D94" s="20" t="s">
        <v>14</v>
      </c>
      <c r="E94" s="20" t="s">
        <v>14</v>
      </c>
      <c r="F94" s="20" t="s">
        <v>58</v>
      </c>
      <c r="G94" s="39"/>
      <c r="H94" s="40"/>
      <c r="I94" s="22"/>
      <c r="L94" s="22"/>
      <c r="M94" s="22"/>
      <c r="O94" s="22"/>
      <c r="R94" s="22"/>
      <c r="S94" s="22"/>
      <c r="T94" s="22"/>
      <c r="U94" s="22"/>
      <c r="V94" s="22"/>
      <c r="W94" s="22"/>
      <c r="X94" s="22"/>
      <c r="Y94" s="22"/>
      <c r="Z94" s="22"/>
      <c r="AA94" s="22"/>
      <c r="AB94" s="22"/>
      <c r="AC94" s="22"/>
      <c r="AD94" s="22" t="s">
        <v>42</v>
      </c>
      <c r="AE94" s="22"/>
      <c r="AF94" s="22"/>
      <c r="AG94" s="22"/>
      <c r="AH94" s="22"/>
      <c r="AM94" s="22">
        <f t="shared" si="7"/>
        <v>1</v>
      </c>
    </row>
    <row r="95" spans="1:39" x14ac:dyDescent="0.25">
      <c r="A95" s="20" t="s">
        <v>55</v>
      </c>
      <c r="B95" s="38"/>
      <c r="C95" s="20"/>
      <c r="D95" s="20"/>
      <c r="E95" s="20"/>
      <c r="F95" s="20" t="s">
        <v>1013</v>
      </c>
      <c r="G95" s="39"/>
      <c r="H95" s="40"/>
      <c r="I95" s="22"/>
      <c r="L95" s="22"/>
      <c r="M95" s="22"/>
      <c r="O95" s="22"/>
      <c r="P95" s="22"/>
      <c r="Q95" s="22"/>
      <c r="R95" s="22"/>
      <c r="S95" s="22"/>
      <c r="T95" s="22"/>
      <c r="U95" s="22"/>
      <c r="V95" s="22"/>
      <c r="W95" s="22"/>
      <c r="X95" s="22"/>
      <c r="Y95" s="22"/>
      <c r="Z95" s="22"/>
      <c r="AA95" s="22"/>
      <c r="AB95" s="22"/>
      <c r="AC95" s="22"/>
      <c r="AD95" s="22"/>
      <c r="AE95" s="22"/>
      <c r="AF95" s="22"/>
      <c r="AG95" s="22"/>
      <c r="AH95" s="22"/>
      <c r="AM95" s="22">
        <f t="shared" si="7"/>
        <v>0</v>
      </c>
    </row>
    <row r="96" spans="1:39" x14ac:dyDescent="0.25">
      <c r="A96" s="20" t="s">
        <v>55</v>
      </c>
      <c r="B96" s="38"/>
      <c r="C96" s="20" t="s">
        <v>115</v>
      </c>
      <c r="D96" s="20" t="s">
        <v>21</v>
      </c>
      <c r="E96" s="20" t="s">
        <v>21</v>
      </c>
      <c r="F96" s="20" t="s">
        <v>58</v>
      </c>
      <c r="G96" s="39"/>
      <c r="H96" s="40"/>
      <c r="I96" s="22"/>
      <c r="L96" s="22"/>
      <c r="M96" s="22"/>
      <c r="O96" s="22"/>
      <c r="P96" s="22"/>
      <c r="Q96" s="22"/>
      <c r="R96" s="22"/>
      <c r="S96" s="22"/>
      <c r="T96" s="22"/>
      <c r="U96" s="22"/>
      <c r="V96" s="22"/>
      <c r="W96" s="22"/>
      <c r="X96" s="22"/>
      <c r="Y96" s="22"/>
      <c r="Z96" s="22"/>
      <c r="AA96" s="22"/>
      <c r="AB96" s="22"/>
      <c r="AC96" s="22"/>
      <c r="AD96" s="22"/>
      <c r="AE96" s="22"/>
      <c r="AF96" s="22"/>
      <c r="AG96" s="22"/>
      <c r="AH96" s="22"/>
      <c r="AI96" s="22" t="s">
        <v>42</v>
      </c>
      <c r="AM96" s="22">
        <f t="shared" si="7"/>
        <v>1</v>
      </c>
    </row>
    <row r="97" spans="1:39" x14ac:dyDescent="0.25">
      <c r="A97" s="20" t="s">
        <v>55</v>
      </c>
      <c r="B97" s="38"/>
      <c r="C97" s="20" t="s">
        <v>120</v>
      </c>
      <c r="D97" s="20" t="s">
        <v>21</v>
      </c>
      <c r="E97" s="20" t="s">
        <v>21</v>
      </c>
      <c r="F97" s="20" t="s">
        <v>58</v>
      </c>
      <c r="G97" s="39"/>
      <c r="H97" s="40"/>
      <c r="I97" s="22"/>
      <c r="L97" s="22"/>
      <c r="M97" s="22"/>
      <c r="O97" s="22"/>
      <c r="P97" s="22"/>
      <c r="Q97" s="22"/>
      <c r="R97" s="22"/>
      <c r="S97" s="22"/>
      <c r="T97" s="22"/>
      <c r="U97" s="22"/>
      <c r="V97" s="22"/>
      <c r="W97" s="22"/>
      <c r="X97" s="22"/>
      <c r="Y97" s="22"/>
      <c r="Z97" s="22"/>
      <c r="AA97" s="22"/>
      <c r="AB97" s="22"/>
      <c r="AC97" s="22"/>
      <c r="AD97" s="22"/>
      <c r="AE97" s="22"/>
      <c r="AF97" s="22"/>
      <c r="AG97" s="22"/>
      <c r="AH97" s="22"/>
      <c r="AI97" s="22" t="s">
        <v>42</v>
      </c>
      <c r="AM97" s="22">
        <f t="shared" si="7"/>
        <v>1</v>
      </c>
    </row>
    <row r="98" spans="1:39" x14ac:dyDescent="0.25">
      <c r="A98" s="20" t="s">
        <v>55</v>
      </c>
      <c r="B98" s="38"/>
      <c r="C98" s="20" t="s">
        <v>149</v>
      </c>
      <c r="D98" s="20" t="s">
        <v>28</v>
      </c>
      <c r="E98" s="20" t="s">
        <v>28</v>
      </c>
      <c r="F98" s="20" t="s">
        <v>63</v>
      </c>
      <c r="G98" s="39"/>
      <c r="H98" s="40"/>
      <c r="I98" s="22"/>
      <c r="L98" s="22"/>
      <c r="O98" s="22"/>
      <c r="Q98" s="22"/>
      <c r="R98" s="22"/>
      <c r="S98" s="22"/>
      <c r="T98" s="22"/>
      <c r="U98" s="22"/>
      <c r="V98" s="22"/>
      <c r="W98" s="22"/>
      <c r="X98" s="22"/>
      <c r="Y98" s="22"/>
      <c r="Z98" s="22"/>
      <c r="AA98" s="22"/>
      <c r="AB98" s="22"/>
      <c r="AC98" s="22"/>
      <c r="AD98" s="22"/>
      <c r="AE98" s="22"/>
      <c r="AF98" s="22"/>
      <c r="AG98" s="22"/>
      <c r="AH98" s="22"/>
      <c r="AI98" s="22" t="s">
        <v>42</v>
      </c>
      <c r="AM98" s="22">
        <f t="shared" si="7"/>
        <v>1</v>
      </c>
    </row>
    <row r="99" spans="1:39" x14ac:dyDescent="0.25">
      <c r="A99" s="20" t="s">
        <v>55</v>
      </c>
      <c r="B99" s="38"/>
      <c r="C99" s="20" t="s">
        <v>153</v>
      </c>
      <c r="D99" s="20" t="s">
        <v>21</v>
      </c>
      <c r="E99" s="20" t="s">
        <v>21</v>
      </c>
      <c r="F99" s="20" t="s">
        <v>58</v>
      </c>
      <c r="G99" s="39"/>
      <c r="H99" s="40"/>
      <c r="I99" s="22"/>
      <c r="L99" s="22"/>
      <c r="M99" s="22"/>
      <c r="O99" s="22"/>
      <c r="P99" s="22"/>
      <c r="Q99" s="22"/>
      <c r="R99" s="22"/>
      <c r="S99" s="22"/>
      <c r="T99" s="22"/>
      <c r="U99" s="22"/>
      <c r="V99" s="22"/>
      <c r="W99" s="22"/>
      <c r="X99" s="22"/>
      <c r="Y99" s="22"/>
      <c r="Z99" s="22"/>
      <c r="AA99" s="22"/>
      <c r="AB99" s="22"/>
      <c r="AC99" s="22"/>
      <c r="AD99" s="22"/>
      <c r="AE99" s="22"/>
      <c r="AF99" s="22"/>
      <c r="AG99" s="22"/>
      <c r="AH99" s="22"/>
      <c r="AI99" s="22" t="s">
        <v>42</v>
      </c>
      <c r="AM99" s="22">
        <f t="shared" si="7"/>
        <v>1</v>
      </c>
    </row>
    <row r="100" spans="1:39" x14ac:dyDescent="0.25">
      <c r="A100" s="20" t="s">
        <v>55</v>
      </c>
      <c r="B100" s="38"/>
      <c r="C100" s="20" t="s">
        <v>186</v>
      </c>
      <c r="D100" s="20" t="s">
        <v>16</v>
      </c>
      <c r="E100" s="20" t="s">
        <v>16</v>
      </c>
      <c r="F100" s="20" t="s">
        <v>170</v>
      </c>
      <c r="G100" s="39"/>
      <c r="H100" s="40"/>
      <c r="I100" s="22"/>
      <c r="L100" s="22"/>
      <c r="M100" s="22"/>
      <c r="O100" s="22"/>
      <c r="P100" s="22"/>
      <c r="Q100" s="22"/>
      <c r="R100" s="22"/>
      <c r="S100" s="22"/>
      <c r="T100" s="22"/>
      <c r="U100" s="22"/>
      <c r="V100" s="22"/>
      <c r="W100" s="22"/>
      <c r="X100" s="22"/>
      <c r="Y100" s="22"/>
      <c r="Z100" s="22"/>
      <c r="AA100" s="22"/>
      <c r="AB100" s="22"/>
      <c r="AC100" s="22"/>
      <c r="AD100" s="22"/>
      <c r="AE100" s="22"/>
      <c r="AF100" s="22"/>
      <c r="AG100" s="22"/>
      <c r="AH100" s="22"/>
      <c r="AI100" s="22" t="s">
        <v>36</v>
      </c>
      <c r="AM100" s="22">
        <f t="shared" si="7"/>
        <v>1</v>
      </c>
    </row>
    <row r="101" spans="1:39" x14ac:dyDescent="0.25">
      <c r="A101" s="20" t="s">
        <v>55</v>
      </c>
      <c r="B101" s="38"/>
      <c r="C101" s="20" t="s">
        <v>220</v>
      </c>
      <c r="D101" s="20" t="s">
        <v>16</v>
      </c>
      <c r="E101" s="20" t="s">
        <v>16</v>
      </c>
      <c r="F101" s="20" t="s">
        <v>170</v>
      </c>
      <c r="G101" s="39"/>
      <c r="H101" s="40"/>
      <c r="I101" s="22"/>
      <c r="L101" s="22"/>
      <c r="M101" s="22"/>
      <c r="O101" s="22"/>
      <c r="P101" s="22"/>
      <c r="Q101" s="22"/>
      <c r="R101" s="22"/>
      <c r="S101" s="22"/>
      <c r="T101" s="22"/>
      <c r="U101" s="22"/>
      <c r="V101" s="22"/>
      <c r="W101" s="22"/>
      <c r="X101" s="22"/>
      <c r="Y101" s="22"/>
      <c r="Z101" s="22"/>
      <c r="AA101" s="22"/>
      <c r="AB101" s="22"/>
      <c r="AC101" s="22"/>
      <c r="AD101" s="22"/>
      <c r="AE101" s="22"/>
      <c r="AF101" s="22"/>
      <c r="AG101" s="22"/>
      <c r="AH101" s="22"/>
      <c r="AI101" s="22" t="s">
        <v>36</v>
      </c>
      <c r="AM101" s="22">
        <f t="shared" si="7"/>
        <v>1</v>
      </c>
    </row>
    <row r="102" spans="1:39" x14ac:dyDescent="0.25">
      <c r="A102" s="20" t="s">
        <v>55</v>
      </c>
      <c r="B102" s="38"/>
      <c r="C102" s="20" t="s">
        <v>303</v>
      </c>
      <c r="D102" s="20" t="s">
        <v>21</v>
      </c>
      <c r="E102" s="20" t="s">
        <v>21</v>
      </c>
      <c r="F102" s="20" t="s">
        <v>58</v>
      </c>
      <c r="G102" s="39"/>
      <c r="H102" s="40"/>
      <c r="I102" s="22"/>
      <c r="L102" s="22"/>
      <c r="M102" s="22"/>
      <c r="O102" s="22"/>
      <c r="P102" s="22"/>
      <c r="Q102" s="22"/>
      <c r="R102" s="22"/>
      <c r="S102" s="22"/>
      <c r="T102" s="22"/>
      <c r="U102" s="22"/>
      <c r="V102" s="22"/>
      <c r="W102" s="22"/>
      <c r="X102" s="22"/>
      <c r="Y102" s="22"/>
      <c r="Z102" s="22"/>
      <c r="AA102" s="22"/>
      <c r="AB102" s="22"/>
      <c r="AC102" s="22"/>
      <c r="AD102" s="22"/>
      <c r="AE102" s="22"/>
      <c r="AF102" s="22"/>
      <c r="AG102" s="22"/>
      <c r="AH102" s="22"/>
      <c r="AI102" s="22" t="s">
        <v>42</v>
      </c>
      <c r="AM102" s="22">
        <f t="shared" si="7"/>
        <v>1</v>
      </c>
    </row>
    <row r="103" spans="1:39" x14ac:dyDescent="0.25">
      <c r="A103" s="20" t="s">
        <v>55</v>
      </c>
      <c r="B103" s="38"/>
      <c r="C103" s="20" t="s">
        <v>305</v>
      </c>
      <c r="D103" s="20" t="s">
        <v>21</v>
      </c>
      <c r="E103" s="20" t="s">
        <v>21</v>
      </c>
      <c r="F103" s="20" t="s">
        <v>58</v>
      </c>
      <c r="G103" s="39"/>
      <c r="H103" s="40"/>
      <c r="I103" s="22"/>
      <c r="L103" s="22"/>
      <c r="M103" s="22"/>
      <c r="O103" s="22"/>
      <c r="R103" s="22"/>
      <c r="S103" s="22"/>
      <c r="T103" s="22"/>
      <c r="U103" s="22"/>
      <c r="V103" s="22"/>
      <c r="W103" s="22"/>
      <c r="X103" s="22"/>
      <c r="Y103" s="22"/>
      <c r="Z103" s="22"/>
      <c r="AA103" s="22"/>
      <c r="AB103" s="22"/>
      <c r="AC103" s="22"/>
      <c r="AD103" s="22"/>
      <c r="AE103" s="22"/>
      <c r="AF103" s="22"/>
      <c r="AG103" s="22"/>
      <c r="AH103" s="22"/>
      <c r="AI103" s="22" t="s">
        <v>42</v>
      </c>
      <c r="AM103" s="22">
        <f t="shared" si="7"/>
        <v>1</v>
      </c>
    </row>
    <row r="104" spans="1:39" x14ac:dyDescent="0.25">
      <c r="A104" s="20" t="s">
        <v>55</v>
      </c>
      <c r="B104" s="38"/>
      <c r="C104" s="20" t="s">
        <v>317</v>
      </c>
      <c r="D104" s="20" t="s">
        <v>8</v>
      </c>
      <c r="E104" s="20" t="s">
        <v>8</v>
      </c>
      <c r="F104" s="20" t="s">
        <v>58</v>
      </c>
      <c r="G104" s="39"/>
      <c r="H104" s="40"/>
      <c r="I104" s="22"/>
      <c r="L104" s="22"/>
      <c r="M104" s="22"/>
      <c r="O104" s="22"/>
      <c r="P104" s="22"/>
      <c r="R104" s="22"/>
      <c r="S104" s="22"/>
      <c r="T104" s="22"/>
      <c r="U104" s="22"/>
      <c r="V104" s="22"/>
      <c r="W104" s="22"/>
      <c r="X104" s="22"/>
      <c r="Y104" s="22"/>
      <c r="Z104" s="22"/>
      <c r="AA104" s="22"/>
      <c r="AB104" s="22"/>
      <c r="AC104" s="22"/>
      <c r="AD104" s="22"/>
      <c r="AE104" s="22"/>
      <c r="AF104" s="22"/>
      <c r="AG104" s="22"/>
      <c r="AH104" s="22"/>
      <c r="AI104" s="22" t="s">
        <v>42</v>
      </c>
      <c r="AM104" s="22">
        <f t="shared" si="7"/>
        <v>1</v>
      </c>
    </row>
    <row r="105" spans="1:39" x14ac:dyDescent="0.25">
      <c r="A105" s="20" t="s">
        <v>55</v>
      </c>
      <c r="B105" s="38"/>
      <c r="C105" s="20" t="s">
        <v>333</v>
      </c>
      <c r="D105" s="20" t="s">
        <v>16</v>
      </c>
      <c r="E105" s="20" t="s">
        <v>16</v>
      </c>
      <c r="F105" s="20" t="s">
        <v>170</v>
      </c>
      <c r="G105" s="39"/>
      <c r="H105" s="40"/>
      <c r="I105" s="22"/>
      <c r="L105" s="22"/>
      <c r="M105" s="22"/>
      <c r="O105" s="22"/>
      <c r="P105" s="22"/>
      <c r="Q105" s="22"/>
      <c r="R105" s="22"/>
      <c r="S105" s="22"/>
      <c r="T105" s="22"/>
      <c r="U105" s="22"/>
      <c r="V105" s="22"/>
      <c r="W105" s="22"/>
      <c r="X105" s="22"/>
      <c r="Y105" s="22"/>
      <c r="Z105" s="22"/>
      <c r="AA105" s="22"/>
      <c r="AB105" s="22"/>
      <c r="AC105" s="22"/>
      <c r="AD105" s="22"/>
      <c r="AE105" s="22"/>
      <c r="AF105" s="22"/>
      <c r="AG105" s="22"/>
      <c r="AH105" s="22"/>
      <c r="AI105" s="22" t="s">
        <v>36</v>
      </c>
      <c r="AM105" s="22">
        <f t="shared" si="7"/>
        <v>1</v>
      </c>
    </row>
    <row r="106" spans="1:39" x14ac:dyDescent="0.25">
      <c r="A106" s="20" t="s">
        <v>55</v>
      </c>
      <c r="B106" s="38"/>
      <c r="C106" s="20" t="s">
        <v>335</v>
      </c>
      <c r="D106" s="20" t="s">
        <v>16</v>
      </c>
      <c r="E106" s="20" t="s">
        <v>16</v>
      </c>
      <c r="F106" s="20" t="s">
        <v>170</v>
      </c>
      <c r="G106" s="39"/>
      <c r="H106" s="40"/>
      <c r="I106" s="22"/>
      <c r="J106" s="33"/>
      <c r="L106" s="22"/>
      <c r="M106" s="22"/>
      <c r="O106" s="22"/>
      <c r="R106" s="22"/>
      <c r="S106" s="22"/>
      <c r="T106" s="22"/>
      <c r="U106" s="22"/>
      <c r="V106" s="22"/>
      <c r="W106" s="22"/>
      <c r="X106" s="22"/>
      <c r="Y106" s="22"/>
      <c r="Z106" s="22"/>
      <c r="AA106" s="22"/>
      <c r="AB106" s="22"/>
      <c r="AC106" s="22"/>
      <c r="AD106" s="22"/>
      <c r="AE106" s="22"/>
      <c r="AF106" s="22"/>
      <c r="AG106" s="22"/>
      <c r="AH106" s="22"/>
      <c r="AI106" s="22" t="s">
        <v>36</v>
      </c>
      <c r="AM106" s="22">
        <f t="shared" si="7"/>
        <v>1</v>
      </c>
    </row>
    <row r="107" spans="1:39" x14ac:dyDescent="0.25">
      <c r="A107" s="20" t="s">
        <v>55</v>
      </c>
      <c r="B107" s="38"/>
      <c r="C107" s="20" t="s">
        <v>337</v>
      </c>
      <c r="D107" s="20" t="s">
        <v>16</v>
      </c>
      <c r="E107" s="20" t="s">
        <v>16</v>
      </c>
      <c r="F107" s="20" t="s">
        <v>170</v>
      </c>
      <c r="G107" s="39"/>
      <c r="H107" s="40"/>
      <c r="I107" s="22"/>
      <c r="J107" s="33"/>
      <c r="L107" s="22"/>
      <c r="M107" s="22"/>
      <c r="O107" s="22"/>
      <c r="P107" s="22"/>
      <c r="Q107" s="22"/>
      <c r="R107" s="22"/>
      <c r="S107" s="22"/>
      <c r="T107" s="22"/>
      <c r="U107" s="22"/>
      <c r="V107" s="22"/>
      <c r="W107" s="22"/>
      <c r="X107" s="22"/>
      <c r="Y107" s="22"/>
      <c r="Z107" s="22"/>
      <c r="AA107" s="22"/>
      <c r="AB107" s="22"/>
      <c r="AC107" s="22"/>
      <c r="AD107" s="22"/>
      <c r="AE107" s="22"/>
      <c r="AF107" s="22"/>
      <c r="AG107" s="22"/>
      <c r="AH107" s="22"/>
      <c r="AI107" s="22" t="s">
        <v>36</v>
      </c>
      <c r="AM107" s="22">
        <f t="shared" si="7"/>
        <v>1</v>
      </c>
    </row>
    <row r="108" spans="1:39" x14ac:dyDescent="0.25">
      <c r="A108" s="20" t="s">
        <v>55</v>
      </c>
      <c r="B108" s="38"/>
      <c r="C108" s="20" t="s">
        <v>339</v>
      </c>
      <c r="D108" s="20" t="s">
        <v>16</v>
      </c>
      <c r="E108" s="20" t="s">
        <v>16</v>
      </c>
      <c r="F108" s="20" t="s">
        <v>170</v>
      </c>
      <c r="G108" s="39"/>
      <c r="H108" s="40"/>
      <c r="I108" s="22"/>
      <c r="L108" s="22"/>
      <c r="M108" s="22"/>
      <c r="O108" s="22"/>
      <c r="P108" s="22"/>
      <c r="Q108" s="22"/>
      <c r="R108" s="22"/>
      <c r="U108" s="22"/>
      <c r="V108" s="22"/>
      <c r="W108" s="22"/>
      <c r="X108" s="22"/>
      <c r="Y108" s="22"/>
      <c r="Z108" s="22"/>
      <c r="AA108" s="22"/>
      <c r="AB108" s="22"/>
      <c r="AC108" s="22"/>
      <c r="AD108" s="22"/>
      <c r="AE108" s="22"/>
      <c r="AF108" s="22"/>
      <c r="AG108" s="22"/>
      <c r="AH108" s="22"/>
      <c r="AI108" s="22" t="s">
        <v>36</v>
      </c>
      <c r="AM108" s="22">
        <f t="shared" si="7"/>
        <v>1</v>
      </c>
    </row>
    <row r="109" spans="1:39" x14ac:dyDescent="0.25">
      <c r="A109" s="20" t="s">
        <v>55</v>
      </c>
      <c r="B109" s="38"/>
      <c r="C109" s="20" t="s">
        <v>359</v>
      </c>
      <c r="D109" s="20" t="s">
        <v>8</v>
      </c>
      <c r="E109" s="20" t="s">
        <v>8</v>
      </c>
      <c r="F109" s="20" t="s">
        <v>58</v>
      </c>
      <c r="G109" s="39"/>
      <c r="H109" s="40"/>
      <c r="I109" s="22"/>
      <c r="L109" s="22"/>
      <c r="M109" s="22"/>
      <c r="O109" s="22"/>
      <c r="R109" s="22"/>
      <c r="S109" s="22"/>
      <c r="T109" s="22"/>
      <c r="U109" s="22"/>
      <c r="V109" s="22"/>
      <c r="W109" s="22"/>
      <c r="X109" s="22"/>
      <c r="Y109" s="22"/>
      <c r="Z109" s="22"/>
      <c r="AA109" s="22"/>
      <c r="AB109" s="22"/>
      <c r="AC109" s="22"/>
      <c r="AD109" s="22"/>
      <c r="AE109" s="22"/>
      <c r="AF109" s="22"/>
      <c r="AG109" s="22"/>
      <c r="AH109" s="22"/>
      <c r="AI109" s="22" t="s">
        <v>42</v>
      </c>
      <c r="AM109" s="22">
        <f t="shared" si="7"/>
        <v>1</v>
      </c>
    </row>
    <row r="110" spans="1:39" x14ac:dyDescent="0.25">
      <c r="A110" s="20" t="s">
        <v>55</v>
      </c>
      <c r="B110" s="38"/>
      <c r="C110" s="20" t="s">
        <v>424</v>
      </c>
      <c r="D110" s="20" t="s">
        <v>8</v>
      </c>
      <c r="E110" s="20" t="s">
        <v>8</v>
      </c>
      <c r="F110" s="20" t="s">
        <v>58</v>
      </c>
      <c r="G110" s="39"/>
      <c r="H110" s="40"/>
      <c r="I110" s="22"/>
      <c r="L110" s="22"/>
      <c r="M110" s="22"/>
      <c r="O110" s="22"/>
      <c r="R110" s="22"/>
      <c r="S110" s="22"/>
      <c r="T110" s="22"/>
      <c r="U110" s="22"/>
      <c r="V110" s="22"/>
      <c r="W110" s="22"/>
      <c r="X110" s="22"/>
      <c r="Y110" s="22"/>
      <c r="Z110" s="22"/>
      <c r="AA110" s="22"/>
      <c r="AB110" s="22"/>
      <c r="AC110" s="22"/>
      <c r="AD110" s="22"/>
      <c r="AE110" s="22"/>
      <c r="AF110" s="22"/>
      <c r="AG110" s="22"/>
      <c r="AH110" s="22"/>
      <c r="AI110" s="22" t="s">
        <v>42</v>
      </c>
      <c r="AM110" s="22">
        <f t="shared" si="7"/>
        <v>1</v>
      </c>
    </row>
    <row r="111" spans="1:39" x14ac:dyDescent="0.25">
      <c r="A111" s="20" t="s">
        <v>55</v>
      </c>
      <c r="B111" s="38"/>
      <c r="C111" s="20" t="s">
        <v>452</v>
      </c>
      <c r="D111" s="20" t="s">
        <v>21</v>
      </c>
      <c r="E111" s="20" t="s">
        <v>21</v>
      </c>
      <c r="F111" s="20" t="s">
        <v>58</v>
      </c>
      <c r="G111" s="39"/>
      <c r="H111" s="40"/>
      <c r="I111" s="22"/>
      <c r="L111" s="22"/>
      <c r="M111" s="22"/>
      <c r="O111" s="22"/>
      <c r="P111" s="22"/>
      <c r="R111" s="22"/>
      <c r="S111" s="22"/>
      <c r="T111" s="22"/>
      <c r="U111" s="22"/>
      <c r="V111" s="22"/>
      <c r="W111" s="22"/>
      <c r="X111" s="22"/>
      <c r="Y111" s="22"/>
      <c r="Z111" s="22"/>
      <c r="AA111" s="22"/>
      <c r="AB111" s="22"/>
      <c r="AC111" s="22"/>
      <c r="AD111" s="22"/>
      <c r="AE111" s="22"/>
      <c r="AF111" s="22"/>
      <c r="AG111" s="22"/>
      <c r="AH111" s="22"/>
      <c r="AI111" s="22" t="s">
        <v>42</v>
      </c>
      <c r="AM111" s="22">
        <f t="shared" si="7"/>
        <v>1</v>
      </c>
    </row>
    <row r="112" spans="1:39" x14ac:dyDescent="0.25">
      <c r="A112" s="20" t="s">
        <v>55</v>
      </c>
      <c r="B112" s="38"/>
      <c r="C112" s="20" t="s">
        <v>474</v>
      </c>
      <c r="D112" s="20" t="s">
        <v>21</v>
      </c>
      <c r="E112" s="20" t="s">
        <v>21</v>
      </c>
      <c r="F112" s="20" t="s">
        <v>58</v>
      </c>
      <c r="G112" s="39"/>
      <c r="H112" s="40"/>
      <c r="I112" s="22"/>
      <c r="J112" s="33"/>
      <c r="L112" s="22"/>
      <c r="M112" s="22"/>
      <c r="O112" s="22"/>
      <c r="P112" s="22"/>
      <c r="Q112" s="22"/>
      <c r="R112" s="22"/>
      <c r="S112" s="22"/>
      <c r="T112" s="22"/>
      <c r="U112" s="22"/>
      <c r="V112" s="22"/>
      <c r="W112" s="22"/>
      <c r="X112" s="22"/>
      <c r="Y112" s="22"/>
      <c r="Z112" s="22"/>
      <c r="AA112" s="22"/>
      <c r="AB112" s="22"/>
      <c r="AC112" s="22"/>
      <c r="AD112" s="22"/>
      <c r="AE112" s="22"/>
      <c r="AF112" s="22"/>
      <c r="AG112" s="22"/>
      <c r="AH112" s="22"/>
      <c r="AI112" s="22" t="s">
        <v>42</v>
      </c>
      <c r="AM112" s="22">
        <f t="shared" si="7"/>
        <v>1</v>
      </c>
    </row>
    <row r="113" spans="1:39" x14ac:dyDescent="0.25">
      <c r="A113" s="20" t="s">
        <v>55</v>
      </c>
      <c r="B113" s="38"/>
      <c r="C113" s="20" t="s">
        <v>488</v>
      </c>
      <c r="D113" s="20" t="s">
        <v>21</v>
      </c>
      <c r="E113" s="20" t="s">
        <v>21</v>
      </c>
      <c r="F113" s="20" t="s">
        <v>58</v>
      </c>
      <c r="G113" s="39"/>
      <c r="H113" s="40"/>
      <c r="I113" s="22"/>
      <c r="L113" s="22"/>
      <c r="M113" s="22"/>
      <c r="O113" s="22"/>
      <c r="P113" s="22"/>
      <c r="Q113" s="22"/>
      <c r="R113" s="22"/>
      <c r="S113" s="22"/>
      <c r="T113" s="22"/>
      <c r="U113" s="22"/>
      <c r="V113" s="22"/>
      <c r="W113" s="22"/>
      <c r="X113" s="22"/>
      <c r="Y113" s="22"/>
      <c r="Z113" s="22"/>
      <c r="AA113" s="22"/>
      <c r="AB113" s="22"/>
      <c r="AC113" s="22"/>
      <c r="AD113" s="22"/>
      <c r="AE113" s="22"/>
      <c r="AF113" s="22"/>
      <c r="AG113" s="22"/>
      <c r="AH113" s="22"/>
      <c r="AI113" s="22" t="s">
        <v>42</v>
      </c>
      <c r="AM113" s="22">
        <f t="shared" si="7"/>
        <v>1</v>
      </c>
    </row>
    <row r="114" spans="1:39" x14ac:dyDescent="0.25">
      <c r="A114" s="20" t="s">
        <v>55</v>
      </c>
      <c r="B114" s="38"/>
      <c r="C114" s="20" t="s">
        <v>492</v>
      </c>
      <c r="D114" s="20" t="s">
        <v>21</v>
      </c>
      <c r="E114" s="20" t="s">
        <v>21</v>
      </c>
      <c r="F114" s="20" t="s">
        <v>58</v>
      </c>
      <c r="G114" s="39"/>
      <c r="H114" s="40"/>
      <c r="I114" s="22"/>
      <c r="L114" s="22"/>
      <c r="M114" s="22"/>
      <c r="O114" s="22"/>
      <c r="P114" s="22"/>
      <c r="Q114" s="22"/>
      <c r="R114" s="22"/>
      <c r="S114" s="22"/>
      <c r="T114" s="22"/>
      <c r="U114" s="22"/>
      <c r="V114" s="22"/>
      <c r="W114" s="22"/>
      <c r="X114" s="22"/>
      <c r="Y114" s="22"/>
      <c r="Z114" s="22"/>
      <c r="AA114" s="22"/>
      <c r="AB114" s="22"/>
      <c r="AC114" s="22"/>
      <c r="AD114" s="22"/>
      <c r="AE114" s="22"/>
      <c r="AF114" s="22"/>
      <c r="AG114" s="22"/>
      <c r="AH114" s="22"/>
      <c r="AI114" s="22" t="s">
        <v>42</v>
      </c>
      <c r="AM114" s="22">
        <f t="shared" si="7"/>
        <v>1</v>
      </c>
    </row>
    <row r="115" spans="1:39" x14ac:dyDescent="0.25">
      <c r="A115" s="20" t="s">
        <v>55</v>
      </c>
      <c r="B115" s="38"/>
      <c r="C115" s="20" t="s">
        <v>499</v>
      </c>
      <c r="D115" s="20" t="s">
        <v>21</v>
      </c>
      <c r="E115" s="20" t="s">
        <v>21</v>
      </c>
      <c r="F115" s="20" t="s">
        <v>58</v>
      </c>
      <c r="G115" s="39"/>
      <c r="H115" s="40"/>
      <c r="I115" s="22"/>
      <c r="L115" s="22"/>
      <c r="M115" s="22"/>
      <c r="O115" s="22"/>
      <c r="P115" s="22"/>
      <c r="R115" s="22"/>
      <c r="S115" s="22"/>
      <c r="T115" s="22"/>
      <c r="U115" s="22"/>
      <c r="V115" s="22"/>
      <c r="W115" s="22"/>
      <c r="X115" s="22"/>
      <c r="Y115" s="22"/>
      <c r="Z115" s="22"/>
      <c r="AA115" s="22"/>
      <c r="AB115" s="22"/>
      <c r="AC115" s="22"/>
      <c r="AD115" s="22"/>
      <c r="AE115" s="22"/>
      <c r="AF115" s="22"/>
      <c r="AG115" s="22"/>
      <c r="AH115" s="22"/>
      <c r="AI115" s="22" t="s">
        <v>42</v>
      </c>
      <c r="AM115" s="22">
        <f t="shared" si="7"/>
        <v>1</v>
      </c>
    </row>
    <row r="116" spans="1:39" x14ac:dyDescent="0.25">
      <c r="A116" s="20" t="s">
        <v>55</v>
      </c>
      <c r="B116" s="38"/>
      <c r="C116" s="20" t="s">
        <v>505</v>
      </c>
      <c r="D116" s="20" t="s">
        <v>8</v>
      </c>
      <c r="E116" s="20" t="s">
        <v>8</v>
      </c>
      <c r="F116" s="20" t="s">
        <v>58</v>
      </c>
      <c r="G116" s="39"/>
      <c r="H116" s="40"/>
      <c r="I116" s="22"/>
      <c r="O116" s="22"/>
      <c r="P116" s="22"/>
      <c r="Q116" s="22"/>
      <c r="R116" s="22"/>
      <c r="S116" s="22"/>
      <c r="T116" s="22"/>
      <c r="U116" s="22"/>
      <c r="V116" s="22"/>
      <c r="W116" s="22"/>
      <c r="X116" s="22"/>
      <c r="Y116" s="22"/>
      <c r="Z116" s="22"/>
      <c r="AA116" s="22"/>
      <c r="AB116" s="22"/>
      <c r="AC116" s="22"/>
      <c r="AD116" s="22"/>
      <c r="AE116" s="22"/>
      <c r="AF116" s="22"/>
      <c r="AG116" s="22"/>
      <c r="AH116" s="22"/>
      <c r="AI116" s="22" t="s">
        <v>42</v>
      </c>
      <c r="AM116" s="22">
        <f t="shared" si="7"/>
        <v>1</v>
      </c>
    </row>
    <row r="117" spans="1:39" x14ac:dyDescent="0.25">
      <c r="A117" s="20" t="s">
        <v>55</v>
      </c>
      <c r="B117" s="38"/>
      <c r="C117" s="20" t="s">
        <v>542</v>
      </c>
      <c r="D117" s="20" t="s">
        <v>21</v>
      </c>
      <c r="E117" s="20" t="s">
        <v>21</v>
      </c>
      <c r="F117" s="20" t="s">
        <v>58</v>
      </c>
      <c r="G117" s="39"/>
      <c r="H117" s="40"/>
      <c r="I117" s="22"/>
      <c r="J117" s="33"/>
      <c r="L117" s="22"/>
      <c r="M117" s="22"/>
      <c r="O117" s="22"/>
      <c r="P117" s="22"/>
      <c r="Q117" s="22"/>
      <c r="R117" s="22"/>
      <c r="S117" s="22"/>
      <c r="T117" s="22"/>
      <c r="U117" s="22"/>
      <c r="V117" s="22"/>
      <c r="W117" s="22"/>
      <c r="X117" s="22"/>
      <c r="Y117" s="22"/>
      <c r="Z117" s="22"/>
      <c r="AA117" s="22"/>
      <c r="AB117" s="22"/>
      <c r="AC117" s="22"/>
      <c r="AD117" s="22"/>
      <c r="AE117" s="22"/>
      <c r="AF117" s="22"/>
      <c r="AG117" s="22"/>
      <c r="AH117" s="22"/>
      <c r="AI117" s="22" t="s">
        <v>42</v>
      </c>
      <c r="AM117" s="22">
        <f t="shared" si="7"/>
        <v>1</v>
      </c>
    </row>
    <row r="118" spans="1:39" x14ac:dyDescent="0.25">
      <c r="A118" s="20" t="s">
        <v>55</v>
      </c>
      <c r="B118" s="38"/>
      <c r="C118" s="20" t="s">
        <v>544</v>
      </c>
      <c r="D118" s="20" t="s">
        <v>21</v>
      </c>
      <c r="E118" s="20" t="s">
        <v>21</v>
      </c>
      <c r="F118" s="20" t="s">
        <v>58</v>
      </c>
      <c r="G118" s="39"/>
      <c r="H118" s="40"/>
      <c r="I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t="s">
        <v>42</v>
      </c>
      <c r="AM118" s="22">
        <f t="shared" si="7"/>
        <v>1</v>
      </c>
    </row>
    <row r="119" spans="1:39" x14ac:dyDescent="0.25">
      <c r="A119" s="20" t="s">
        <v>55</v>
      </c>
      <c r="B119" s="38"/>
      <c r="C119" s="20" t="s">
        <v>573</v>
      </c>
      <c r="D119" s="20" t="s">
        <v>21</v>
      </c>
      <c r="E119" s="20" t="s">
        <v>21</v>
      </c>
      <c r="F119" s="20" t="s">
        <v>58</v>
      </c>
      <c r="G119" s="39"/>
      <c r="H119" s="40"/>
      <c r="I119" s="22"/>
      <c r="L119" s="22"/>
      <c r="M119" s="22"/>
      <c r="O119" s="22"/>
      <c r="P119" s="22"/>
      <c r="Q119" s="22"/>
      <c r="R119" s="22"/>
      <c r="S119" s="22"/>
      <c r="T119" s="22"/>
      <c r="U119" s="22"/>
      <c r="V119" s="22"/>
      <c r="W119" s="22"/>
      <c r="X119" s="22"/>
      <c r="Y119" s="22"/>
      <c r="Z119" s="22"/>
      <c r="AA119" s="22"/>
      <c r="AB119" s="22"/>
      <c r="AC119" s="22"/>
      <c r="AD119" s="22"/>
      <c r="AE119" s="22"/>
      <c r="AF119" s="22"/>
      <c r="AG119" s="22"/>
      <c r="AH119" s="22"/>
      <c r="AI119" s="22" t="s">
        <v>42</v>
      </c>
      <c r="AM119" s="22">
        <f t="shared" si="7"/>
        <v>1</v>
      </c>
    </row>
    <row r="120" spans="1:39" x14ac:dyDescent="0.25">
      <c r="A120" s="20" t="s">
        <v>55</v>
      </c>
      <c r="B120" s="38"/>
      <c r="C120" s="20" t="s">
        <v>575</v>
      </c>
      <c r="D120" s="20" t="s">
        <v>21</v>
      </c>
      <c r="E120" s="20" t="s">
        <v>21</v>
      </c>
      <c r="F120" s="20" t="s">
        <v>58</v>
      </c>
      <c r="G120" s="39"/>
      <c r="H120" s="40"/>
      <c r="I120" s="22"/>
      <c r="L120" s="22"/>
      <c r="M120" s="22"/>
      <c r="O120" s="22"/>
      <c r="P120" s="22"/>
      <c r="Q120" s="22"/>
      <c r="R120" s="22"/>
      <c r="S120" s="22"/>
      <c r="T120" s="22"/>
      <c r="U120" s="22"/>
      <c r="V120" s="22"/>
      <c r="W120" s="22"/>
      <c r="X120" s="22"/>
      <c r="Y120" s="22"/>
      <c r="Z120" s="22"/>
      <c r="AA120" s="22"/>
      <c r="AB120" s="22"/>
      <c r="AC120" s="22"/>
      <c r="AD120" s="22"/>
      <c r="AE120" s="22"/>
      <c r="AF120" s="22"/>
      <c r="AG120" s="22"/>
      <c r="AH120" s="22"/>
      <c r="AI120" s="22" t="s">
        <v>42</v>
      </c>
      <c r="AM120" s="22">
        <f t="shared" si="7"/>
        <v>1</v>
      </c>
    </row>
    <row r="121" spans="1:39" x14ac:dyDescent="0.25">
      <c r="A121" s="20" t="s">
        <v>55</v>
      </c>
      <c r="B121" s="38"/>
      <c r="C121" s="20" t="s">
        <v>577</v>
      </c>
      <c r="D121" s="20" t="s">
        <v>21</v>
      </c>
      <c r="E121" s="20" t="s">
        <v>21</v>
      </c>
      <c r="F121" s="20" t="s">
        <v>58</v>
      </c>
      <c r="G121" s="39"/>
      <c r="H121" s="40"/>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t="s">
        <v>42</v>
      </c>
      <c r="AJ121" s="33"/>
      <c r="AK121" s="33"/>
      <c r="AL121" s="33"/>
      <c r="AM121" s="22">
        <f t="shared" si="7"/>
        <v>1</v>
      </c>
    </row>
    <row r="122" spans="1:39" x14ac:dyDescent="0.25">
      <c r="A122" s="20" t="s">
        <v>55</v>
      </c>
      <c r="B122" s="38"/>
      <c r="C122" s="20" t="s">
        <v>579</v>
      </c>
      <c r="D122" s="20" t="s">
        <v>21</v>
      </c>
      <c r="E122" s="20" t="s">
        <v>21</v>
      </c>
      <c r="F122" s="20" t="s">
        <v>58</v>
      </c>
      <c r="G122" s="39"/>
      <c r="H122" s="40"/>
      <c r="I122" s="22"/>
      <c r="L122" s="22"/>
      <c r="M122" s="22"/>
      <c r="Q122" s="22"/>
      <c r="R122" s="22"/>
      <c r="S122" s="22"/>
      <c r="T122" s="22"/>
      <c r="U122" s="22"/>
      <c r="V122" s="22"/>
      <c r="W122" s="22"/>
      <c r="X122" s="22"/>
      <c r="Y122" s="22"/>
      <c r="Z122" s="22"/>
      <c r="AA122" s="22"/>
      <c r="AB122" s="22"/>
      <c r="AC122" s="22"/>
      <c r="AD122" s="22"/>
      <c r="AE122" s="22"/>
      <c r="AF122" s="22"/>
      <c r="AG122" s="22"/>
      <c r="AH122" s="22"/>
      <c r="AI122" s="22" t="s">
        <v>42</v>
      </c>
      <c r="AM122" s="22">
        <f t="shared" si="7"/>
        <v>1</v>
      </c>
    </row>
    <row r="123" spans="1:39" x14ac:dyDescent="0.25">
      <c r="A123" s="20" t="s">
        <v>55</v>
      </c>
      <c r="B123" s="38"/>
      <c r="C123" s="20" t="s">
        <v>581</v>
      </c>
      <c r="D123" s="20" t="s">
        <v>21</v>
      </c>
      <c r="E123" s="20" t="s">
        <v>21</v>
      </c>
      <c r="F123" s="20" t="s">
        <v>58</v>
      </c>
      <c r="G123" s="39"/>
      <c r="H123" s="40"/>
      <c r="I123" s="22"/>
      <c r="J123" s="33"/>
      <c r="L123" s="22"/>
      <c r="M123" s="22"/>
      <c r="O123" s="22"/>
      <c r="P123" s="22"/>
      <c r="Q123" s="22"/>
      <c r="R123" s="22"/>
      <c r="S123" s="22"/>
      <c r="T123" s="22"/>
      <c r="U123" s="22"/>
      <c r="V123" s="22"/>
      <c r="W123" s="22"/>
      <c r="X123" s="22"/>
      <c r="Y123" s="22"/>
      <c r="Z123" s="22"/>
      <c r="AA123" s="22"/>
      <c r="AB123" s="22"/>
      <c r="AC123" s="22"/>
      <c r="AD123" s="22"/>
      <c r="AE123" s="22"/>
      <c r="AF123" s="22"/>
      <c r="AG123" s="22"/>
      <c r="AH123" s="22"/>
      <c r="AI123" s="22" t="s">
        <v>42</v>
      </c>
      <c r="AM123" s="22">
        <f t="shared" si="7"/>
        <v>1</v>
      </c>
    </row>
    <row r="124" spans="1:39" x14ac:dyDescent="0.25">
      <c r="A124" s="20" t="s">
        <v>55</v>
      </c>
      <c r="B124" s="38"/>
      <c r="C124" s="20" t="s">
        <v>583</v>
      </c>
      <c r="D124" s="20" t="s">
        <v>21</v>
      </c>
      <c r="E124" s="20" t="s">
        <v>21</v>
      </c>
      <c r="F124" s="20" t="s">
        <v>58</v>
      </c>
      <c r="G124" s="39"/>
      <c r="H124" s="40"/>
      <c r="I124" s="22"/>
      <c r="L124" s="22"/>
      <c r="M124" s="22"/>
      <c r="O124" s="22"/>
      <c r="R124" s="22"/>
      <c r="S124" s="22"/>
      <c r="T124" s="22"/>
      <c r="U124" s="22"/>
      <c r="V124" s="22"/>
      <c r="W124" s="22"/>
      <c r="X124" s="22"/>
      <c r="Y124" s="22"/>
      <c r="Z124" s="22"/>
      <c r="AA124" s="22"/>
      <c r="AB124" s="22"/>
      <c r="AC124" s="22"/>
      <c r="AD124" s="22"/>
      <c r="AE124" s="22"/>
      <c r="AF124" s="22"/>
      <c r="AG124" s="22"/>
      <c r="AH124" s="22"/>
      <c r="AI124" s="22" t="s">
        <v>42</v>
      </c>
      <c r="AM124" s="22">
        <f t="shared" si="7"/>
        <v>1</v>
      </c>
    </row>
    <row r="125" spans="1:39" x14ac:dyDescent="0.25">
      <c r="A125" s="20" t="s">
        <v>55</v>
      </c>
      <c r="B125" s="38"/>
      <c r="C125" s="20" t="s">
        <v>591</v>
      </c>
      <c r="D125" s="20" t="s">
        <v>21</v>
      </c>
      <c r="E125" s="20" t="s">
        <v>21</v>
      </c>
      <c r="F125" s="20" t="s">
        <v>58</v>
      </c>
      <c r="G125" s="39"/>
      <c r="H125" s="40"/>
      <c r="I125" s="22"/>
      <c r="Q125" s="22"/>
      <c r="R125" s="22"/>
      <c r="S125" s="22"/>
      <c r="T125" s="22"/>
      <c r="U125" s="22"/>
      <c r="V125" s="22"/>
      <c r="W125" s="22"/>
      <c r="X125" s="22"/>
      <c r="Y125" s="22"/>
      <c r="Z125" s="22"/>
      <c r="AA125" s="22"/>
      <c r="AB125" s="22"/>
      <c r="AC125" s="22"/>
      <c r="AD125" s="22"/>
      <c r="AE125" s="22"/>
      <c r="AF125" s="22"/>
      <c r="AG125" s="22"/>
      <c r="AH125" s="22"/>
      <c r="AI125" s="22" t="s">
        <v>42</v>
      </c>
      <c r="AM125" s="22">
        <f t="shared" si="7"/>
        <v>1</v>
      </c>
    </row>
    <row r="126" spans="1:39" x14ac:dyDescent="0.25">
      <c r="A126" s="20" t="s">
        <v>55</v>
      </c>
      <c r="B126" s="38"/>
      <c r="C126" s="20" t="s">
        <v>593</v>
      </c>
      <c r="D126" s="20" t="s">
        <v>21</v>
      </c>
      <c r="E126" s="20" t="s">
        <v>21</v>
      </c>
      <c r="F126" s="20" t="s">
        <v>58</v>
      </c>
      <c r="G126" s="39"/>
      <c r="H126" s="40"/>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t="s">
        <v>42</v>
      </c>
      <c r="AJ126" s="31"/>
      <c r="AK126" s="31"/>
      <c r="AL126" s="31"/>
      <c r="AM126" s="22">
        <f t="shared" si="7"/>
        <v>1</v>
      </c>
    </row>
    <row r="127" spans="1:39" x14ac:dyDescent="0.25">
      <c r="A127" s="20" t="s">
        <v>55</v>
      </c>
      <c r="B127" s="38"/>
      <c r="C127" s="20" t="s">
        <v>595</v>
      </c>
      <c r="D127" s="20" t="s">
        <v>21</v>
      </c>
      <c r="E127" s="20" t="s">
        <v>21</v>
      </c>
      <c r="F127" s="20" t="s">
        <v>58</v>
      </c>
      <c r="G127" s="39"/>
      <c r="H127" s="40"/>
      <c r="I127" s="31"/>
      <c r="J127" s="31"/>
      <c r="K127" s="31"/>
      <c r="L127" s="31"/>
      <c r="M127" s="31"/>
      <c r="O127" s="31"/>
      <c r="P127" s="31"/>
      <c r="Q127" s="31"/>
      <c r="R127" s="31"/>
      <c r="S127" s="31"/>
      <c r="T127" s="31"/>
      <c r="U127" s="22"/>
      <c r="V127" s="31"/>
      <c r="W127" s="31"/>
      <c r="X127" s="31"/>
      <c r="Y127" s="31"/>
      <c r="Z127" s="31"/>
      <c r="AA127" s="31"/>
      <c r="AB127" s="31"/>
      <c r="AC127" s="31"/>
      <c r="AD127" s="31"/>
      <c r="AE127" s="31"/>
      <c r="AF127" s="31"/>
      <c r="AG127" s="31"/>
      <c r="AH127" s="31"/>
      <c r="AI127" s="31" t="s">
        <v>42</v>
      </c>
      <c r="AJ127" s="31"/>
      <c r="AK127" s="31"/>
      <c r="AL127" s="31"/>
      <c r="AM127" s="22">
        <f t="shared" si="7"/>
        <v>1</v>
      </c>
    </row>
    <row r="128" spans="1:39" x14ac:dyDescent="0.25">
      <c r="A128" s="20" t="s">
        <v>55</v>
      </c>
      <c r="B128" s="38"/>
      <c r="C128" s="20" t="s">
        <v>597</v>
      </c>
      <c r="D128" s="20" t="s">
        <v>21</v>
      </c>
      <c r="E128" s="20" t="s">
        <v>21</v>
      </c>
      <c r="F128" s="20" t="s">
        <v>58</v>
      </c>
      <c r="G128" s="39"/>
      <c r="H128" s="40"/>
      <c r="I128" s="31"/>
      <c r="J128" s="31"/>
      <c r="K128" s="31"/>
      <c r="L128" s="31"/>
      <c r="M128" s="31"/>
      <c r="N128" s="31"/>
      <c r="P128" s="31"/>
      <c r="Q128" s="31"/>
      <c r="R128" s="31"/>
      <c r="S128" s="31"/>
      <c r="T128" s="31"/>
      <c r="U128" s="31"/>
      <c r="V128" s="22"/>
      <c r="W128" s="31"/>
      <c r="X128" s="31"/>
      <c r="Y128" s="31"/>
      <c r="Z128" s="31"/>
      <c r="AA128" s="31"/>
      <c r="AB128" s="31"/>
      <c r="AC128" s="31"/>
      <c r="AD128" s="31"/>
      <c r="AE128" s="31"/>
      <c r="AF128" s="31"/>
      <c r="AG128" s="31"/>
      <c r="AH128" s="31"/>
      <c r="AI128" s="31" t="s">
        <v>42</v>
      </c>
      <c r="AJ128" s="31"/>
      <c r="AK128" s="31"/>
      <c r="AL128" s="31"/>
      <c r="AM128" s="22">
        <f t="shared" si="7"/>
        <v>1</v>
      </c>
    </row>
    <row r="129" spans="1:39" x14ac:dyDescent="0.25">
      <c r="A129" s="20" t="s">
        <v>55</v>
      </c>
      <c r="B129" s="38"/>
      <c r="C129" s="20" t="s">
        <v>599</v>
      </c>
      <c r="D129" s="20" t="s">
        <v>21</v>
      </c>
      <c r="E129" s="20" t="s">
        <v>21</v>
      </c>
      <c r="F129" s="20" t="s">
        <v>58</v>
      </c>
      <c r="G129" s="39"/>
      <c r="H129" s="40"/>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t="s">
        <v>42</v>
      </c>
      <c r="AJ129" s="31"/>
      <c r="AK129" s="31"/>
      <c r="AL129" s="31"/>
      <c r="AM129" s="22">
        <f t="shared" si="7"/>
        <v>1</v>
      </c>
    </row>
    <row r="130" spans="1:39" x14ac:dyDescent="0.25">
      <c r="A130" s="20" t="s">
        <v>55</v>
      </c>
      <c r="B130" s="38"/>
      <c r="C130" s="20" t="s">
        <v>601</v>
      </c>
      <c r="D130" s="20" t="s">
        <v>21</v>
      </c>
      <c r="E130" s="20" t="s">
        <v>21</v>
      </c>
      <c r="F130" s="20" t="s">
        <v>58</v>
      </c>
      <c r="G130" s="39"/>
      <c r="H130" s="40"/>
      <c r="I130" s="31"/>
      <c r="J130" s="31"/>
      <c r="K130" s="31"/>
      <c r="L130" s="31"/>
      <c r="M130" s="31"/>
      <c r="O130" s="31"/>
      <c r="P130" s="31"/>
      <c r="U130" s="22"/>
      <c r="V130" s="22"/>
      <c r="W130" s="22"/>
      <c r="X130" s="31"/>
      <c r="Z130" s="22"/>
      <c r="AA130" s="22"/>
      <c r="AB130" s="31"/>
      <c r="AC130" s="31"/>
      <c r="AD130" s="31"/>
      <c r="AE130" s="31"/>
      <c r="AF130" s="31"/>
      <c r="AG130" s="31"/>
      <c r="AH130" s="31"/>
      <c r="AI130" s="31" t="s">
        <v>42</v>
      </c>
      <c r="AJ130" s="31"/>
      <c r="AK130" s="31"/>
      <c r="AL130" s="31"/>
      <c r="AM130" s="22">
        <f t="shared" si="7"/>
        <v>1</v>
      </c>
    </row>
    <row r="131" spans="1:39" x14ac:dyDescent="0.25">
      <c r="A131" s="20" t="s">
        <v>55</v>
      </c>
      <c r="B131" s="38"/>
      <c r="C131" s="20" t="s">
        <v>603</v>
      </c>
      <c r="D131" s="20" t="s">
        <v>21</v>
      </c>
      <c r="E131" s="20" t="s">
        <v>21</v>
      </c>
      <c r="F131" s="20" t="s">
        <v>58</v>
      </c>
      <c r="G131" s="39"/>
      <c r="H131" s="40"/>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t="s">
        <v>42</v>
      </c>
      <c r="AJ131" s="31"/>
      <c r="AK131" s="31"/>
      <c r="AL131" s="31"/>
      <c r="AM131" s="22">
        <f t="shared" si="7"/>
        <v>1</v>
      </c>
    </row>
    <row r="132" spans="1:39" x14ac:dyDescent="0.25">
      <c r="A132" s="20" t="s">
        <v>55</v>
      </c>
      <c r="B132" s="38"/>
      <c r="C132" s="20" t="s">
        <v>605</v>
      </c>
      <c r="D132" s="20" t="s">
        <v>21</v>
      </c>
      <c r="E132" s="20" t="s">
        <v>21</v>
      </c>
      <c r="F132" s="20" t="s">
        <v>58</v>
      </c>
      <c r="G132" s="39"/>
      <c r="H132" s="40"/>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t="s">
        <v>42</v>
      </c>
      <c r="AJ132" s="31"/>
      <c r="AK132" s="31"/>
      <c r="AL132" s="31"/>
      <c r="AM132" s="22">
        <f t="shared" si="7"/>
        <v>1</v>
      </c>
    </row>
    <row r="133" spans="1:39" x14ac:dyDescent="0.25">
      <c r="A133" s="20" t="s">
        <v>55</v>
      </c>
      <c r="B133" s="38"/>
      <c r="C133" s="20" t="s">
        <v>634</v>
      </c>
      <c r="D133" s="20" t="s">
        <v>21</v>
      </c>
      <c r="E133" s="20" t="s">
        <v>21</v>
      </c>
      <c r="F133" s="20" t="s">
        <v>58</v>
      </c>
      <c r="G133" s="39"/>
      <c r="H133" s="40"/>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t="s">
        <v>42</v>
      </c>
      <c r="AJ133" s="31"/>
      <c r="AK133" s="31"/>
      <c r="AL133" s="31"/>
      <c r="AM133" s="22">
        <f t="shared" si="7"/>
        <v>1</v>
      </c>
    </row>
    <row r="134" spans="1:39" x14ac:dyDescent="0.25">
      <c r="A134" s="20" t="s">
        <v>55</v>
      </c>
      <c r="B134" s="38"/>
      <c r="C134" s="20" t="s">
        <v>636</v>
      </c>
      <c r="D134" s="20" t="s">
        <v>21</v>
      </c>
      <c r="E134" s="20" t="s">
        <v>21</v>
      </c>
      <c r="F134" s="20" t="s">
        <v>58</v>
      </c>
      <c r="G134" s="39"/>
      <c r="H134" s="40"/>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t="s">
        <v>42</v>
      </c>
      <c r="AJ134" s="31"/>
      <c r="AK134" s="31"/>
      <c r="AL134" s="31"/>
      <c r="AM134" s="22">
        <f t="shared" si="7"/>
        <v>1</v>
      </c>
    </row>
    <row r="135" spans="1:39" x14ac:dyDescent="0.25">
      <c r="A135" s="20" t="s">
        <v>55</v>
      </c>
      <c r="B135" s="38"/>
      <c r="C135" s="20" t="s">
        <v>640</v>
      </c>
      <c r="D135" s="20" t="s">
        <v>21</v>
      </c>
      <c r="E135" s="20" t="s">
        <v>21</v>
      </c>
      <c r="F135" s="20" t="s">
        <v>58</v>
      </c>
      <c r="G135" s="39"/>
      <c r="H135" s="40"/>
      <c r="I135" s="31"/>
      <c r="J135" s="33"/>
      <c r="N135" s="31"/>
      <c r="P135" s="31"/>
      <c r="U135" s="22"/>
      <c r="V135" s="22"/>
      <c r="W135" s="31"/>
      <c r="X135" s="31"/>
      <c r="Y135" s="31"/>
      <c r="Z135" s="31"/>
      <c r="AB135" s="31"/>
      <c r="AC135" s="31"/>
      <c r="AD135" s="31"/>
      <c r="AE135" s="31"/>
      <c r="AF135" s="31"/>
      <c r="AG135" s="31"/>
      <c r="AH135" s="31"/>
      <c r="AI135" s="31" t="s">
        <v>42</v>
      </c>
      <c r="AK135" s="31"/>
      <c r="AM135" s="22">
        <f t="shared" si="7"/>
        <v>1</v>
      </c>
    </row>
    <row r="136" spans="1:39" x14ac:dyDescent="0.25">
      <c r="A136" s="20" t="s">
        <v>55</v>
      </c>
      <c r="B136" s="38"/>
      <c r="C136" s="20" t="s">
        <v>642</v>
      </c>
      <c r="D136" s="20" t="s">
        <v>21</v>
      </c>
      <c r="E136" s="20" t="s">
        <v>21</v>
      </c>
      <c r="F136" s="20" t="s">
        <v>58</v>
      </c>
      <c r="G136" s="39"/>
      <c r="H136" s="40"/>
      <c r="I136" s="22"/>
      <c r="J136" s="33"/>
      <c r="M136" s="22"/>
      <c r="O136" s="22"/>
      <c r="Q136" s="22"/>
      <c r="R136" s="22"/>
      <c r="S136" s="22"/>
      <c r="T136" s="22"/>
      <c r="U136" s="22"/>
      <c r="V136" s="22"/>
      <c r="W136" s="22"/>
      <c r="X136" s="22"/>
      <c r="Y136" s="22"/>
      <c r="Z136" s="22"/>
      <c r="AA136" s="22"/>
      <c r="AC136" s="22"/>
      <c r="AD136" s="22"/>
      <c r="AE136" s="22"/>
      <c r="AF136" s="22"/>
      <c r="AG136" s="22"/>
      <c r="AH136" s="22"/>
      <c r="AI136" s="22" t="s">
        <v>42</v>
      </c>
      <c r="AM136" s="22">
        <f t="shared" si="7"/>
        <v>1</v>
      </c>
    </row>
    <row r="137" spans="1:39" x14ac:dyDescent="0.25">
      <c r="A137" s="20" t="s">
        <v>55</v>
      </c>
      <c r="B137" s="38"/>
      <c r="C137" s="20" t="s">
        <v>644</v>
      </c>
      <c r="D137" s="20" t="s">
        <v>21</v>
      </c>
      <c r="E137" s="20" t="s">
        <v>21</v>
      </c>
      <c r="F137" s="20" t="s">
        <v>58</v>
      </c>
      <c r="G137" s="39"/>
      <c r="H137" s="40"/>
      <c r="I137" s="22"/>
      <c r="L137" s="22"/>
      <c r="O137" s="22"/>
      <c r="P137" s="22"/>
      <c r="Q137" s="22"/>
      <c r="R137" s="22"/>
      <c r="S137" s="22"/>
      <c r="T137" s="22"/>
      <c r="U137" s="22"/>
      <c r="V137" s="22"/>
      <c r="W137" s="22"/>
      <c r="X137" s="22"/>
      <c r="Y137" s="22"/>
      <c r="Z137" s="22"/>
      <c r="AA137" s="22"/>
      <c r="AB137" s="22"/>
      <c r="AC137" s="22"/>
      <c r="AD137" s="22"/>
      <c r="AE137" s="22"/>
      <c r="AF137" s="22"/>
      <c r="AG137" s="22"/>
      <c r="AH137" s="22"/>
      <c r="AI137" s="22" t="s">
        <v>42</v>
      </c>
      <c r="AM137" s="22">
        <f t="shared" si="7"/>
        <v>1</v>
      </c>
    </row>
    <row r="138" spans="1:39" x14ac:dyDescent="0.25">
      <c r="A138" s="20" t="s">
        <v>55</v>
      </c>
      <c r="B138" s="38"/>
      <c r="C138" s="20" t="s">
        <v>700</v>
      </c>
      <c r="D138" s="20" t="s">
        <v>21</v>
      </c>
      <c r="E138" s="20" t="s">
        <v>21</v>
      </c>
      <c r="F138" s="20" t="s">
        <v>58</v>
      </c>
      <c r="G138" s="39"/>
      <c r="H138" s="40"/>
      <c r="I138" s="22"/>
      <c r="L138" s="22"/>
      <c r="M138" s="22"/>
      <c r="R138" s="22"/>
      <c r="S138" s="22"/>
      <c r="U138" s="22"/>
      <c r="V138" s="22"/>
      <c r="W138" s="22"/>
      <c r="X138" s="22"/>
      <c r="Y138" s="22"/>
      <c r="Z138" s="22"/>
      <c r="AA138" s="22"/>
      <c r="AB138" s="22"/>
      <c r="AC138" s="22"/>
      <c r="AD138" s="22"/>
      <c r="AE138" s="22"/>
      <c r="AF138" s="22"/>
      <c r="AG138" s="22"/>
      <c r="AH138" s="22"/>
      <c r="AI138" s="22" t="s">
        <v>42</v>
      </c>
      <c r="AM138" s="22">
        <f t="shared" si="7"/>
        <v>1</v>
      </c>
    </row>
    <row r="139" spans="1:39" x14ac:dyDescent="0.25">
      <c r="A139" s="20" t="s">
        <v>55</v>
      </c>
      <c r="B139" s="38"/>
      <c r="C139" s="20" t="s">
        <v>710</v>
      </c>
      <c r="D139" s="20" t="s">
        <v>21</v>
      </c>
      <c r="E139" s="20" t="s">
        <v>21</v>
      </c>
      <c r="F139" s="20" t="s">
        <v>58</v>
      </c>
      <c r="G139" s="39"/>
      <c r="H139" s="40"/>
      <c r="I139" s="22"/>
      <c r="L139" s="22"/>
      <c r="M139" s="22"/>
      <c r="O139" s="22"/>
      <c r="P139" s="22"/>
      <c r="Q139" s="22"/>
      <c r="R139" s="22"/>
      <c r="S139" s="22"/>
      <c r="T139" s="22"/>
      <c r="U139" s="22"/>
      <c r="V139" s="22"/>
      <c r="W139" s="22"/>
      <c r="X139" s="22"/>
      <c r="Y139" s="22"/>
      <c r="Z139" s="22"/>
      <c r="AA139" s="22"/>
      <c r="AB139" s="22"/>
      <c r="AC139" s="22"/>
      <c r="AD139" s="22"/>
      <c r="AE139" s="22"/>
      <c r="AF139" s="22"/>
      <c r="AG139" s="22"/>
      <c r="AH139" s="22"/>
      <c r="AI139" s="22" t="s">
        <v>42</v>
      </c>
      <c r="AM139" s="22">
        <f t="shared" si="7"/>
        <v>1</v>
      </c>
    </row>
    <row r="140" spans="1:39" x14ac:dyDescent="0.25">
      <c r="A140" s="20" t="s">
        <v>55</v>
      </c>
      <c r="B140" s="38"/>
      <c r="C140" s="20" t="s">
        <v>756</v>
      </c>
      <c r="D140" s="20" t="s">
        <v>21</v>
      </c>
      <c r="E140" s="20" t="s">
        <v>21</v>
      </c>
      <c r="F140" s="20" t="s">
        <v>58</v>
      </c>
      <c r="G140" s="39"/>
      <c r="H140" s="40"/>
      <c r="I140" s="22"/>
      <c r="L140" s="22"/>
      <c r="M140" s="22"/>
      <c r="O140" s="22"/>
      <c r="P140" s="22"/>
      <c r="Q140" s="22"/>
      <c r="R140" s="22"/>
      <c r="S140" s="22"/>
      <c r="T140" s="22"/>
      <c r="U140" s="22"/>
      <c r="V140" s="22"/>
      <c r="W140" s="22"/>
      <c r="X140" s="22"/>
      <c r="Y140" s="22"/>
      <c r="Z140" s="22"/>
      <c r="AA140" s="22"/>
      <c r="AB140" s="22"/>
      <c r="AC140" s="22"/>
      <c r="AD140" s="22"/>
      <c r="AE140" s="22"/>
      <c r="AF140" s="22"/>
      <c r="AG140" s="22"/>
      <c r="AH140" s="22"/>
      <c r="AI140" s="22" t="s">
        <v>42</v>
      </c>
      <c r="AM140" s="22">
        <f t="shared" si="7"/>
        <v>1</v>
      </c>
    </row>
    <row r="141" spans="1:39" x14ac:dyDescent="0.25">
      <c r="A141" s="20" t="s">
        <v>55</v>
      </c>
      <c r="B141" s="38"/>
      <c r="C141" s="20" t="s">
        <v>760</v>
      </c>
      <c r="D141" s="20" t="s">
        <v>21</v>
      </c>
      <c r="E141" s="20" t="s">
        <v>21</v>
      </c>
      <c r="F141" s="20" t="s">
        <v>58</v>
      </c>
      <c r="G141" s="39"/>
      <c r="H141" s="40"/>
      <c r="I141" s="22"/>
      <c r="J141" s="33"/>
      <c r="M141" s="22"/>
      <c r="O141" s="22"/>
      <c r="Q141" s="22"/>
      <c r="R141" s="22"/>
      <c r="S141" s="22"/>
      <c r="T141" s="22"/>
      <c r="U141" s="22"/>
      <c r="V141" s="22"/>
      <c r="W141" s="22"/>
      <c r="X141" s="22"/>
      <c r="Y141" s="22"/>
      <c r="Z141" s="22"/>
      <c r="AA141" s="22"/>
      <c r="AC141" s="22"/>
      <c r="AD141" s="22"/>
      <c r="AE141" s="22"/>
      <c r="AF141" s="22"/>
      <c r="AG141" s="22"/>
      <c r="AH141" s="22"/>
      <c r="AI141" s="22" t="s">
        <v>42</v>
      </c>
      <c r="AM141" s="22">
        <f t="shared" si="7"/>
        <v>1</v>
      </c>
    </row>
    <row r="142" spans="1:39" x14ac:dyDescent="0.25">
      <c r="A142" s="20" t="s">
        <v>55</v>
      </c>
      <c r="B142" s="38"/>
      <c r="C142" s="20" t="s">
        <v>769</v>
      </c>
      <c r="D142" s="20" t="s">
        <v>16</v>
      </c>
      <c r="E142" s="20" t="s">
        <v>16</v>
      </c>
      <c r="F142" s="20" t="s">
        <v>170</v>
      </c>
      <c r="G142" s="39"/>
      <c r="H142" s="40"/>
      <c r="I142" s="31"/>
      <c r="J142" s="31"/>
      <c r="K142" s="31"/>
      <c r="N142" s="31"/>
      <c r="Q142" s="31"/>
      <c r="R142" s="31"/>
      <c r="S142" s="31"/>
      <c r="T142" s="22"/>
      <c r="U142" s="31"/>
      <c r="V142" s="31"/>
      <c r="W142" s="31"/>
      <c r="X142" s="22"/>
      <c r="Y142" s="22"/>
      <c r="Z142" s="22"/>
      <c r="AA142" s="31"/>
      <c r="AB142" s="31"/>
      <c r="AC142" s="31"/>
      <c r="AD142" s="31"/>
      <c r="AE142" s="31"/>
      <c r="AF142" s="31"/>
      <c r="AG142" s="31"/>
      <c r="AH142" s="31"/>
      <c r="AI142" s="31" t="s">
        <v>36</v>
      </c>
      <c r="AJ142" s="31"/>
      <c r="AK142" s="31"/>
      <c r="AL142" s="31"/>
      <c r="AM142" s="22">
        <f t="shared" ref="AM142:AM205" si="8">COUNTA(I142:AL142)-COUNTIF(I142:AL142,"CT")</f>
        <v>1</v>
      </c>
    </row>
    <row r="143" spans="1:39" x14ac:dyDescent="0.25">
      <c r="A143" s="20" t="s">
        <v>55</v>
      </c>
      <c r="B143" s="38"/>
      <c r="C143" s="20" t="s">
        <v>771</v>
      </c>
      <c r="D143" s="20" t="s">
        <v>16</v>
      </c>
      <c r="E143" s="20" t="s">
        <v>16</v>
      </c>
      <c r="F143" s="20" t="s">
        <v>170</v>
      </c>
      <c r="G143" s="39"/>
      <c r="H143" s="40"/>
      <c r="I143" s="22"/>
      <c r="L143" s="22"/>
      <c r="M143" s="22"/>
      <c r="O143" s="22"/>
      <c r="P143" s="22"/>
      <c r="Q143" s="22"/>
      <c r="R143" s="22"/>
      <c r="S143" s="22"/>
      <c r="T143" s="22"/>
      <c r="U143" s="22"/>
      <c r="V143" s="22"/>
      <c r="W143" s="22"/>
      <c r="X143" s="22"/>
      <c r="Y143" s="22"/>
      <c r="Z143" s="22"/>
      <c r="AA143" s="22"/>
      <c r="AB143" s="22"/>
      <c r="AC143" s="22"/>
      <c r="AD143" s="22"/>
      <c r="AE143" s="22"/>
      <c r="AF143" s="22"/>
      <c r="AG143" s="22"/>
      <c r="AH143" s="22"/>
      <c r="AI143" s="22" t="s">
        <v>36</v>
      </c>
      <c r="AM143" s="22">
        <f t="shared" si="8"/>
        <v>1</v>
      </c>
    </row>
    <row r="144" spans="1:39" x14ac:dyDescent="0.25">
      <c r="A144" s="20" t="s">
        <v>55</v>
      </c>
      <c r="B144" s="38"/>
      <c r="C144" s="20" t="s">
        <v>781</v>
      </c>
      <c r="D144" s="20" t="s">
        <v>21</v>
      </c>
      <c r="E144" s="20" t="s">
        <v>21</v>
      </c>
      <c r="F144" s="20" t="s">
        <v>58</v>
      </c>
      <c r="G144" s="39"/>
      <c r="H144" s="40"/>
      <c r="I144" s="22"/>
      <c r="L144" s="22"/>
      <c r="O144" s="22"/>
      <c r="P144" s="22"/>
      <c r="R144" s="22"/>
      <c r="S144" s="22"/>
      <c r="T144" s="22"/>
      <c r="U144" s="22"/>
      <c r="V144" s="22"/>
      <c r="W144" s="22"/>
      <c r="X144" s="22"/>
      <c r="Y144" s="22"/>
      <c r="Z144" s="22"/>
      <c r="AA144" s="22"/>
      <c r="AB144" s="22"/>
      <c r="AC144" s="22"/>
      <c r="AD144" s="22"/>
      <c r="AE144" s="22"/>
      <c r="AF144" s="22"/>
      <c r="AG144" s="22"/>
      <c r="AH144" s="22"/>
      <c r="AI144" s="22" t="s">
        <v>42</v>
      </c>
      <c r="AM144" s="22">
        <f t="shared" si="8"/>
        <v>1</v>
      </c>
    </row>
    <row r="145" spans="1:39" x14ac:dyDescent="0.25">
      <c r="A145" s="20" t="s">
        <v>55</v>
      </c>
      <c r="B145" s="38"/>
      <c r="C145" s="20" t="s">
        <v>790</v>
      </c>
      <c r="D145" s="20" t="s">
        <v>21</v>
      </c>
      <c r="E145" s="20" t="s">
        <v>21</v>
      </c>
      <c r="F145" s="20" t="s">
        <v>58</v>
      </c>
      <c r="G145" s="39"/>
      <c r="H145" s="40"/>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t="s">
        <v>42</v>
      </c>
      <c r="AJ145" s="33"/>
      <c r="AK145" s="33"/>
      <c r="AL145" s="33"/>
      <c r="AM145" s="22">
        <f t="shared" si="8"/>
        <v>1</v>
      </c>
    </row>
    <row r="146" spans="1:39" x14ac:dyDescent="0.25">
      <c r="A146" s="20" t="s">
        <v>55</v>
      </c>
      <c r="B146" s="38"/>
      <c r="C146" s="20" t="s">
        <v>794</v>
      </c>
      <c r="D146" s="20" t="s">
        <v>21</v>
      </c>
      <c r="E146" s="20" t="s">
        <v>21</v>
      </c>
      <c r="F146" s="20" t="s">
        <v>58</v>
      </c>
      <c r="G146" s="39"/>
      <c r="H146" s="40"/>
      <c r="I146" s="22"/>
      <c r="L146" s="22"/>
      <c r="M146" s="22"/>
      <c r="O146" s="22"/>
      <c r="P146" s="22"/>
      <c r="Q146" s="22"/>
      <c r="R146" s="22"/>
      <c r="S146" s="22"/>
      <c r="T146" s="22"/>
      <c r="U146" s="22"/>
      <c r="V146" s="22"/>
      <c r="W146" s="22"/>
      <c r="X146" s="22"/>
      <c r="Y146" s="22"/>
      <c r="Z146" s="22"/>
      <c r="AA146" s="22"/>
      <c r="AB146" s="22"/>
      <c r="AC146" s="22"/>
      <c r="AD146" s="22"/>
      <c r="AE146" s="22"/>
      <c r="AF146" s="22"/>
      <c r="AG146" s="22"/>
      <c r="AH146" s="22"/>
      <c r="AI146" s="22" t="s">
        <v>42</v>
      </c>
      <c r="AM146" s="22">
        <f t="shared" si="8"/>
        <v>1</v>
      </c>
    </row>
    <row r="147" spans="1:39" x14ac:dyDescent="0.25">
      <c r="A147" s="20" t="s">
        <v>55</v>
      </c>
      <c r="B147" s="38"/>
      <c r="C147" s="20" t="s">
        <v>803</v>
      </c>
      <c r="D147" s="20" t="s">
        <v>21</v>
      </c>
      <c r="E147" s="20" t="s">
        <v>21</v>
      </c>
      <c r="F147" s="20" t="s">
        <v>58</v>
      </c>
      <c r="G147" s="39"/>
      <c r="H147" s="40"/>
      <c r="I147" s="22"/>
      <c r="L147" s="22"/>
      <c r="M147" s="22"/>
      <c r="O147" s="22"/>
      <c r="P147" s="22"/>
      <c r="Q147" s="22"/>
      <c r="R147" s="22"/>
      <c r="S147" s="22"/>
      <c r="T147" s="22"/>
      <c r="U147" s="22"/>
      <c r="V147" s="22"/>
      <c r="W147" s="22"/>
      <c r="X147" s="22"/>
      <c r="Y147" s="22"/>
      <c r="Z147" s="22"/>
      <c r="AA147" s="22"/>
      <c r="AB147" s="22"/>
      <c r="AC147" s="22"/>
      <c r="AD147" s="22"/>
      <c r="AE147" s="22"/>
      <c r="AF147" s="22"/>
      <c r="AG147" s="22"/>
      <c r="AH147" s="22"/>
      <c r="AI147" s="22" t="s">
        <v>42</v>
      </c>
      <c r="AM147" s="22">
        <f t="shared" si="8"/>
        <v>1</v>
      </c>
    </row>
    <row r="148" spans="1:39" x14ac:dyDescent="0.25">
      <c r="A148" s="20" t="s">
        <v>55</v>
      </c>
      <c r="B148" s="38"/>
      <c r="C148" s="20" t="s">
        <v>101</v>
      </c>
      <c r="D148" s="20" t="s">
        <v>21</v>
      </c>
      <c r="E148" s="20" t="s">
        <v>21</v>
      </c>
      <c r="F148" s="20" t="s">
        <v>58</v>
      </c>
      <c r="G148" s="39"/>
      <c r="H148" s="40"/>
      <c r="I148" s="22"/>
      <c r="L148" s="22"/>
      <c r="M148" s="22"/>
      <c r="O148" s="22"/>
      <c r="P148" s="22"/>
      <c r="Q148" s="22"/>
      <c r="R148" s="22"/>
      <c r="S148" s="22"/>
      <c r="T148" s="22"/>
      <c r="U148" s="22"/>
      <c r="V148" s="22"/>
      <c r="W148" s="22"/>
      <c r="X148" s="22"/>
      <c r="Y148" s="22"/>
      <c r="Z148" s="22"/>
      <c r="AA148" s="22"/>
      <c r="AB148" s="22"/>
      <c r="AC148" s="22"/>
      <c r="AD148" s="22"/>
      <c r="AE148" s="22"/>
      <c r="AF148" s="22"/>
      <c r="AG148" s="22"/>
      <c r="AH148" s="22"/>
      <c r="AI148" s="22" t="s">
        <v>42</v>
      </c>
      <c r="AM148" s="22">
        <f t="shared" si="8"/>
        <v>1</v>
      </c>
    </row>
    <row r="149" spans="1:39" x14ac:dyDescent="0.25">
      <c r="A149" s="20" t="s">
        <v>55</v>
      </c>
      <c r="B149" s="38"/>
      <c r="C149" s="20" t="s">
        <v>99</v>
      </c>
      <c r="D149" s="20" t="s">
        <v>21</v>
      </c>
      <c r="E149" s="20" t="s">
        <v>21</v>
      </c>
      <c r="F149" s="20" t="s">
        <v>58</v>
      </c>
      <c r="G149" s="39"/>
      <c r="H149" s="40"/>
      <c r="I149" s="22"/>
      <c r="J149" s="33"/>
      <c r="L149" s="22"/>
      <c r="M149" s="22"/>
      <c r="O149" s="22"/>
      <c r="R149" s="22"/>
      <c r="S149" s="22"/>
      <c r="T149" s="22"/>
      <c r="U149" s="22"/>
      <c r="V149" s="22"/>
      <c r="W149" s="22"/>
      <c r="X149" s="22"/>
      <c r="Y149" s="22"/>
      <c r="Z149" s="22"/>
      <c r="AA149" s="22"/>
      <c r="AB149" s="22"/>
      <c r="AD149" s="22"/>
      <c r="AE149" s="22"/>
      <c r="AF149" s="22"/>
      <c r="AG149" s="22"/>
      <c r="AH149" s="22"/>
      <c r="AI149" s="22" t="s">
        <v>42</v>
      </c>
      <c r="AM149" s="22">
        <f t="shared" si="8"/>
        <v>1</v>
      </c>
    </row>
    <row r="150" spans="1:39" x14ac:dyDescent="0.25">
      <c r="A150" s="20" t="s">
        <v>55</v>
      </c>
      <c r="B150" s="38"/>
      <c r="C150" s="20" t="s">
        <v>855</v>
      </c>
      <c r="D150" s="20" t="s">
        <v>21</v>
      </c>
      <c r="E150" s="20" t="s">
        <v>21</v>
      </c>
      <c r="F150" s="20" t="s">
        <v>58</v>
      </c>
      <c r="G150" s="39"/>
      <c r="H150" s="40"/>
      <c r="I150" s="22"/>
      <c r="J150" s="33"/>
      <c r="O150" s="22"/>
      <c r="P150" s="22"/>
      <c r="Q150" s="22"/>
      <c r="R150" s="22"/>
      <c r="T150" s="22"/>
      <c r="U150" s="22"/>
      <c r="V150" s="22"/>
      <c r="W150" s="22"/>
      <c r="X150" s="22"/>
      <c r="Y150" s="22"/>
      <c r="Z150" s="22"/>
      <c r="AB150" s="22"/>
      <c r="AC150" s="22"/>
      <c r="AD150" s="22"/>
      <c r="AG150" s="22"/>
      <c r="AH150" s="22"/>
      <c r="AI150" s="22" t="s">
        <v>42</v>
      </c>
      <c r="AM150" s="22">
        <f t="shared" si="8"/>
        <v>1</v>
      </c>
    </row>
    <row r="151" spans="1:39" x14ac:dyDescent="0.25">
      <c r="A151" s="20" t="s">
        <v>55</v>
      </c>
      <c r="B151" s="38"/>
      <c r="C151" s="20" t="s">
        <v>857</v>
      </c>
      <c r="D151" s="20" t="s">
        <v>21</v>
      </c>
      <c r="E151" s="20" t="s">
        <v>21</v>
      </c>
      <c r="F151" s="20" t="s">
        <v>58</v>
      </c>
      <c r="G151" s="39"/>
      <c r="H151" s="40"/>
      <c r="I151" s="22"/>
      <c r="L151" s="22"/>
      <c r="M151" s="22"/>
      <c r="O151" s="22"/>
      <c r="P151" s="22"/>
      <c r="Q151" s="22"/>
      <c r="R151" s="22"/>
      <c r="S151" s="22"/>
      <c r="T151" s="22"/>
      <c r="U151" s="22"/>
      <c r="V151" s="22"/>
      <c r="W151" s="22"/>
      <c r="X151" s="22"/>
      <c r="Y151" s="22"/>
      <c r="Z151" s="22"/>
      <c r="AA151" s="22"/>
      <c r="AB151" s="22"/>
      <c r="AC151" s="22"/>
      <c r="AD151" s="22"/>
      <c r="AE151" s="22"/>
      <c r="AF151" s="22"/>
      <c r="AG151" s="22"/>
      <c r="AH151" s="22"/>
      <c r="AI151" s="22" t="s">
        <v>42</v>
      </c>
      <c r="AM151" s="22">
        <f t="shared" si="8"/>
        <v>1</v>
      </c>
    </row>
    <row r="152" spans="1:39" x14ac:dyDescent="0.25">
      <c r="A152" s="20" t="s">
        <v>55</v>
      </c>
      <c r="B152" s="38"/>
      <c r="C152" s="20" t="s">
        <v>363</v>
      </c>
      <c r="D152" s="20" t="s">
        <v>8</v>
      </c>
      <c r="E152" s="20" t="s">
        <v>8</v>
      </c>
      <c r="F152" s="20" t="s">
        <v>58</v>
      </c>
      <c r="G152" s="39"/>
      <c r="H152" s="40"/>
      <c r="I152" s="22"/>
      <c r="L152" s="22"/>
      <c r="M152" s="22"/>
      <c r="O152" s="22"/>
      <c r="P152" s="22"/>
      <c r="Q152" s="22"/>
      <c r="R152" s="22"/>
      <c r="S152" s="22"/>
      <c r="T152" s="22"/>
      <c r="U152" s="22"/>
      <c r="V152" s="22"/>
      <c r="W152" s="22"/>
      <c r="X152" s="22"/>
      <c r="Y152" s="22"/>
      <c r="Z152" s="22"/>
      <c r="AA152" s="22"/>
      <c r="AB152" s="22"/>
      <c r="AC152" s="22"/>
      <c r="AD152" s="22"/>
      <c r="AE152" s="22"/>
      <c r="AF152" s="22"/>
      <c r="AG152" s="22"/>
      <c r="AH152" s="22"/>
      <c r="AI152" s="22" t="s">
        <v>42</v>
      </c>
      <c r="AM152" s="22">
        <f t="shared" si="8"/>
        <v>1</v>
      </c>
    </row>
    <row r="153" spans="1:39" x14ac:dyDescent="0.25">
      <c r="A153" s="20" t="s">
        <v>55</v>
      </c>
      <c r="B153" s="38"/>
      <c r="C153" s="20" t="s">
        <v>496</v>
      </c>
      <c r="D153" s="20" t="s">
        <v>21</v>
      </c>
      <c r="E153" s="20" t="s">
        <v>21</v>
      </c>
      <c r="F153" s="20" t="s">
        <v>58</v>
      </c>
      <c r="G153" s="39"/>
      <c r="H153" s="40"/>
      <c r="I153" s="22"/>
      <c r="L153" s="22"/>
      <c r="M153" s="22"/>
      <c r="O153" s="22"/>
      <c r="P153" s="22"/>
      <c r="Q153" s="22"/>
      <c r="R153" s="22"/>
      <c r="S153" s="22"/>
      <c r="T153" s="22"/>
      <c r="U153" s="22"/>
      <c r="V153" s="22"/>
      <c r="W153" s="22"/>
      <c r="X153" s="22"/>
      <c r="Y153" s="22"/>
      <c r="Z153" s="22"/>
      <c r="AA153" s="22"/>
      <c r="AB153" s="22"/>
      <c r="AC153" s="22"/>
      <c r="AD153" s="22"/>
      <c r="AE153" s="22"/>
      <c r="AF153" s="22"/>
      <c r="AG153" s="22"/>
      <c r="AH153" s="22"/>
      <c r="AI153" s="22" t="s">
        <v>42</v>
      </c>
      <c r="AM153" s="22">
        <f t="shared" si="8"/>
        <v>1</v>
      </c>
    </row>
    <row r="154" spans="1:39" x14ac:dyDescent="0.25">
      <c r="A154" s="20" t="s">
        <v>55</v>
      </c>
      <c r="B154" s="38"/>
      <c r="C154" s="20" t="s">
        <v>109</v>
      </c>
      <c r="D154" s="20" t="s">
        <v>21</v>
      </c>
      <c r="E154" s="20" t="s">
        <v>21</v>
      </c>
      <c r="F154" s="20" t="s">
        <v>58</v>
      </c>
      <c r="G154" s="39"/>
      <c r="H154" s="40"/>
      <c r="I154" s="22"/>
      <c r="L154" s="22"/>
      <c r="M154" s="22"/>
      <c r="O154" s="22"/>
      <c r="P154" s="22"/>
      <c r="Q154" s="22"/>
      <c r="R154" s="22"/>
      <c r="S154" s="22"/>
      <c r="T154" s="22"/>
      <c r="U154" s="22"/>
      <c r="V154" s="22"/>
      <c r="W154" s="22"/>
      <c r="X154" s="22"/>
      <c r="Y154" s="22"/>
      <c r="Z154" s="22"/>
      <c r="AA154" s="22"/>
      <c r="AB154" s="22"/>
      <c r="AC154" s="22"/>
      <c r="AD154" s="22"/>
      <c r="AE154" s="22"/>
      <c r="AF154" s="22"/>
      <c r="AG154" s="22"/>
      <c r="AH154" s="22"/>
      <c r="AI154" s="22" t="s">
        <v>42</v>
      </c>
      <c r="AM154" s="22">
        <f t="shared" si="8"/>
        <v>1</v>
      </c>
    </row>
    <row r="155" spans="1:39" x14ac:dyDescent="0.25">
      <c r="A155" s="20" t="s">
        <v>55</v>
      </c>
      <c r="B155" s="38"/>
      <c r="C155" s="20" t="s">
        <v>638</v>
      </c>
      <c r="D155" s="20" t="s">
        <v>21</v>
      </c>
      <c r="E155" s="20" t="s">
        <v>21</v>
      </c>
      <c r="F155" s="20" t="s">
        <v>58</v>
      </c>
      <c r="G155" s="39"/>
      <c r="H155" s="40"/>
      <c r="I155" s="22"/>
      <c r="L155" s="22"/>
      <c r="M155" s="22"/>
      <c r="O155" s="22"/>
      <c r="P155" s="22"/>
      <c r="Q155" s="22"/>
      <c r="R155" s="22"/>
      <c r="S155" s="22"/>
      <c r="T155" s="22"/>
      <c r="U155" s="22"/>
      <c r="V155" s="22"/>
      <c r="W155" s="22"/>
      <c r="X155" s="22"/>
      <c r="Y155" s="22"/>
      <c r="Z155" s="22"/>
      <c r="AA155" s="22"/>
      <c r="AB155" s="22"/>
      <c r="AC155" s="22"/>
      <c r="AD155" s="22"/>
      <c r="AE155" s="22"/>
      <c r="AF155" s="22"/>
      <c r="AG155" s="22"/>
      <c r="AH155" s="22"/>
      <c r="AI155" s="22" t="s">
        <v>42</v>
      </c>
      <c r="AM155" s="22">
        <f t="shared" si="8"/>
        <v>1</v>
      </c>
    </row>
    <row r="156" spans="1:39" x14ac:dyDescent="0.25">
      <c r="A156" s="20" t="s">
        <v>55</v>
      </c>
      <c r="B156" s="38"/>
      <c r="C156" s="20" t="s">
        <v>1063</v>
      </c>
      <c r="D156" s="20" t="s">
        <v>21</v>
      </c>
      <c r="E156" s="20" t="s">
        <v>21</v>
      </c>
      <c r="F156" s="20" t="s">
        <v>58</v>
      </c>
      <c r="G156" s="39"/>
      <c r="H156" s="40"/>
      <c r="I156" s="22"/>
      <c r="O156" s="22"/>
      <c r="P156" s="22"/>
      <c r="Q156" s="22"/>
      <c r="R156" s="22"/>
      <c r="S156" s="22"/>
      <c r="T156" s="22"/>
      <c r="U156" s="22"/>
      <c r="V156" s="22"/>
      <c r="W156" s="22"/>
      <c r="X156" s="22"/>
      <c r="Y156" s="22"/>
      <c r="Z156" s="22"/>
      <c r="AA156" s="22"/>
      <c r="AB156" s="22"/>
      <c r="AC156" s="22"/>
      <c r="AD156" s="22"/>
      <c r="AE156" s="22"/>
      <c r="AF156" s="22"/>
      <c r="AG156" s="22"/>
      <c r="AH156" s="22"/>
      <c r="AI156" s="22" t="s">
        <v>42</v>
      </c>
      <c r="AM156" s="22">
        <f t="shared" si="8"/>
        <v>1</v>
      </c>
    </row>
    <row r="157" spans="1:39" x14ac:dyDescent="0.25">
      <c r="A157" s="20" t="s">
        <v>55</v>
      </c>
      <c r="B157" s="38"/>
      <c r="C157" s="20" t="s">
        <v>965</v>
      </c>
      <c r="D157" s="20" t="s">
        <v>21</v>
      </c>
      <c r="E157" s="20" t="s">
        <v>21</v>
      </c>
      <c r="F157" s="20" t="s">
        <v>58</v>
      </c>
      <c r="G157" s="39"/>
      <c r="H157" s="40"/>
      <c r="I157" s="22"/>
      <c r="L157" s="22"/>
      <c r="M157" s="22"/>
      <c r="O157" s="22"/>
      <c r="P157" s="22"/>
      <c r="Q157" s="22"/>
      <c r="R157" s="22"/>
      <c r="S157" s="22"/>
      <c r="T157" s="22"/>
      <c r="U157" s="22"/>
      <c r="V157" s="22"/>
      <c r="W157" s="22"/>
      <c r="X157" s="22"/>
      <c r="Y157" s="22"/>
      <c r="Z157" s="22"/>
      <c r="AA157" s="22"/>
      <c r="AB157" s="22"/>
      <c r="AC157" s="22"/>
      <c r="AD157" s="22"/>
      <c r="AE157" s="22"/>
      <c r="AF157" s="22"/>
      <c r="AG157" s="22"/>
      <c r="AH157" s="22"/>
      <c r="AI157" s="22" t="s">
        <v>42</v>
      </c>
      <c r="AM157" s="22">
        <f t="shared" si="8"/>
        <v>1</v>
      </c>
    </row>
    <row r="158" spans="1:39" x14ac:dyDescent="0.25">
      <c r="A158" s="20" t="s">
        <v>55</v>
      </c>
      <c r="B158" s="38"/>
      <c r="C158" s="20" t="s">
        <v>967</v>
      </c>
      <c r="D158" s="20" t="s">
        <v>21</v>
      </c>
      <c r="E158" s="20" t="s">
        <v>21</v>
      </c>
      <c r="F158" s="20" t="s">
        <v>58</v>
      </c>
      <c r="G158" s="39"/>
      <c r="H158" s="40"/>
      <c r="I158" s="22"/>
      <c r="L158" s="22"/>
      <c r="M158" s="22"/>
      <c r="O158" s="22"/>
      <c r="R158" s="22"/>
      <c r="S158" s="22"/>
      <c r="T158" s="22"/>
      <c r="U158" s="22"/>
      <c r="V158" s="22"/>
      <c r="W158" s="22"/>
      <c r="X158" s="22"/>
      <c r="Y158" s="22"/>
      <c r="Z158" s="22"/>
      <c r="AA158" s="22"/>
      <c r="AB158" s="22"/>
      <c r="AC158" s="22"/>
      <c r="AD158" s="22"/>
      <c r="AE158" s="22"/>
      <c r="AF158" s="22"/>
      <c r="AG158" s="22"/>
      <c r="AH158" s="22"/>
      <c r="AI158" s="22" t="s">
        <v>42</v>
      </c>
      <c r="AM158" s="22">
        <f t="shared" si="8"/>
        <v>1</v>
      </c>
    </row>
    <row r="159" spans="1:39" x14ac:dyDescent="0.25">
      <c r="A159" s="20" t="s">
        <v>55</v>
      </c>
      <c r="B159" s="38"/>
      <c r="C159" s="20" t="s">
        <v>976</v>
      </c>
      <c r="D159" s="20" t="s">
        <v>21</v>
      </c>
      <c r="E159" s="20" t="s">
        <v>21</v>
      </c>
      <c r="F159" s="20" t="s">
        <v>58</v>
      </c>
      <c r="G159" s="39"/>
      <c r="H159" s="40"/>
      <c r="I159" s="22"/>
      <c r="L159" s="22"/>
      <c r="M159" s="22"/>
      <c r="O159" s="22"/>
      <c r="P159" s="22"/>
      <c r="Q159" s="22"/>
      <c r="R159" s="22"/>
      <c r="S159" s="22"/>
      <c r="T159" s="22"/>
      <c r="U159" s="22"/>
      <c r="V159" s="22"/>
      <c r="W159" s="22"/>
      <c r="X159" s="22"/>
      <c r="Y159" s="22"/>
      <c r="Z159" s="22"/>
      <c r="AA159" s="22"/>
      <c r="AB159" s="22"/>
      <c r="AC159" s="22"/>
      <c r="AD159" s="22"/>
      <c r="AE159" s="22"/>
      <c r="AF159" s="22"/>
      <c r="AG159" s="22"/>
      <c r="AH159" s="22"/>
      <c r="AI159" s="22" t="s">
        <v>42</v>
      </c>
      <c r="AM159" s="22">
        <f t="shared" si="8"/>
        <v>1</v>
      </c>
    </row>
    <row r="160" spans="1:39" x14ac:dyDescent="0.25">
      <c r="A160" s="20" t="s">
        <v>55</v>
      </c>
      <c r="B160" s="38"/>
      <c r="C160" s="20" t="s">
        <v>977</v>
      </c>
      <c r="D160" s="20" t="s">
        <v>21</v>
      </c>
      <c r="E160" s="20" t="s">
        <v>21</v>
      </c>
      <c r="F160" s="20" t="s">
        <v>58</v>
      </c>
      <c r="G160" s="39"/>
      <c r="H160" s="40"/>
      <c r="I160" s="22"/>
      <c r="J160" s="33"/>
      <c r="L160" s="22"/>
      <c r="M160" s="22"/>
      <c r="O160" s="22"/>
      <c r="P160" s="22"/>
      <c r="Q160" s="22"/>
      <c r="R160" s="22"/>
      <c r="S160" s="22"/>
      <c r="T160" s="22"/>
      <c r="U160" s="22"/>
      <c r="V160" s="22"/>
      <c r="W160" s="22"/>
      <c r="X160" s="22"/>
      <c r="Y160" s="22"/>
      <c r="Z160" s="22"/>
      <c r="AA160" s="22"/>
      <c r="AB160" s="22"/>
      <c r="AC160" s="22"/>
      <c r="AD160" s="22"/>
      <c r="AE160" s="22"/>
      <c r="AF160" s="22"/>
      <c r="AG160" s="22"/>
      <c r="AH160" s="22"/>
      <c r="AI160" s="22" t="s">
        <v>42</v>
      </c>
      <c r="AM160" s="22">
        <f t="shared" si="8"/>
        <v>1</v>
      </c>
    </row>
    <row r="161" spans="1:39" x14ac:dyDescent="0.25">
      <c r="A161" s="20" t="s">
        <v>55</v>
      </c>
      <c r="B161" s="38"/>
      <c r="C161" s="20"/>
      <c r="D161" s="20"/>
      <c r="E161" s="20"/>
      <c r="F161" s="20" t="s">
        <v>1013</v>
      </c>
      <c r="G161" s="39"/>
      <c r="H161" s="40"/>
      <c r="I161" s="22"/>
      <c r="L161" s="22"/>
      <c r="M161" s="22"/>
      <c r="O161" s="22"/>
      <c r="P161" s="22"/>
      <c r="Q161" s="22"/>
      <c r="R161" s="22"/>
      <c r="S161" s="22"/>
      <c r="U161" s="22"/>
      <c r="V161" s="22"/>
      <c r="W161" s="22"/>
      <c r="X161" s="22"/>
      <c r="Y161" s="22"/>
      <c r="Z161" s="22"/>
      <c r="AA161" s="22"/>
      <c r="AB161" s="22"/>
      <c r="AC161" s="22"/>
      <c r="AD161" s="22"/>
      <c r="AE161" s="22"/>
      <c r="AF161" s="22"/>
      <c r="AG161" s="22"/>
      <c r="AH161" s="22"/>
      <c r="AM161" s="22">
        <f t="shared" si="8"/>
        <v>0</v>
      </c>
    </row>
    <row r="162" spans="1:39" x14ac:dyDescent="0.25">
      <c r="A162" s="20" t="s">
        <v>55</v>
      </c>
      <c r="B162" s="38"/>
      <c r="C162" s="20"/>
      <c r="D162" s="20"/>
      <c r="E162" s="20"/>
      <c r="F162" s="20" t="s">
        <v>1013</v>
      </c>
      <c r="G162" s="39"/>
      <c r="H162" s="40"/>
      <c r="I162" s="22"/>
      <c r="L162" s="22"/>
      <c r="M162" s="22"/>
      <c r="O162" s="22"/>
      <c r="R162" s="22"/>
      <c r="S162" s="22"/>
      <c r="T162" s="22"/>
      <c r="U162" s="22"/>
      <c r="V162" s="22"/>
      <c r="W162" s="22"/>
      <c r="X162" s="22"/>
      <c r="Y162" s="22"/>
      <c r="Z162" s="22"/>
      <c r="AA162" s="22"/>
      <c r="AB162" s="22"/>
      <c r="AC162" s="22"/>
      <c r="AD162" s="22"/>
      <c r="AE162" s="22"/>
      <c r="AF162" s="22"/>
      <c r="AG162" s="22"/>
      <c r="AH162" s="22"/>
      <c r="AM162" s="22">
        <f t="shared" si="8"/>
        <v>0</v>
      </c>
    </row>
    <row r="163" spans="1:39" x14ac:dyDescent="0.25">
      <c r="A163" s="20" t="s">
        <v>55</v>
      </c>
      <c r="B163" s="38"/>
      <c r="C163" s="20"/>
      <c r="D163" s="20"/>
      <c r="E163" s="20"/>
      <c r="F163" s="20" t="s">
        <v>1013</v>
      </c>
      <c r="G163" s="39"/>
      <c r="H163" s="40"/>
      <c r="I163" s="22"/>
      <c r="L163" s="22"/>
      <c r="O163" s="22"/>
      <c r="P163" s="22"/>
      <c r="Q163" s="22"/>
      <c r="R163" s="22"/>
      <c r="T163" s="22"/>
      <c r="U163" s="22"/>
      <c r="V163" s="22"/>
      <c r="W163" s="22"/>
      <c r="X163" s="22"/>
      <c r="Y163" s="22"/>
      <c r="Z163" s="22"/>
      <c r="AA163" s="22"/>
      <c r="AB163" s="22"/>
      <c r="AC163" s="22"/>
      <c r="AD163" s="22"/>
      <c r="AE163" s="22"/>
      <c r="AF163" s="22"/>
      <c r="AG163" s="22"/>
      <c r="AH163" s="22"/>
      <c r="AM163" s="22">
        <f t="shared" si="8"/>
        <v>0</v>
      </c>
    </row>
    <row r="164" spans="1:39" x14ac:dyDescent="0.25">
      <c r="A164" s="20" t="s">
        <v>55</v>
      </c>
      <c r="B164" s="38"/>
      <c r="C164" s="20"/>
      <c r="D164" s="20"/>
      <c r="E164" s="20"/>
      <c r="F164" s="20" t="s">
        <v>1013</v>
      </c>
      <c r="G164" s="39"/>
      <c r="H164" s="40"/>
      <c r="I164" s="22"/>
      <c r="L164" s="22"/>
      <c r="M164" s="22"/>
      <c r="O164" s="22"/>
      <c r="P164" s="22"/>
      <c r="Q164" s="22"/>
      <c r="R164" s="22"/>
      <c r="S164" s="22"/>
      <c r="T164" s="22"/>
      <c r="U164" s="22"/>
      <c r="V164" s="22"/>
      <c r="W164" s="22"/>
      <c r="X164" s="22"/>
      <c r="Y164" s="22"/>
      <c r="Z164" s="22"/>
      <c r="AA164" s="22"/>
      <c r="AB164" s="22"/>
      <c r="AC164" s="22"/>
      <c r="AD164" s="22"/>
      <c r="AE164" s="22"/>
      <c r="AF164" s="22"/>
      <c r="AG164" s="22"/>
      <c r="AH164" s="22"/>
      <c r="AM164" s="22">
        <f t="shared" si="8"/>
        <v>0</v>
      </c>
    </row>
    <row r="165" spans="1:39" x14ac:dyDescent="0.25">
      <c r="A165" s="20" t="s">
        <v>55</v>
      </c>
      <c r="B165" s="38"/>
      <c r="C165" s="20"/>
      <c r="D165" s="20"/>
      <c r="E165" s="20"/>
      <c r="F165" s="20" t="s">
        <v>1013</v>
      </c>
      <c r="G165" s="39"/>
      <c r="H165" s="40"/>
      <c r="I165" s="22"/>
      <c r="L165" s="22"/>
      <c r="M165" s="22"/>
      <c r="O165" s="22"/>
      <c r="P165" s="22"/>
      <c r="R165" s="22"/>
      <c r="S165" s="22"/>
      <c r="T165" s="22"/>
      <c r="U165" s="22"/>
      <c r="V165" s="22"/>
      <c r="W165" s="22"/>
      <c r="X165" s="22"/>
      <c r="Y165" s="22"/>
      <c r="Z165" s="22"/>
      <c r="AA165" s="22"/>
      <c r="AB165" s="22"/>
      <c r="AC165" s="22"/>
      <c r="AD165" s="22"/>
      <c r="AE165" s="22"/>
      <c r="AF165" s="22"/>
      <c r="AG165" s="22"/>
      <c r="AH165" s="22"/>
      <c r="AM165" s="22">
        <f t="shared" si="8"/>
        <v>0</v>
      </c>
    </row>
    <row r="166" spans="1:39" x14ac:dyDescent="0.25">
      <c r="A166" s="20" t="s">
        <v>55</v>
      </c>
      <c r="B166" s="38"/>
      <c r="C166" s="20"/>
      <c r="D166" s="20"/>
      <c r="E166" s="20"/>
      <c r="F166" s="20" t="s">
        <v>1013</v>
      </c>
      <c r="G166" s="39"/>
      <c r="H166" s="40"/>
      <c r="I166" s="22"/>
      <c r="L166" s="22"/>
      <c r="O166" s="22"/>
      <c r="P166" s="22"/>
      <c r="Q166" s="22"/>
      <c r="R166" s="22"/>
      <c r="S166" s="22"/>
      <c r="T166" s="22"/>
      <c r="U166" s="22"/>
      <c r="V166" s="22"/>
      <c r="W166" s="22"/>
      <c r="X166" s="22"/>
      <c r="Y166" s="22"/>
      <c r="Z166" s="22"/>
      <c r="AA166" s="22"/>
      <c r="AB166" s="22"/>
      <c r="AC166" s="22"/>
      <c r="AD166" s="22"/>
      <c r="AE166" s="22"/>
      <c r="AF166" s="22"/>
      <c r="AG166" s="22"/>
      <c r="AH166" s="22"/>
      <c r="AM166" s="22">
        <f t="shared" si="8"/>
        <v>0</v>
      </c>
    </row>
    <row r="167" spans="1:39" x14ac:dyDescent="0.25">
      <c r="A167" s="20" t="s">
        <v>55</v>
      </c>
      <c r="B167" s="38"/>
      <c r="C167" s="20"/>
      <c r="D167" s="20"/>
      <c r="E167" s="20"/>
      <c r="F167" s="20" t="s">
        <v>1013</v>
      </c>
      <c r="G167" s="39"/>
      <c r="H167" s="40"/>
      <c r="I167" s="31"/>
      <c r="J167" s="31"/>
      <c r="K167" s="31"/>
      <c r="L167" s="31"/>
      <c r="M167" s="31"/>
      <c r="N167" s="31"/>
      <c r="O167" s="31"/>
      <c r="P167" s="31"/>
      <c r="Q167" s="31"/>
      <c r="R167" s="31"/>
      <c r="S167" s="31"/>
      <c r="T167" s="31"/>
      <c r="U167" s="31"/>
      <c r="V167" s="22"/>
      <c r="W167" s="31"/>
      <c r="X167" s="31"/>
      <c r="Y167" s="31"/>
      <c r="Z167" s="31"/>
      <c r="AA167" s="31"/>
      <c r="AB167" s="31"/>
      <c r="AC167" s="31"/>
      <c r="AD167" s="31"/>
      <c r="AE167" s="31"/>
      <c r="AF167" s="31"/>
      <c r="AG167" s="31"/>
      <c r="AH167" s="31"/>
      <c r="AI167" s="31"/>
      <c r="AJ167" s="31"/>
      <c r="AK167" s="31"/>
      <c r="AL167" s="31"/>
      <c r="AM167" s="22">
        <f t="shared" si="8"/>
        <v>0</v>
      </c>
    </row>
    <row r="168" spans="1:39" x14ac:dyDescent="0.25">
      <c r="A168" s="20" t="s">
        <v>55</v>
      </c>
      <c r="B168" s="38"/>
      <c r="C168" s="20"/>
      <c r="D168" s="20"/>
      <c r="E168" s="20"/>
      <c r="F168" s="20" t="s">
        <v>1013</v>
      </c>
      <c r="G168" s="39"/>
      <c r="H168" s="40"/>
      <c r="I168" s="22"/>
      <c r="L168" s="22"/>
      <c r="M168" s="22"/>
      <c r="O168" s="22"/>
      <c r="P168" s="22"/>
      <c r="Q168" s="22"/>
      <c r="R168" s="22"/>
      <c r="S168" s="22"/>
      <c r="T168" s="22"/>
      <c r="U168" s="22"/>
      <c r="V168" s="22"/>
      <c r="W168" s="22"/>
      <c r="X168" s="22"/>
      <c r="Y168" s="22"/>
      <c r="Z168" s="22"/>
      <c r="AA168" s="22"/>
      <c r="AB168" s="22"/>
      <c r="AC168" s="22"/>
      <c r="AD168" s="22"/>
      <c r="AE168" s="22"/>
      <c r="AF168" s="22"/>
      <c r="AG168" s="22"/>
      <c r="AH168" s="22"/>
      <c r="AM168" s="22">
        <f t="shared" si="8"/>
        <v>0</v>
      </c>
    </row>
    <row r="169" spans="1:39" x14ac:dyDescent="0.25">
      <c r="A169" s="20" t="s">
        <v>55</v>
      </c>
      <c r="B169" s="38"/>
      <c r="C169" s="20"/>
      <c r="D169" s="20"/>
      <c r="E169" s="20"/>
      <c r="F169" s="20" t="s">
        <v>1013</v>
      </c>
      <c r="G169" s="39"/>
      <c r="H169" s="40"/>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22">
        <f t="shared" si="8"/>
        <v>0</v>
      </c>
    </row>
    <row r="170" spans="1:39" x14ac:dyDescent="0.25">
      <c r="A170" s="20" t="s">
        <v>55</v>
      </c>
      <c r="B170" s="38"/>
      <c r="C170" s="20"/>
      <c r="D170" s="20"/>
      <c r="E170" s="20"/>
      <c r="F170" s="20" t="s">
        <v>1013</v>
      </c>
      <c r="G170" s="39"/>
      <c r="H170" s="40"/>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22">
        <f t="shared" si="8"/>
        <v>0</v>
      </c>
    </row>
    <row r="171" spans="1:39" x14ac:dyDescent="0.25">
      <c r="A171" s="20" t="s">
        <v>55</v>
      </c>
      <c r="B171" s="38"/>
      <c r="C171" s="20"/>
      <c r="D171" s="20"/>
      <c r="E171" s="20"/>
      <c r="F171" s="20" t="s">
        <v>1013</v>
      </c>
      <c r="G171" s="39"/>
      <c r="H171" s="40"/>
      <c r="I171" s="33"/>
      <c r="J171" s="33"/>
      <c r="K171" s="33"/>
      <c r="L171" s="33"/>
      <c r="M171" s="33"/>
      <c r="O171" s="33"/>
      <c r="P171" s="33"/>
      <c r="Q171" s="33"/>
      <c r="R171" s="33"/>
      <c r="S171" s="33"/>
      <c r="T171" s="33"/>
      <c r="U171" s="22"/>
      <c r="V171" s="33"/>
      <c r="W171" s="33"/>
      <c r="X171" s="33"/>
      <c r="Y171" s="33"/>
      <c r="Z171" s="33"/>
      <c r="AA171" s="33"/>
      <c r="AB171" s="33"/>
      <c r="AC171" s="33"/>
      <c r="AD171" s="33"/>
      <c r="AE171" s="33"/>
      <c r="AF171" s="33"/>
      <c r="AG171" s="33"/>
      <c r="AH171" s="33"/>
      <c r="AI171" s="33"/>
      <c r="AJ171" s="33"/>
      <c r="AK171" s="33"/>
      <c r="AL171" s="33"/>
      <c r="AM171" s="22">
        <f t="shared" si="8"/>
        <v>0</v>
      </c>
    </row>
    <row r="172" spans="1:39" x14ac:dyDescent="0.25">
      <c r="A172" s="20" t="s">
        <v>55</v>
      </c>
      <c r="B172" s="38"/>
      <c r="C172" s="20"/>
      <c r="D172" s="20"/>
      <c r="E172" s="20"/>
      <c r="F172" s="20" t="s">
        <v>1013</v>
      </c>
      <c r="G172" s="39"/>
      <c r="H172" s="40"/>
      <c r="I172" s="22"/>
      <c r="M172" s="22"/>
      <c r="O172" s="33"/>
      <c r="P172" s="33"/>
      <c r="Q172" s="33"/>
      <c r="R172" s="33"/>
      <c r="S172" s="33"/>
      <c r="T172" s="22"/>
      <c r="U172" s="22"/>
      <c r="V172" s="22"/>
      <c r="W172" s="33"/>
      <c r="X172" s="33"/>
      <c r="Y172" s="33"/>
      <c r="Z172" s="33"/>
      <c r="AA172" s="22"/>
      <c r="AB172" s="22"/>
      <c r="AC172" s="33"/>
      <c r="AD172" s="33"/>
      <c r="AE172" s="33"/>
      <c r="AF172" s="33"/>
      <c r="AG172" s="22"/>
      <c r="AH172" s="33"/>
      <c r="AK172" s="33"/>
      <c r="AM172" s="22">
        <f t="shared" si="8"/>
        <v>0</v>
      </c>
    </row>
    <row r="173" spans="1:39" x14ac:dyDescent="0.25">
      <c r="A173" s="20" t="s">
        <v>55</v>
      </c>
      <c r="B173" s="38"/>
      <c r="C173" s="20"/>
      <c r="D173" s="20"/>
      <c r="E173" s="20"/>
      <c r="F173" s="20" t="s">
        <v>1013</v>
      </c>
      <c r="G173" s="39"/>
      <c r="H173" s="40"/>
      <c r="I173" s="22"/>
      <c r="L173" s="22"/>
      <c r="M173" s="22"/>
      <c r="O173" s="22"/>
      <c r="P173" s="22"/>
      <c r="Q173" s="22"/>
      <c r="R173" s="22"/>
      <c r="S173" s="22"/>
      <c r="T173" s="22"/>
      <c r="U173" s="22"/>
      <c r="V173" s="22"/>
      <c r="W173" s="22"/>
      <c r="X173" s="22"/>
      <c r="Y173" s="22"/>
      <c r="Z173" s="22"/>
      <c r="AA173" s="22"/>
      <c r="AB173" s="22"/>
      <c r="AC173" s="22"/>
      <c r="AD173" s="22"/>
      <c r="AE173" s="22"/>
      <c r="AF173" s="22"/>
      <c r="AG173" s="22"/>
      <c r="AH173" s="22"/>
      <c r="AM173" s="22">
        <f t="shared" si="8"/>
        <v>0</v>
      </c>
    </row>
    <row r="174" spans="1:39" x14ac:dyDescent="0.25">
      <c r="A174" s="20" t="s">
        <v>55</v>
      </c>
      <c r="B174" s="38"/>
      <c r="C174" s="20"/>
      <c r="D174" s="20"/>
      <c r="E174" s="20"/>
      <c r="F174" s="20" t="s">
        <v>1013</v>
      </c>
      <c r="G174" s="39"/>
      <c r="H174" s="40"/>
      <c r="I174" s="22"/>
      <c r="J174" s="33"/>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M174" s="22">
        <f t="shared" si="8"/>
        <v>0</v>
      </c>
    </row>
    <row r="175" spans="1:39" x14ac:dyDescent="0.25">
      <c r="A175" s="20" t="s">
        <v>55</v>
      </c>
      <c r="B175" s="38"/>
      <c r="C175" s="20"/>
      <c r="D175" s="20"/>
      <c r="E175" s="20"/>
      <c r="F175" s="20" t="s">
        <v>1013</v>
      </c>
      <c r="G175" s="39"/>
      <c r="H175" s="40"/>
      <c r="I175" s="22"/>
      <c r="L175" s="22"/>
      <c r="M175" s="22"/>
      <c r="O175" s="22"/>
      <c r="P175" s="22"/>
      <c r="Q175" s="31"/>
      <c r="R175" s="22"/>
      <c r="S175" s="31"/>
      <c r="T175" s="22"/>
      <c r="U175" s="22"/>
      <c r="V175" s="22"/>
      <c r="W175" s="31"/>
      <c r="X175" s="22"/>
      <c r="Y175" s="22"/>
      <c r="Z175" s="22"/>
      <c r="AA175" s="22"/>
      <c r="AB175" s="22"/>
      <c r="AC175" s="22"/>
      <c r="AD175" s="22"/>
      <c r="AE175" s="22"/>
      <c r="AF175" s="22"/>
      <c r="AH175" s="22"/>
      <c r="AM175" s="22">
        <f t="shared" si="8"/>
        <v>0</v>
      </c>
    </row>
    <row r="176" spans="1:39" x14ac:dyDescent="0.25">
      <c r="A176" s="20" t="s">
        <v>55</v>
      </c>
      <c r="B176" s="38"/>
      <c r="C176" s="20"/>
      <c r="D176" s="20"/>
      <c r="E176" s="20"/>
      <c r="F176" s="20" t="s">
        <v>1013</v>
      </c>
      <c r="G176" s="39"/>
      <c r="H176" s="40"/>
      <c r="I176" s="31"/>
      <c r="M176" s="31"/>
      <c r="Q176" s="31"/>
      <c r="R176" s="31"/>
      <c r="S176" s="31"/>
      <c r="T176" s="31"/>
      <c r="U176" s="22"/>
      <c r="V176" s="22"/>
      <c r="W176" s="31"/>
      <c r="X176" s="31"/>
      <c r="Y176" s="31"/>
      <c r="Z176" s="31"/>
      <c r="AA176" s="31"/>
      <c r="AB176" s="22"/>
      <c r="AC176" s="22"/>
      <c r="AD176" s="31"/>
      <c r="AE176" s="31"/>
      <c r="AF176" s="22"/>
      <c r="AG176" s="31"/>
      <c r="AH176" s="31"/>
      <c r="AK176" s="31"/>
      <c r="AM176" s="22">
        <f t="shared" si="8"/>
        <v>0</v>
      </c>
    </row>
    <row r="177" spans="1:39" x14ac:dyDescent="0.25">
      <c r="A177" s="20" t="s">
        <v>55</v>
      </c>
      <c r="B177" s="38"/>
      <c r="C177" s="20"/>
      <c r="D177" s="20"/>
      <c r="E177" s="20"/>
      <c r="F177" s="20" t="s">
        <v>1013</v>
      </c>
      <c r="G177" s="39"/>
      <c r="H177" s="40"/>
      <c r="I177" s="22"/>
      <c r="L177" s="22"/>
      <c r="M177" s="22"/>
      <c r="O177" s="22"/>
      <c r="P177" s="22"/>
      <c r="Q177" s="22"/>
      <c r="R177" s="22"/>
      <c r="S177" s="22"/>
      <c r="T177" s="22"/>
      <c r="U177" s="22"/>
      <c r="V177" s="22"/>
      <c r="W177" s="22"/>
      <c r="X177" s="22"/>
      <c r="Y177" s="22"/>
      <c r="Z177" s="22"/>
      <c r="AA177" s="22"/>
      <c r="AB177" s="22"/>
      <c r="AC177" s="22"/>
      <c r="AD177" s="22"/>
      <c r="AE177" s="22"/>
      <c r="AF177" s="22"/>
      <c r="AG177" s="22"/>
      <c r="AH177" s="22"/>
      <c r="AM177" s="22">
        <f t="shared" si="8"/>
        <v>0</v>
      </c>
    </row>
    <row r="178" spans="1:39" x14ac:dyDescent="0.25">
      <c r="A178" s="20" t="s">
        <v>55</v>
      </c>
      <c r="B178" s="38"/>
      <c r="C178" s="20"/>
      <c r="D178" s="20"/>
      <c r="E178" s="20"/>
      <c r="F178" s="20" t="s">
        <v>1013</v>
      </c>
      <c r="G178" s="39"/>
      <c r="H178" s="40"/>
      <c r="I178" s="33"/>
      <c r="J178" s="33"/>
      <c r="K178" s="33"/>
      <c r="L178" s="33"/>
      <c r="M178" s="33"/>
      <c r="N178" s="33"/>
      <c r="O178" s="33"/>
      <c r="P178" s="33"/>
      <c r="Q178" s="33"/>
      <c r="R178" s="33"/>
      <c r="S178" s="33"/>
      <c r="T178" s="33"/>
      <c r="U178" s="33"/>
      <c r="V178" s="33"/>
      <c r="W178" s="22"/>
      <c r="X178" s="33"/>
      <c r="Y178" s="33"/>
      <c r="Z178" s="33"/>
      <c r="AA178" s="33"/>
      <c r="AB178" s="33"/>
      <c r="AC178" s="33"/>
      <c r="AD178" s="33"/>
      <c r="AE178" s="33"/>
      <c r="AF178" s="33"/>
      <c r="AG178" s="33"/>
      <c r="AH178" s="33"/>
      <c r="AI178" s="33"/>
      <c r="AJ178" s="33"/>
      <c r="AK178" s="33"/>
      <c r="AL178" s="33"/>
      <c r="AM178" s="22">
        <f t="shared" si="8"/>
        <v>0</v>
      </c>
    </row>
    <row r="179" spans="1:39" x14ac:dyDescent="0.25">
      <c r="A179" s="20" t="s">
        <v>55</v>
      </c>
      <c r="B179" s="38"/>
      <c r="C179" s="20"/>
      <c r="D179" s="20"/>
      <c r="E179" s="20"/>
      <c r="F179" s="20" t="s">
        <v>1013</v>
      </c>
      <c r="G179" s="39"/>
      <c r="H179" s="40"/>
      <c r="I179" s="22"/>
      <c r="O179" s="22"/>
      <c r="P179" s="22"/>
      <c r="Q179" s="22"/>
      <c r="R179" s="22"/>
      <c r="S179" s="22"/>
      <c r="T179" s="22"/>
      <c r="U179" s="22"/>
      <c r="V179" s="22"/>
      <c r="W179" s="22"/>
      <c r="X179" s="22"/>
      <c r="Y179" s="22"/>
      <c r="Z179" s="22"/>
      <c r="AA179" s="22"/>
      <c r="AB179" s="22"/>
      <c r="AC179" s="22"/>
      <c r="AD179" s="22"/>
      <c r="AE179" s="22"/>
      <c r="AF179" s="22"/>
      <c r="AG179" s="22"/>
      <c r="AH179" s="22"/>
      <c r="AM179" s="22">
        <f t="shared" si="8"/>
        <v>0</v>
      </c>
    </row>
    <row r="180" spans="1:39" x14ac:dyDescent="0.25">
      <c r="A180" s="20" t="s">
        <v>55</v>
      </c>
      <c r="B180" s="38"/>
      <c r="C180" s="20"/>
      <c r="D180" s="20"/>
      <c r="E180" s="20"/>
      <c r="F180" s="20" t="s">
        <v>1013</v>
      </c>
      <c r="G180" s="39"/>
      <c r="H180" s="40"/>
      <c r="I180" s="22"/>
      <c r="L180" s="22"/>
      <c r="M180" s="22"/>
      <c r="O180" s="22"/>
      <c r="P180" s="22"/>
      <c r="Q180" s="22"/>
      <c r="R180" s="22"/>
      <c r="S180" s="22"/>
      <c r="T180" s="22"/>
      <c r="U180" s="22"/>
      <c r="V180" s="22"/>
      <c r="W180" s="22"/>
      <c r="X180" s="22"/>
      <c r="Y180" s="22"/>
      <c r="Z180" s="22"/>
      <c r="AA180" s="22"/>
      <c r="AB180" s="22"/>
      <c r="AC180" s="22"/>
      <c r="AD180" s="22"/>
      <c r="AE180" s="22"/>
      <c r="AF180" s="22"/>
      <c r="AG180" s="22"/>
      <c r="AH180" s="22"/>
      <c r="AM180" s="22">
        <f t="shared" si="8"/>
        <v>0</v>
      </c>
    </row>
    <row r="181" spans="1:39" x14ac:dyDescent="0.25">
      <c r="A181" s="20" t="s">
        <v>55</v>
      </c>
      <c r="B181" s="38"/>
      <c r="C181" s="20"/>
      <c r="D181" s="20"/>
      <c r="E181" s="20"/>
      <c r="F181" s="20" t="s">
        <v>1013</v>
      </c>
      <c r="G181" s="39"/>
      <c r="H181" s="40"/>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K181" s="33"/>
      <c r="AL181" s="33"/>
      <c r="AM181" s="22">
        <f t="shared" si="8"/>
        <v>0</v>
      </c>
    </row>
    <row r="182" spans="1:39" x14ac:dyDescent="0.25">
      <c r="A182" s="20" t="s">
        <v>55</v>
      </c>
      <c r="B182" s="38"/>
      <c r="C182" s="20"/>
      <c r="D182" s="20"/>
      <c r="E182" s="20"/>
      <c r="F182" s="20" t="s">
        <v>1013</v>
      </c>
      <c r="G182" s="39"/>
      <c r="H182" s="40"/>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22">
        <f t="shared" si="8"/>
        <v>0</v>
      </c>
    </row>
    <row r="183" spans="1:39" x14ac:dyDescent="0.25">
      <c r="A183" s="20" t="s">
        <v>55</v>
      </c>
      <c r="B183" s="38"/>
      <c r="C183" s="20"/>
      <c r="D183" s="20"/>
      <c r="E183" s="20"/>
      <c r="F183" s="20" t="s">
        <v>1013</v>
      </c>
      <c r="G183" s="39"/>
      <c r="H183" s="40"/>
      <c r="I183" s="22"/>
      <c r="L183" s="22"/>
      <c r="M183" s="22"/>
      <c r="O183" s="22"/>
      <c r="P183" s="22"/>
      <c r="Q183" s="22"/>
      <c r="R183" s="22"/>
      <c r="S183" s="22"/>
      <c r="T183" s="22"/>
      <c r="U183" s="22"/>
      <c r="V183" s="22"/>
      <c r="W183" s="22"/>
      <c r="X183" s="22"/>
      <c r="Y183" s="22"/>
      <c r="Z183" s="22"/>
      <c r="AA183" s="22"/>
      <c r="AB183" s="22"/>
      <c r="AC183" s="22"/>
      <c r="AD183" s="22"/>
      <c r="AE183" s="22"/>
      <c r="AF183" s="22"/>
      <c r="AG183" s="22"/>
      <c r="AH183" s="22"/>
      <c r="AM183" s="22">
        <f t="shared" si="8"/>
        <v>0</v>
      </c>
    </row>
    <row r="184" spans="1:39" x14ac:dyDescent="0.25">
      <c r="A184" s="20" t="s">
        <v>55</v>
      </c>
      <c r="B184" s="38"/>
      <c r="C184" s="20"/>
      <c r="D184" s="20"/>
      <c r="E184" s="20"/>
      <c r="F184" s="20" t="s">
        <v>1013</v>
      </c>
      <c r="G184" s="39"/>
      <c r="H184" s="40"/>
      <c r="I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M184" s="22">
        <f t="shared" si="8"/>
        <v>0</v>
      </c>
    </row>
    <row r="185" spans="1:39" x14ac:dyDescent="0.25">
      <c r="A185" s="20" t="s">
        <v>55</v>
      </c>
      <c r="B185" s="38"/>
      <c r="C185" s="20"/>
      <c r="D185" s="20"/>
      <c r="E185" s="20"/>
      <c r="F185" s="20" t="s">
        <v>1013</v>
      </c>
      <c r="G185" s="39"/>
      <c r="H185" s="40"/>
      <c r="I185" s="22"/>
      <c r="L185" s="22"/>
      <c r="M185" s="22"/>
      <c r="O185" s="22"/>
      <c r="P185" s="22"/>
      <c r="Q185" s="22"/>
      <c r="R185" s="22"/>
      <c r="S185" s="22"/>
      <c r="T185" s="22"/>
      <c r="U185" s="22"/>
      <c r="V185" s="22"/>
      <c r="W185" s="22"/>
      <c r="X185" s="22"/>
      <c r="Y185" s="22"/>
      <c r="Z185" s="22"/>
      <c r="AA185" s="22"/>
      <c r="AB185" s="22"/>
      <c r="AC185" s="22"/>
      <c r="AD185" s="22"/>
      <c r="AE185" s="22"/>
      <c r="AF185" s="22"/>
      <c r="AG185" s="22"/>
      <c r="AH185" s="22"/>
      <c r="AM185" s="22">
        <f t="shared" si="8"/>
        <v>0</v>
      </c>
    </row>
    <row r="186" spans="1:39" x14ac:dyDescent="0.25">
      <c r="A186" s="20" t="s">
        <v>55</v>
      </c>
      <c r="B186" s="38"/>
      <c r="C186" s="20"/>
      <c r="D186" s="20"/>
      <c r="E186" s="20"/>
      <c r="F186" s="20" t="s">
        <v>1013</v>
      </c>
      <c r="G186" s="39"/>
      <c r="H186" s="40"/>
      <c r="I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M186" s="22">
        <f t="shared" si="8"/>
        <v>0</v>
      </c>
    </row>
    <row r="187" spans="1:39" x14ac:dyDescent="0.25">
      <c r="A187" s="20" t="s">
        <v>55</v>
      </c>
      <c r="B187" s="38"/>
      <c r="C187" s="20"/>
      <c r="D187" s="20"/>
      <c r="E187" s="20"/>
      <c r="F187" s="20" t="s">
        <v>1013</v>
      </c>
      <c r="G187" s="39"/>
      <c r="H187" s="40"/>
      <c r="I187" s="22"/>
      <c r="L187" s="22"/>
      <c r="M187" s="22"/>
      <c r="O187" s="22"/>
      <c r="Q187" s="22"/>
      <c r="R187" s="22"/>
      <c r="S187" s="22"/>
      <c r="T187" s="22"/>
      <c r="U187" s="22"/>
      <c r="V187" s="22"/>
      <c r="W187" s="22"/>
      <c r="X187" s="22"/>
      <c r="Y187" s="22"/>
      <c r="Z187" s="22"/>
      <c r="AA187" s="22"/>
      <c r="AB187" s="22"/>
      <c r="AC187" s="22"/>
      <c r="AD187" s="22"/>
      <c r="AE187" s="22"/>
      <c r="AF187" s="22"/>
      <c r="AG187" s="22"/>
      <c r="AH187" s="22"/>
      <c r="AM187" s="22">
        <f t="shared" si="8"/>
        <v>0</v>
      </c>
    </row>
    <row r="188" spans="1:39" x14ac:dyDescent="0.25">
      <c r="A188" s="20" t="s">
        <v>55</v>
      </c>
      <c r="B188" s="38"/>
      <c r="C188" s="20"/>
      <c r="D188" s="20"/>
      <c r="E188" s="20"/>
      <c r="F188" s="20" t="s">
        <v>1013</v>
      </c>
      <c r="G188" s="39"/>
      <c r="H188" s="40"/>
      <c r="I188" s="22"/>
      <c r="L188" s="22"/>
      <c r="M188" s="22"/>
      <c r="O188" s="22"/>
      <c r="P188" s="22"/>
      <c r="Q188" s="22"/>
      <c r="R188" s="22"/>
      <c r="S188" s="22"/>
      <c r="T188" s="22"/>
      <c r="U188" s="22"/>
      <c r="V188" s="22"/>
      <c r="W188" s="22"/>
      <c r="X188" s="22"/>
      <c r="Y188" s="22"/>
      <c r="Z188" s="22"/>
      <c r="AA188" s="22"/>
      <c r="AB188" s="22"/>
      <c r="AC188" s="22"/>
      <c r="AD188" s="22"/>
      <c r="AE188" s="22"/>
      <c r="AF188" s="22"/>
      <c r="AG188" s="22"/>
      <c r="AH188" s="22"/>
      <c r="AM188" s="22">
        <f t="shared" si="8"/>
        <v>0</v>
      </c>
    </row>
    <row r="189" spans="1:39" x14ac:dyDescent="0.25">
      <c r="A189" s="20" t="s">
        <v>55</v>
      </c>
      <c r="B189" s="38"/>
      <c r="C189" s="20"/>
      <c r="D189" s="20"/>
      <c r="E189" s="20"/>
      <c r="F189" s="20" t="s">
        <v>1013</v>
      </c>
      <c r="G189" s="39"/>
      <c r="H189" s="40"/>
      <c r="I189" s="22"/>
      <c r="L189" s="22"/>
      <c r="M189" s="22"/>
      <c r="O189" s="22"/>
      <c r="P189" s="22"/>
      <c r="Q189" s="22"/>
      <c r="R189" s="22"/>
      <c r="S189" s="22"/>
      <c r="T189" s="22"/>
      <c r="U189" s="22"/>
      <c r="V189" s="22"/>
      <c r="W189" s="22"/>
      <c r="X189" s="22"/>
      <c r="Y189" s="22"/>
      <c r="Z189" s="22"/>
      <c r="AA189" s="22"/>
      <c r="AB189" s="22"/>
      <c r="AC189" s="22"/>
      <c r="AD189" s="22"/>
      <c r="AE189" s="22"/>
      <c r="AF189" s="22"/>
      <c r="AG189" s="22"/>
      <c r="AH189" s="22"/>
      <c r="AM189" s="22">
        <f t="shared" si="8"/>
        <v>0</v>
      </c>
    </row>
    <row r="190" spans="1:39" x14ac:dyDescent="0.25">
      <c r="A190" s="20" t="s">
        <v>55</v>
      </c>
      <c r="B190" s="38"/>
      <c r="C190" s="20"/>
      <c r="D190" s="20"/>
      <c r="E190" s="20"/>
      <c r="F190" s="20" t="s">
        <v>1013</v>
      </c>
      <c r="G190" s="39"/>
      <c r="H190" s="40"/>
      <c r="I190" s="22"/>
      <c r="L190" s="22"/>
      <c r="M190" s="22"/>
      <c r="O190" s="22"/>
      <c r="P190" s="22"/>
      <c r="Q190" s="22"/>
      <c r="R190" s="22"/>
      <c r="S190" s="22"/>
      <c r="T190" s="22"/>
      <c r="U190" s="22"/>
      <c r="V190" s="22"/>
      <c r="W190" s="22"/>
      <c r="X190" s="22"/>
      <c r="Y190" s="22"/>
      <c r="Z190" s="22"/>
      <c r="AA190" s="22"/>
      <c r="AB190" s="22"/>
      <c r="AC190" s="22"/>
      <c r="AD190" s="22"/>
      <c r="AE190" s="22"/>
      <c r="AF190" s="22"/>
      <c r="AG190" s="22"/>
      <c r="AH190" s="22"/>
      <c r="AM190" s="22">
        <f t="shared" si="8"/>
        <v>0</v>
      </c>
    </row>
    <row r="191" spans="1:39" x14ac:dyDescent="0.25">
      <c r="A191" s="20" t="s">
        <v>55</v>
      </c>
      <c r="B191" s="38"/>
      <c r="C191" s="20"/>
      <c r="D191" s="20"/>
      <c r="E191" s="20"/>
      <c r="F191" s="20" t="s">
        <v>1013</v>
      </c>
      <c r="G191" s="39"/>
      <c r="H191" s="40"/>
      <c r="I191" s="22"/>
      <c r="L191" s="22"/>
      <c r="M191" s="22"/>
      <c r="O191" s="22"/>
      <c r="P191" s="22"/>
      <c r="Q191" s="22"/>
      <c r="R191" s="22"/>
      <c r="S191" s="22"/>
      <c r="T191" s="22"/>
      <c r="U191" s="22"/>
      <c r="V191" s="22"/>
      <c r="W191" s="22"/>
      <c r="X191" s="22"/>
      <c r="Y191" s="22"/>
      <c r="Z191" s="22"/>
      <c r="AA191" s="22"/>
      <c r="AB191" s="22"/>
      <c r="AC191" s="22"/>
      <c r="AD191" s="22"/>
      <c r="AE191" s="22"/>
      <c r="AF191" s="22"/>
      <c r="AG191" s="22"/>
      <c r="AH191" s="22"/>
      <c r="AM191" s="22">
        <f t="shared" si="8"/>
        <v>0</v>
      </c>
    </row>
    <row r="192" spans="1:39" x14ac:dyDescent="0.25">
      <c r="A192" s="20" t="s">
        <v>55</v>
      </c>
      <c r="B192" s="38"/>
      <c r="C192" s="20"/>
      <c r="D192" s="20"/>
      <c r="E192" s="20"/>
      <c r="F192" s="20" t="s">
        <v>1013</v>
      </c>
      <c r="G192" s="39"/>
      <c r="H192" s="40"/>
      <c r="I192" s="22"/>
      <c r="L192" s="22"/>
      <c r="M192" s="22"/>
      <c r="O192" s="22"/>
      <c r="P192" s="22"/>
      <c r="Q192" s="22"/>
      <c r="R192" s="22"/>
      <c r="S192" s="22"/>
      <c r="T192" s="22"/>
      <c r="U192" s="22"/>
      <c r="V192" s="22"/>
      <c r="W192" s="22"/>
      <c r="X192" s="22"/>
      <c r="Y192" s="22"/>
      <c r="Z192" s="22"/>
      <c r="AA192" s="22"/>
      <c r="AB192" s="22"/>
      <c r="AC192" s="22"/>
      <c r="AD192" s="22"/>
      <c r="AE192" s="22"/>
      <c r="AF192" s="22"/>
      <c r="AG192" s="22"/>
      <c r="AH192" s="22"/>
      <c r="AM192" s="22">
        <f t="shared" si="8"/>
        <v>0</v>
      </c>
    </row>
    <row r="193" spans="1:39" x14ac:dyDescent="0.25">
      <c r="A193" s="20" t="s">
        <v>55</v>
      </c>
      <c r="B193" s="38"/>
      <c r="C193" s="20"/>
      <c r="D193" s="20"/>
      <c r="E193" s="20"/>
      <c r="F193" s="20" t="s">
        <v>1013</v>
      </c>
      <c r="G193" s="39"/>
      <c r="H193" s="40"/>
      <c r="I193" s="22"/>
      <c r="L193" s="22"/>
      <c r="M193" s="22"/>
      <c r="O193" s="22"/>
      <c r="P193" s="22"/>
      <c r="Q193" s="22"/>
      <c r="R193" s="22"/>
      <c r="S193" s="22"/>
      <c r="T193" s="22"/>
      <c r="U193" s="22"/>
      <c r="V193" s="22"/>
      <c r="W193" s="22"/>
      <c r="X193" s="22"/>
      <c r="Y193" s="22"/>
      <c r="Z193" s="22"/>
      <c r="AA193" s="22"/>
      <c r="AB193" s="22"/>
      <c r="AC193" s="22"/>
      <c r="AD193" s="22"/>
      <c r="AE193" s="22"/>
      <c r="AF193" s="22"/>
      <c r="AG193" s="22"/>
      <c r="AH193" s="22"/>
      <c r="AM193" s="22">
        <f t="shared" si="8"/>
        <v>0</v>
      </c>
    </row>
    <row r="194" spans="1:39" x14ac:dyDescent="0.25">
      <c r="A194" s="20" t="s">
        <v>55</v>
      </c>
      <c r="B194" s="38"/>
      <c r="C194" s="20"/>
      <c r="D194" s="20"/>
      <c r="E194" s="20"/>
      <c r="F194" s="20" t="s">
        <v>1013</v>
      </c>
      <c r="G194" s="39"/>
      <c r="H194" s="40"/>
      <c r="I194" s="22"/>
      <c r="L194" s="22"/>
      <c r="M194" s="22"/>
      <c r="O194" s="22"/>
      <c r="P194" s="22"/>
      <c r="Q194" s="22"/>
      <c r="R194" s="22"/>
      <c r="S194" s="22"/>
      <c r="T194" s="22"/>
      <c r="U194" s="22"/>
      <c r="V194" s="22"/>
      <c r="W194" s="22"/>
      <c r="X194" s="22"/>
      <c r="Y194" s="22"/>
      <c r="Z194" s="22"/>
      <c r="AA194" s="22"/>
      <c r="AB194" s="22"/>
      <c r="AC194" s="22"/>
      <c r="AD194" s="22"/>
      <c r="AE194" s="22"/>
      <c r="AF194" s="22"/>
      <c r="AG194" s="22"/>
      <c r="AH194" s="22"/>
      <c r="AM194" s="22">
        <f t="shared" si="8"/>
        <v>0</v>
      </c>
    </row>
    <row r="195" spans="1:39" x14ac:dyDescent="0.25">
      <c r="A195" s="20" t="s">
        <v>55</v>
      </c>
      <c r="B195" s="38"/>
      <c r="C195" s="20"/>
      <c r="D195" s="20"/>
      <c r="E195" s="20"/>
      <c r="F195" s="20" t="s">
        <v>1013</v>
      </c>
      <c r="G195" s="39"/>
      <c r="H195" s="40"/>
      <c r="I195" s="22"/>
      <c r="L195" s="22"/>
      <c r="M195" s="22"/>
      <c r="O195" s="22"/>
      <c r="P195" s="22"/>
      <c r="Q195" s="22"/>
      <c r="R195" s="22"/>
      <c r="S195" s="22"/>
      <c r="T195" s="22"/>
      <c r="U195" s="22"/>
      <c r="V195" s="22"/>
      <c r="W195" s="22"/>
      <c r="X195" s="22"/>
      <c r="Y195" s="22"/>
      <c r="Z195" s="22"/>
      <c r="AA195" s="22"/>
      <c r="AB195" s="22"/>
      <c r="AD195" s="22"/>
      <c r="AE195" s="22"/>
      <c r="AF195" s="22"/>
      <c r="AG195" s="22"/>
      <c r="AH195" s="22"/>
      <c r="AM195" s="22">
        <f t="shared" si="8"/>
        <v>0</v>
      </c>
    </row>
    <row r="196" spans="1:39" x14ac:dyDescent="0.25">
      <c r="A196" s="20" t="s">
        <v>55</v>
      </c>
      <c r="B196" s="38"/>
      <c r="C196" s="20"/>
      <c r="D196" s="20"/>
      <c r="E196" s="20"/>
      <c r="F196" s="20" t="s">
        <v>1013</v>
      </c>
      <c r="G196" s="39"/>
      <c r="H196" s="40"/>
      <c r="I196" s="22"/>
      <c r="J196" s="33"/>
      <c r="L196" s="22"/>
      <c r="M196" s="22"/>
      <c r="N196" s="22"/>
      <c r="P196" s="22"/>
      <c r="Q196" s="22"/>
      <c r="R196" s="22"/>
      <c r="S196" s="22"/>
      <c r="T196" s="22"/>
      <c r="U196" s="22"/>
      <c r="V196" s="22"/>
      <c r="W196" s="22"/>
      <c r="X196" s="22"/>
      <c r="Y196" s="22"/>
      <c r="Z196" s="22"/>
      <c r="AA196" s="22"/>
      <c r="AB196" s="22"/>
      <c r="AC196" s="22"/>
      <c r="AD196" s="22"/>
      <c r="AE196" s="22"/>
      <c r="AF196" s="22"/>
      <c r="AG196" s="22"/>
      <c r="AH196" s="22"/>
      <c r="AM196" s="22">
        <f t="shared" si="8"/>
        <v>0</v>
      </c>
    </row>
    <row r="197" spans="1:39" x14ac:dyDescent="0.25">
      <c r="A197" s="20" t="s">
        <v>55</v>
      </c>
      <c r="B197" s="38"/>
      <c r="C197" s="20"/>
      <c r="D197" s="20"/>
      <c r="E197" s="20"/>
      <c r="F197" s="20" t="s">
        <v>1013</v>
      </c>
      <c r="G197" s="39"/>
      <c r="H197" s="40"/>
      <c r="I197" s="22"/>
      <c r="L197" s="22"/>
      <c r="M197" s="22"/>
      <c r="O197" s="22"/>
      <c r="P197" s="22"/>
      <c r="R197" s="22"/>
      <c r="S197" s="22"/>
      <c r="T197" s="22"/>
      <c r="U197" s="22"/>
      <c r="V197" s="22"/>
      <c r="W197" s="22"/>
      <c r="X197" s="22"/>
      <c r="Y197" s="22"/>
      <c r="Z197" s="22"/>
      <c r="AA197" s="22"/>
      <c r="AB197" s="22"/>
      <c r="AC197" s="22"/>
      <c r="AD197" s="22"/>
      <c r="AE197" s="22"/>
      <c r="AF197" s="22"/>
      <c r="AG197" s="22"/>
      <c r="AH197" s="22"/>
      <c r="AM197" s="22">
        <f t="shared" si="8"/>
        <v>0</v>
      </c>
    </row>
    <row r="198" spans="1:39" x14ac:dyDescent="0.25">
      <c r="A198" s="20" t="s">
        <v>55</v>
      </c>
      <c r="B198" s="38"/>
      <c r="C198" s="20"/>
      <c r="D198" s="20"/>
      <c r="E198" s="20"/>
      <c r="F198" s="20" t="s">
        <v>1013</v>
      </c>
      <c r="G198" s="39"/>
      <c r="H198" s="40"/>
      <c r="I198" s="31"/>
      <c r="R198" s="22"/>
      <c r="S198" s="22"/>
      <c r="T198" s="22"/>
      <c r="U198" s="22"/>
      <c r="V198" s="22"/>
      <c r="W198" s="22"/>
      <c r="X198" s="22"/>
      <c r="Z198" s="22"/>
      <c r="AA198" s="22"/>
      <c r="AB198" s="22"/>
      <c r="AC198" s="22"/>
      <c r="AD198" s="22"/>
      <c r="AE198" s="22"/>
      <c r="AF198" s="22"/>
      <c r="AG198" s="22"/>
      <c r="AH198" s="22"/>
      <c r="AM198" s="22">
        <f t="shared" si="8"/>
        <v>0</v>
      </c>
    </row>
    <row r="199" spans="1:39" x14ac:dyDescent="0.25">
      <c r="A199" s="20" t="s">
        <v>55</v>
      </c>
      <c r="B199" s="38"/>
      <c r="C199" s="20"/>
      <c r="D199" s="20"/>
      <c r="E199" s="20"/>
      <c r="F199" s="20" t="s">
        <v>1013</v>
      </c>
      <c r="G199" s="39"/>
      <c r="H199" s="40"/>
      <c r="I199" s="22"/>
      <c r="L199" s="22"/>
      <c r="M199" s="22"/>
      <c r="O199" s="22"/>
      <c r="P199" s="22"/>
      <c r="Q199" s="22"/>
      <c r="R199" s="22"/>
      <c r="S199" s="22"/>
      <c r="T199" s="22"/>
      <c r="U199" s="22"/>
      <c r="V199" s="22"/>
      <c r="W199" s="22"/>
      <c r="X199" s="22"/>
      <c r="Y199" s="22"/>
      <c r="Z199" s="22"/>
      <c r="AA199" s="22"/>
      <c r="AB199" s="22"/>
      <c r="AC199" s="22"/>
      <c r="AD199" s="22"/>
      <c r="AE199" s="22"/>
      <c r="AF199" s="22"/>
      <c r="AG199" s="22"/>
      <c r="AH199" s="22"/>
      <c r="AM199" s="22">
        <f t="shared" si="8"/>
        <v>0</v>
      </c>
    </row>
    <row r="200" spans="1:39" x14ac:dyDescent="0.25">
      <c r="A200" s="20" t="s">
        <v>55</v>
      </c>
      <c r="B200" s="38"/>
      <c r="C200" s="20"/>
      <c r="D200" s="20"/>
      <c r="E200" s="20"/>
      <c r="F200" s="20" t="s">
        <v>1013</v>
      </c>
      <c r="G200" s="39"/>
      <c r="H200" s="40"/>
      <c r="I200" s="22"/>
      <c r="L200" s="22"/>
      <c r="M200" s="22"/>
      <c r="O200" s="22"/>
      <c r="P200" s="22"/>
      <c r="Q200" s="22"/>
      <c r="R200" s="22"/>
      <c r="S200" s="22"/>
      <c r="T200" s="22"/>
      <c r="U200" s="22"/>
      <c r="V200" s="22"/>
      <c r="W200" s="22"/>
      <c r="X200" s="22"/>
      <c r="Y200" s="22"/>
      <c r="Z200" s="22"/>
      <c r="AA200" s="22"/>
      <c r="AB200" s="22"/>
      <c r="AC200" s="22"/>
      <c r="AD200" s="22"/>
      <c r="AE200" s="22"/>
      <c r="AF200" s="22"/>
      <c r="AG200" s="22"/>
      <c r="AH200" s="22"/>
      <c r="AM200" s="22">
        <f t="shared" si="8"/>
        <v>0</v>
      </c>
    </row>
    <row r="201" spans="1:39" x14ac:dyDescent="0.25">
      <c r="A201" s="20" t="s">
        <v>55</v>
      </c>
      <c r="B201" s="38"/>
      <c r="C201" s="20"/>
      <c r="D201" s="20"/>
      <c r="E201" s="20"/>
      <c r="F201" s="20" t="s">
        <v>1013</v>
      </c>
      <c r="G201" s="39"/>
      <c r="H201" s="40"/>
      <c r="I201" s="22"/>
      <c r="J201" s="33"/>
      <c r="L201" s="22"/>
      <c r="M201" s="22"/>
      <c r="O201" s="22"/>
      <c r="P201" s="22"/>
      <c r="R201" s="22"/>
      <c r="S201" s="22"/>
      <c r="T201" s="22"/>
      <c r="U201" s="22"/>
      <c r="V201" s="22"/>
      <c r="W201" s="22"/>
      <c r="X201" s="22"/>
      <c r="Y201" s="22"/>
      <c r="Z201" s="22"/>
      <c r="AA201" s="22"/>
      <c r="AB201" s="22"/>
      <c r="AC201" s="22"/>
      <c r="AD201" s="22"/>
      <c r="AE201" s="22"/>
      <c r="AF201" s="22"/>
      <c r="AG201" s="22"/>
      <c r="AH201" s="22"/>
      <c r="AM201" s="22">
        <f t="shared" si="8"/>
        <v>0</v>
      </c>
    </row>
    <row r="202" spans="1:39" x14ac:dyDescent="0.25">
      <c r="A202" s="20" t="s">
        <v>55</v>
      </c>
      <c r="B202" s="38"/>
      <c r="C202" s="20"/>
      <c r="D202" s="20"/>
      <c r="E202" s="20"/>
      <c r="F202" s="20" t="s">
        <v>1013</v>
      </c>
      <c r="G202" s="39"/>
      <c r="H202" s="40"/>
      <c r="I202" s="22"/>
      <c r="L202" s="22"/>
      <c r="M202" s="22"/>
      <c r="O202" s="22"/>
      <c r="P202" s="22"/>
      <c r="R202" s="22"/>
      <c r="T202" s="22"/>
      <c r="U202" s="22"/>
      <c r="V202" s="22"/>
      <c r="W202" s="22"/>
      <c r="X202" s="22"/>
      <c r="Y202" s="22"/>
      <c r="Z202" s="22"/>
      <c r="AA202" s="22"/>
      <c r="AB202" s="22"/>
      <c r="AC202" s="22"/>
      <c r="AD202" s="22"/>
      <c r="AE202" s="22"/>
      <c r="AF202" s="22"/>
      <c r="AG202" s="22"/>
      <c r="AH202" s="22"/>
      <c r="AM202" s="22">
        <f t="shared" si="8"/>
        <v>0</v>
      </c>
    </row>
    <row r="203" spans="1:39" x14ac:dyDescent="0.25">
      <c r="A203" s="20" t="s">
        <v>55</v>
      </c>
      <c r="B203" s="38"/>
      <c r="C203" s="20"/>
      <c r="D203" s="20"/>
      <c r="E203" s="20"/>
      <c r="F203" s="20" t="s">
        <v>1013</v>
      </c>
      <c r="G203" s="39"/>
      <c r="H203" s="40"/>
      <c r="I203" s="22"/>
      <c r="L203" s="22"/>
      <c r="M203" s="22"/>
      <c r="N203" s="22"/>
      <c r="O203" s="22"/>
      <c r="Q203" s="22"/>
      <c r="R203" s="22"/>
      <c r="S203" s="22"/>
      <c r="T203" s="22"/>
      <c r="U203" s="22"/>
      <c r="V203" s="22"/>
      <c r="W203" s="22"/>
      <c r="X203" s="22"/>
      <c r="Y203" s="22"/>
      <c r="Z203" s="22"/>
      <c r="AA203" s="22"/>
      <c r="AB203" s="22"/>
      <c r="AC203" s="22"/>
      <c r="AD203" s="22"/>
      <c r="AE203" s="22"/>
      <c r="AF203" s="22"/>
      <c r="AG203" s="22"/>
      <c r="AH203" s="22"/>
      <c r="AM203" s="22">
        <f t="shared" si="8"/>
        <v>0</v>
      </c>
    </row>
    <row r="204" spans="1:39" x14ac:dyDescent="0.25">
      <c r="A204" s="20" t="s">
        <v>55</v>
      </c>
      <c r="B204" s="38"/>
      <c r="C204" s="20"/>
      <c r="D204" s="20"/>
      <c r="E204" s="20"/>
      <c r="F204" s="20" t="s">
        <v>1013</v>
      </c>
      <c r="G204" s="39"/>
      <c r="H204" s="40"/>
      <c r="I204" s="22"/>
      <c r="J204" s="33"/>
      <c r="L204" s="22"/>
      <c r="M204" s="22"/>
      <c r="O204" s="22"/>
      <c r="P204" s="22"/>
      <c r="Q204" s="22"/>
      <c r="R204" s="22"/>
      <c r="S204" s="22"/>
      <c r="T204" s="22"/>
      <c r="U204" s="22"/>
      <c r="V204" s="22"/>
      <c r="W204" s="22"/>
      <c r="X204" s="22"/>
      <c r="Y204" s="22"/>
      <c r="Z204" s="22"/>
      <c r="AA204" s="22"/>
      <c r="AB204" s="22"/>
      <c r="AC204" s="22"/>
      <c r="AD204" s="22"/>
      <c r="AE204" s="22"/>
      <c r="AF204" s="22"/>
      <c r="AG204" s="22"/>
      <c r="AH204" s="22"/>
      <c r="AM204" s="22">
        <f t="shared" si="8"/>
        <v>0</v>
      </c>
    </row>
    <row r="205" spans="1:39" x14ac:dyDescent="0.25">
      <c r="A205" s="20" t="s">
        <v>55</v>
      </c>
      <c r="B205" s="38"/>
      <c r="C205" s="20"/>
      <c r="D205" s="20"/>
      <c r="E205" s="20"/>
      <c r="F205" s="20" t="s">
        <v>1013</v>
      </c>
      <c r="G205" s="39"/>
      <c r="H205" s="40"/>
      <c r="I205" s="22"/>
      <c r="L205" s="22"/>
      <c r="M205" s="22"/>
      <c r="O205" s="22"/>
      <c r="P205" s="22"/>
      <c r="Q205" s="22"/>
      <c r="R205" s="22"/>
      <c r="S205" s="22"/>
      <c r="T205" s="22"/>
      <c r="U205" s="22"/>
      <c r="V205" s="22"/>
      <c r="W205" s="22"/>
      <c r="X205" s="22"/>
      <c r="Y205" s="22"/>
      <c r="Z205" s="22"/>
      <c r="AA205" s="22"/>
      <c r="AB205" s="22"/>
      <c r="AC205" s="22"/>
      <c r="AD205" s="22"/>
      <c r="AE205" s="22"/>
      <c r="AF205" s="22"/>
      <c r="AG205" s="22"/>
      <c r="AH205" s="22"/>
      <c r="AM205" s="22">
        <f t="shared" si="8"/>
        <v>0</v>
      </c>
    </row>
    <row r="206" spans="1:39" x14ac:dyDescent="0.25">
      <c r="A206" s="20" t="s">
        <v>55</v>
      </c>
      <c r="B206" s="38"/>
      <c r="C206" s="20"/>
      <c r="D206" s="20"/>
      <c r="E206" s="20"/>
      <c r="F206" s="20" t="s">
        <v>1013</v>
      </c>
      <c r="G206" s="39"/>
      <c r="H206" s="40"/>
      <c r="I206" s="22"/>
      <c r="L206" s="22"/>
      <c r="M206" s="22"/>
      <c r="O206" s="22"/>
      <c r="P206" s="22"/>
      <c r="Q206" s="22"/>
      <c r="R206" s="22"/>
      <c r="S206" s="22"/>
      <c r="T206" s="22"/>
      <c r="U206" s="22"/>
      <c r="V206" s="22"/>
      <c r="W206" s="22"/>
      <c r="X206" s="22"/>
      <c r="Y206" s="22"/>
      <c r="Z206" s="22"/>
      <c r="AA206" s="22"/>
      <c r="AB206" s="22"/>
      <c r="AC206" s="22"/>
      <c r="AD206" s="22"/>
      <c r="AE206" s="22"/>
      <c r="AF206" s="22"/>
      <c r="AG206" s="22"/>
      <c r="AH206" s="22"/>
      <c r="AM206" s="22">
        <f t="shared" ref="AM206:AM269" si="9">COUNTA(I206:AL206)-COUNTIF(I206:AL206,"CT")</f>
        <v>0</v>
      </c>
    </row>
    <row r="207" spans="1:39" x14ac:dyDescent="0.25">
      <c r="A207" s="20" t="s">
        <v>55</v>
      </c>
      <c r="B207" s="38"/>
      <c r="C207" s="20"/>
      <c r="D207" s="20"/>
      <c r="E207" s="20"/>
      <c r="F207" s="20" t="s">
        <v>1013</v>
      </c>
      <c r="G207" s="39"/>
      <c r="H207" s="40"/>
      <c r="I207" s="22"/>
      <c r="L207" s="22"/>
      <c r="M207" s="22"/>
      <c r="O207" s="22"/>
      <c r="P207" s="22"/>
      <c r="Q207" s="22"/>
      <c r="R207" s="22"/>
      <c r="S207" s="22"/>
      <c r="T207" s="22"/>
      <c r="U207" s="22"/>
      <c r="V207" s="22"/>
      <c r="W207" s="22"/>
      <c r="X207" s="22"/>
      <c r="Y207" s="22"/>
      <c r="Z207" s="22"/>
      <c r="AA207" s="22"/>
      <c r="AB207" s="22"/>
      <c r="AC207" s="22"/>
      <c r="AD207" s="22"/>
      <c r="AE207" s="22"/>
      <c r="AF207" s="22"/>
      <c r="AG207" s="22"/>
      <c r="AH207" s="22"/>
      <c r="AM207" s="22">
        <f t="shared" si="9"/>
        <v>0</v>
      </c>
    </row>
    <row r="208" spans="1:39" x14ac:dyDescent="0.25">
      <c r="A208" s="20" t="s">
        <v>55</v>
      </c>
      <c r="B208" s="38"/>
      <c r="C208" s="20"/>
      <c r="D208" s="20"/>
      <c r="E208" s="20"/>
      <c r="F208" s="20" t="s">
        <v>1013</v>
      </c>
      <c r="G208" s="39"/>
      <c r="H208" s="40"/>
      <c r="I208" s="22"/>
      <c r="L208" s="22"/>
      <c r="M208" s="22"/>
      <c r="Q208" s="22"/>
      <c r="R208" s="22"/>
      <c r="S208" s="22"/>
      <c r="T208" s="22"/>
      <c r="U208" s="22"/>
      <c r="V208" s="22"/>
      <c r="W208" s="22"/>
      <c r="X208" s="22"/>
      <c r="Y208" s="22"/>
      <c r="Z208" s="22"/>
      <c r="AA208" s="22"/>
      <c r="AB208" s="22"/>
      <c r="AC208" s="22"/>
      <c r="AD208" s="22"/>
      <c r="AE208" s="22"/>
      <c r="AF208" s="22"/>
      <c r="AG208" s="22"/>
      <c r="AH208" s="22"/>
      <c r="AM208" s="22">
        <f t="shared" si="9"/>
        <v>0</v>
      </c>
    </row>
    <row r="209" spans="1:39" x14ac:dyDescent="0.25">
      <c r="A209" s="20" t="s">
        <v>55</v>
      </c>
      <c r="B209" s="38"/>
      <c r="C209" s="20"/>
      <c r="D209" s="20"/>
      <c r="E209" s="20"/>
      <c r="F209" s="20" t="s">
        <v>1013</v>
      </c>
      <c r="G209" s="39"/>
      <c r="H209" s="40"/>
      <c r="I209" s="22"/>
      <c r="L209" s="22"/>
      <c r="M209" s="22"/>
      <c r="O209" s="22"/>
      <c r="P209" s="22"/>
      <c r="Q209" s="22"/>
      <c r="R209" s="22"/>
      <c r="S209" s="22"/>
      <c r="T209" s="22"/>
      <c r="U209" s="22"/>
      <c r="V209" s="22"/>
      <c r="W209" s="22"/>
      <c r="X209" s="22"/>
      <c r="Y209" s="22"/>
      <c r="Z209" s="22"/>
      <c r="AA209" s="22"/>
      <c r="AB209" s="22"/>
      <c r="AC209" s="22"/>
      <c r="AD209" s="22"/>
      <c r="AE209" s="22"/>
      <c r="AF209" s="22"/>
      <c r="AG209" s="22"/>
      <c r="AH209" s="22"/>
      <c r="AM209" s="22">
        <f t="shared" si="9"/>
        <v>0</v>
      </c>
    </row>
    <row r="210" spans="1:39" x14ac:dyDescent="0.25">
      <c r="A210" s="20" t="s">
        <v>55</v>
      </c>
      <c r="B210" s="38"/>
      <c r="C210" s="20"/>
      <c r="D210" s="20"/>
      <c r="E210" s="20"/>
      <c r="F210" s="20" t="s">
        <v>1013</v>
      </c>
      <c r="G210" s="39"/>
      <c r="H210" s="40"/>
      <c r="I210" s="22"/>
      <c r="L210" s="22"/>
      <c r="M210" s="22"/>
      <c r="O210" s="22"/>
      <c r="P210" s="22"/>
      <c r="Q210" s="22"/>
      <c r="R210" s="22"/>
      <c r="S210" s="22"/>
      <c r="T210" s="22"/>
      <c r="U210" s="22"/>
      <c r="V210" s="22"/>
      <c r="W210" s="22"/>
      <c r="X210" s="22"/>
      <c r="Y210" s="22"/>
      <c r="Z210" s="22"/>
      <c r="AA210" s="22"/>
      <c r="AB210" s="22"/>
      <c r="AC210" s="22"/>
      <c r="AD210" s="22"/>
      <c r="AE210" s="22"/>
      <c r="AF210" s="22"/>
      <c r="AG210" s="22"/>
      <c r="AH210" s="22"/>
      <c r="AM210" s="22">
        <f t="shared" si="9"/>
        <v>0</v>
      </c>
    </row>
    <row r="211" spans="1:39" x14ac:dyDescent="0.25">
      <c r="A211" s="20" t="s">
        <v>55</v>
      </c>
      <c r="B211" s="38"/>
      <c r="C211" s="20"/>
      <c r="D211" s="20"/>
      <c r="E211" s="20"/>
      <c r="F211" s="20" t="s">
        <v>1013</v>
      </c>
      <c r="G211" s="39"/>
      <c r="H211" s="40"/>
      <c r="I211" s="33"/>
      <c r="J211" s="33"/>
      <c r="K211" s="33"/>
      <c r="L211" s="33"/>
      <c r="M211" s="33"/>
      <c r="N211" s="33"/>
      <c r="O211" s="33"/>
      <c r="P211" s="33"/>
      <c r="Q211" s="33"/>
      <c r="R211" s="33"/>
      <c r="S211" s="33"/>
      <c r="T211" s="33"/>
      <c r="U211" s="22"/>
      <c r="V211" s="33"/>
      <c r="W211" s="33"/>
      <c r="X211" s="33"/>
      <c r="Y211" s="33"/>
      <c r="Z211" s="33"/>
      <c r="AA211" s="33"/>
      <c r="AB211" s="33"/>
      <c r="AC211" s="33"/>
      <c r="AD211" s="33"/>
      <c r="AE211" s="33"/>
      <c r="AF211" s="33"/>
      <c r="AG211" s="33"/>
      <c r="AH211" s="33"/>
      <c r="AI211" s="33"/>
      <c r="AJ211" s="33"/>
      <c r="AK211" s="33"/>
      <c r="AL211" s="33"/>
      <c r="AM211" s="22">
        <f t="shared" si="9"/>
        <v>0</v>
      </c>
    </row>
    <row r="212" spans="1:39" x14ac:dyDescent="0.25">
      <c r="A212" s="20" t="s">
        <v>55</v>
      </c>
      <c r="B212" s="38"/>
      <c r="C212" s="20"/>
      <c r="D212" s="20"/>
      <c r="E212" s="20"/>
      <c r="F212" s="20" t="s">
        <v>1013</v>
      </c>
      <c r="G212" s="39"/>
      <c r="H212" s="40"/>
      <c r="I212" s="22"/>
      <c r="L212" s="22"/>
      <c r="P212" s="22"/>
      <c r="Q212" s="22"/>
      <c r="R212" s="22"/>
      <c r="S212" s="22"/>
      <c r="T212" s="22"/>
      <c r="U212" s="22"/>
      <c r="V212" s="22"/>
      <c r="W212" s="22"/>
      <c r="X212" s="22"/>
      <c r="Y212" s="22"/>
      <c r="Z212" s="22"/>
      <c r="AA212" s="22"/>
      <c r="AB212" s="22"/>
      <c r="AC212" s="22"/>
      <c r="AD212" s="22"/>
      <c r="AE212" s="22"/>
      <c r="AF212" s="22"/>
      <c r="AG212" s="22"/>
      <c r="AH212" s="22"/>
      <c r="AM212" s="22">
        <f t="shared" si="9"/>
        <v>0</v>
      </c>
    </row>
    <row r="213" spans="1:39" x14ac:dyDescent="0.25">
      <c r="A213" s="20" t="s">
        <v>55</v>
      </c>
      <c r="B213" s="38"/>
      <c r="C213" s="20"/>
      <c r="D213" s="20"/>
      <c r="E213" s="20"/>
      <c r="F213" s="20" t="s">
        <v>1013</v>
      </c>
      <c r="G213" s="39"/>
      <c r="H213" s="40"/>
      <c r="I213" s="22"/>
      <c r="L213" s="22"/>
      <c r="M213" s="22"/>
      <c r="O213" s="22"/>
      <c r="P213" s="22"/>
      <c r="Q213" s="22"/>
      <c r="R213" s="22"/>
      <c r="S213" s="22"/>
      <c r="T213" s="22"/>
      <c r="U213" s="22"/>
      <c r="V213" s="22"/>
      <c r="W213" s="22"/>
      <c r="X213" s="22"/>
      <c r="Y213" s="22"/>
      <c r="Z213" s="22"/>
      <c r="AA213" s="22"/>
      <c r="AB213" s="22"/>
      <c r="AC213" s="22"/>
      <c r="AD213" s="22"/>
      <c r="AE213" s="22"/>
      <c r="AF213" s="22"/>
      <c r="AG213" s="22"/>
      <c r="AH213" s="22"/>
      <c r="AM213" s="22">
        <f t="shared" si="9"/>
        <v>0</v>
      </c>
    </row>
    <row r="214" spans="1:39" x14ac:dyDescent="0.25">
      <c r="A214" s="20" t="s">
        <v>55</v>
      </c>
      <c r="B214" s="38"/>
      <c r="C214" s="20"/>
      <c r="D214" s="20"/>
      <c r="E214" s="20"/>
      <c r="F214" s="20" t="s">
        <v>1013</v>
      </c>
      <c r="G214" s="39"/>
      <c r="H214" s="40"/>
      <c r="I214" s="22"/>
      <c r="L214" s="22"/>
      <c r="M214" s="22"/>
      <c r="O214" s="22"/>
      <c r="P214" s="22"/>
      <c r="Q214" s="22"/>
      <c r="R214" s="22"/>
      <c r="S214" s="22"/>
      <c r="T214" s="22"/>
      <c r="U214" s="22"/>
      <c r="V214" s="22"/>
      <c r="W214" s="31"/>
      <c r="X214" s="31"/>
      <c r="Y214" s="31"/>
      <c r="Z214" s="31"/>
      <c r="AA214" s="22"/>
      <c r="AB214" s="22"/>
      <c r="AC214" s="22"/>
      <c r="AD214" s="22"/>
      <c r="AE214" s="22"/>
      <c r="AF214" s="22"/>
      <c r="AG214" s="22"/>
      <c r="AH214" s="22"/>
      <c r="AM214" s="22">
        <f t="shared" si="9"/>
        <v>0</v>
      </c>
    </row>
    <row r="215" spans="1:39" x14ac:dyDescent="0.25">
      <c r="A215" s="20" t="s">
        <v>55</v>
      </c>
      <c r="B215" s="38"/>
      <c r="C215" s="20"/>
      <c r="D215" s="20"/>
      <c r="E215" s="20"/>
      <c r="F215" s="20" t="s">
        <v>1013</v>
      </c>
      <c r="G215" s="39"/>
      <c r="H215" s="40"/>
      <c r="I215" s="22"/>
      <c r="L215" s="22"/>
      <c r="M215" s="22"/>
      <c r="O215" s="22"/>
      <c r="P215" s="22"/>
      <c r="Q215" s="22"/>
      <c r="R215" s="22"/>
      <c r="S215" s="22"/>
      <c r="T215" s="22"/>
      <c r="U215" s="22"/>
      <c r="V215" s="22"/>
      <c r="W215" s="22"/>
      <c r="X215" s="22"/>
      <c r="Y215" s="22"/>
      <c r="Z215" s="22"/>
      <c r="AA215" s="22"/>
      <c r="AB215" s="22"/>
      <c r="AC215" s="22"/>
      <c r="AD215" s="22"/>
      <c r="AE215" s="22"/>
      <c r="AF215" s="22"/>
      <c r="AG215" s="22"/>
      <c r="AH215" s="22"/>
      <c r="AM215" s="22">
        <f t="shared" si="9"/>
        <v>0</v>
      </c>
    </row>
    <row r="216" spans="1:39" x14ac:dyDescent="0.25">
      <c r="A216" s="20" t="s">
        <v>55</v>
      </c>
      <c r="B216" s="38"/>
      <c r="C216" s="20"/>
      <c r="D216" s="20"/>
      <c r="E216" s="20"/>
      <c r="F216" s="20" t="s">
        <v>1013</v>
      </c>
      <c r="G216" s="39"/>
      <c r="H216" s="40"/>
      <c r="I216" s="22"/>
      <c r="J216" s="33"/>
      <c r="M216" s="22"/>
      <c r="O216" s="22"/>
      <c r="Q216" s="22"/>
      <c r="R216" s="22"/>
      <c r="S216" s="22"/>
      <c r="T216" s="22"/>
      <c r="U216" s="22"/>
      <c r="V216" s="22"/>
      <c r="W216" s="22"/>
      <c r="X216" s="22"/>
      <c r="Y216" s="22"/>
      <c r="Z216" s="22"/>
      <c r="AA216" s="22"/>
      <c r="AC216" s="22"/>
      <c r="AD216" s="22"/>
      <c r="AE216" s="22"/>
      <c r="AF216" s="22"/>
      <c r="AG216" s="22"/>
      <c r="AH216" s="22"/>
      <c r="AM216" s="22">
        <f t="shared" si="9"/>
        <v>0</v>
      </c>
    </row>
    <row r="217" spans="1:39" x14ac:dyDescent="0.25">
      <c r="A217" s="20" t="s">
        <v>55</v>
      </c>
      <c r="B217" s="38"/>
      <c r="C217" s="20"/>
      <c r="D217" s="20"/>
      <c r="E217" s="20"/>
      <c r="F217" s="20" t="s">
        <v>1013</v>
      </c>
      <c r="G217" s="39"/>
      <c r="H217" s="40"/>
      <c r="I217" s="22"/>
      <c r="L217" s="22"/>
      <c r="M217" s="22"/>
      <c r="O217" s="22"/>
      <c r="P217" s="22"/>
      <c r="Q217" s="31"/>
      <c r="R217" s="22"/>
      <c r="S217" s="31"/>
      <c r="T217" s="22"/>
      <c r="U217" s="22"/>
      <c r="V217" s="22"/>
      <c r="W217" s="31"/>
      <c r="X217" s="22"/>
      <c r="Y217" s="31"/>
      <c r="Z217" s="22"/>
      <c r="AA217" s="22"/>
      <c r="AB217" s="22"/>
      <c r="AC217" s="22"/>
      <c r="AD217" s="31"/>
      <c r="AE217" s="31"/>
      <c r="AF217" s="22"/>
      <c r="AG217" s="31"/>
      <c r="AH217" s="31"/>
      <c r="AK217" s="31"/>
      <c r="AM217" s="22">
        <f t="shared" si="9"/>
        <v>0</v>
      </c>
    </row>
    <row r="218" spans="1:39" x14ac:dyDescent="0.25">
      <c r="A218" s="20" t="s">
        <v>55</v>
      </c>
      <c r="B218" s="38"/>
      <c r="C218" s="20"/>
      <c r="D218" s="20"/>
      <c r="E218" s="20"/>
      <c r="F218" s="20" t="s">
        <v>1013</v>
      </c>
      <c r="G218" s="39"/>
      <c r="H218" s="40"/>
      <c r="I218" s="22"/>
      <c r="L218" s="22"/>
      <c r="M218" s="22"/>
      <c r="O218" s="22"/>
      <c r="P218" s="22"/>
      <c r="Q218" s="22"/>
      <c r="R218" s="22"/>
      <c r="S218" s="22"/>
      <c r="T218" s="22"/>
      <c r="U218" s="22"/>
      <c r="V218" s="22"/>
      <c r="W218" s="22"/>
      <c r="X218" s="22"/>
      <c r="Y218" s="22"/>
      <c r="Z218" s="22"/>
      <c r="AA218" s="22"/>
      <c r="AB218" s="22"/>
      <c r="AC218" s="22"/>
      <c r="AD218" s="22"/>
      <c r="AE218" s="22"/>
      <c r="AF218" s="22"/>
      <c r="AG218" s="22"/>
      <c r="AH218" s="22"/>
      <c r="AM218" s="22">
        <f t="shared" si="9"/>
        <v>0</v>
      </c>
    </row>
    <row r="219" spans="1:39" x14ac:dyDescent="0.25">
      <c r="A219" s="20" t="s">
        <v>55</v>
      </c>
      <c r="B219" s="38"/>
      <c r="C219" s="20"/>
      <c r="D219" s="20"/>
      <c r="E219" s="20"/>
      <c r="F219" s="20" t="s">
        <v>1013</v>
      </c>
      <c r="G219" s="39"/>
      <c r="H219" s="40"/>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22">
        <f t="shared" si="9"/>
        <v>0</v>
      </c>
    </row>
    <row r="220" spans="1:39" x14ac:dyDescent="0.25">
      <c r="A220" s="20" t="s">
        <v>55</v>
      </c>
      <c r="B220" s="38"/>
      <c r="C220" s="20"/>
      <c r="D220" s="20"/>
      <c r="E220" s="20"/>
      <c r="F220" s="20" t="s">
        <v>1013</v>
      </c>
      <c r="G220" s="39"/>
      <c r="H220" s="40"/>
      <c r="I220" s="33"/>
      <c r="J220" s="33"/>
      <c r="K220" s="33"/>
      <c r="L220" s="22"/>
      <c r="M220" s="22"/>
      <c r="N220" s="22"/>
      <c r="O220" s="22"/>
      <c r="P220" s="22"/>
      <c r="Q220" s="22"/>
      <c r="R220" s="22"/>
      <c r="S220" s="22"/>
      <c r="T220" s="22"/>
      <c r="U220" s="33"/>
      <c r="V220" s="22"/>
      <c r="W220" s="22"/>
      <c r="X220" s="22"/>
      <c r="Y220" s="22"/>
      <c r="Z220" s="22"/>
      <c r="AA220" s="22"/>
      <c r="AB220" s="33"/>
      <c r="AC220" s="22"/>
      <c r="AD220" s="22"/>
      <c r="AE220" s="22"/>
      <c r="AF220" s="22"/>
      <c r="AG220" s="22"/>
      <c r="AH220" s="33"/>
      <c r="AI220" s="33"/>
      <c r="AJ220" s="33"/>
      <c r="AL220" s="33"/>
      <c r="AM220" s="22">
        <f t="shared" si="9"/>
        <v>0</v>
      </c>
    </row>
    <row r="221" spans="1:39" x14ac:dyDescent="0.25">
      <c r="A221" s="20" t="s">
        <v>55</v>
      </c>
      <c r="B221" s="38"/>
      <c r="C221" s="20"/>
      <c r="D221" s="20"/>
      <c r="E221" s="20"/>
      <c r="F221" s="20" t="s">
        <v>1013</v>
      </c>
      <c r="G221" s="39"/>
      <c r="H221" s="40"/>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22">
        <f t="shared" si="9"/>
        <v>0</v>
      </c>
    </row>
    <row r="222" spans="1:39" x14ac:dyDescent="0.25">
      <c r="A222" s="20" t="s">
        <v>55</v>
      </c>
      <c r="B222" s="38"/>
      <c r="C222" s="20"/>
      <c r="D222" s="20"/>
      <c r="E222" s="20"/>
      <c r="F222" s="20" t="s">
        <v>1013</v>
      </c>
      <c r="G222" s="39"/>
      <c r="H222" s="40"/>
      <c r="I222" s="22"/>
      <c r="L222" s="22"/>
      <c r="M222" s="22"/>
      <c r="O222" s="22"/>
      <c r="P222" s="22"/>
      <c r="Q222" s="22"/>
      <c r="R222" s="22"/>
      <c r="S222" s="22"/>
      <c r="T222" s="22"/>
      <c r="U222" s="22"/>
      <c r="V222" s="22"/>
      <c r="W222" s="22"/>
      <c r="X222" s="22"/>
      <c r="Y222" s="22"/>
      <c r="Z222" s="22"/>
      <c r="AA222" s="22"/>
      <c r="AB222" s="22"/>
      <c r="AC222" s="22"/>
      <c r="AD222" s="22"/>
      <c r="AE222" s="22"/>
      <c r="AF222" s="22"/>
      <c r="AG222" s="22"/>
      <c r="AH222" s="22"/>
      <c r="AM222" s="22">
        <f t="shared" si="9"/>
        <v>0</v>
      </c>
    </row>
    <row r="223" spans="1:39" x14ac:dyDescent="0.25">
      <c r="A223" s="20" t="s">
        <v>55</v>
      </c>
      <c r="B223" s="38"/>
      <c r="C223" s="20"/>
      <c r="D223" s="20"/>
      <c r="E223" s="20"/>
      <c r="F223" s="20" t="s">
        <v>1013</v>
      </c>
      <c r="G223" s="39"/>
      <c r="H223" s="40"/>
      <c r="I223" s="22"/>
      <c r="J223" s="33"/>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M223" s="22">
        <f t="shared" si="9"/>
        <v>0</v>
      </c>
    </row>
    <row r="224" spans="1:39" x14ac:dyDescent="0.25">
      <c r="A224" s="20" t="s">
        <v>55</v>
      </c>
      <c r="B224" s="38"/>
      <c r="C224" s="20"/>
      <c r="D224" s="20"/>
      <c r="E224" s="20"/>
      <c r="F224" s="20" t="s">
        <v>1013</v>
      </c>
      <c r="G224" s="39"/>
      <c r="H224" s="40"/>
      <c r="I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M224" s="22">
        <f t="shared" si="9"/>
        <v>0</v>
      </c>
    </row>
    <row r="225" spans="1:39" x14ac:dyDescent="0.25">
      <c r="A225" s="20" t="s">
        <v>55</v>
      </c>
      <c r="B225" s="38"/>
      <c r="C225" s="20"/>
      <c r="D225" s="20"/>
      <c r="E225" s="20"/>
      <c r="F225" s="20" t="s">
        <v>1013</v>
      </c>
      <c r="G225" s="39"/>
      <c r="H225" s="40"/>
      <c r="I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M225" s="22">
        <f t="shared" si="9"/>
        <v>0</v>
      </c>
    </row>
    <row r="226" spans="1:39" x14ac:dyDescent="0.25">
      <c r="A226" s="20" t="s">
        <v>55</v>
      </c>
      <c r="B226" s="38"/>
      <c r="C226" s="20"/>
      <c r="D226" s="20"/>
      <c r="E226" s="20"/>
      <c r="F226" s="20" t="s">
        <v>1013</v>
      </c>
      <c r="G226" s="39"/>
      <c r="H226" s="40"/>
      <c r="I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M226" s="22">
        <f t="shared" si="9"/>
        <v>0</v>
      </c>
    </row>
    <row r="227" spans="1:39" x14ac:dyDescent="0.25">
      <c r="A227" s="20" t="s">
        <v>55</v>
      </c>
      <c r="B227" s="38"/>
      <c r="C227" s="20"/>
      <c r="D227" s="20"/>
      <c r="E227" s="20"/>
      <c r="F227" s="20" t="s">
        <v>1013</v>
      </c>
      <c r="G227" s="39"/>
      <c r="H227" s="40"/>
      <c r="I227" s="22"/>
      <c r="L227" s="22"/>
      <c r="M227" s="22"/>
      <c r="O227" s="22"/>
      <c r="P227" s="22"/>
      <c r="Q227" s="22"/>
      <c r="R227" s="22"/>
      <c r="S227" s="22"/>
      <c r="T227" s="22"/>
      <c r="U227" s="22"/>
      <c r="V227" s="22"/>
      <c r="W227" s="22"/>
      <c r="X227" s="22"/>
      <c r="Y227" s="22"/>
      <c r="Z227" s="22"/>
      <c r="AA227" s="22"/>
      <c r="AC227" s="22"/>
      <c r="AD227" s="22"/>
      <c r="AE227" s="22"/>
      <c r="AF227" s="22"/>
      <c r="AG227" s="22"/>
      <c r="AH227" s="22"/>
      <c r="AM227" s="22">
        <f t="shared" si="9"/>
        <v>0</v>
      </c>
    </row>
    <row r="228" spans="1:39" x14ac:dyDescent="0.25">
      <c r="A228" s="20" t="s">
        <v>55</v>
      </c>
      <c r="B228" s="38"/>
      <c r="C228" s="20"/>
      <c r="D228" s="20"/>
      <c r="E228" s="20"/>
      <c r="F228" s="20" t="s">
        <v>1013</v>
      </c>
      <c r="G228" s="39"/>
      <c r="H228" s="40"/>
      <c r="I228" s="33"/>
      <c r="J228" s="33"/>
      <c r="K228" s="33"/>
      <c r="L228" s="33"/>
      <c r="M228" s="33"/>
      <c r="N228" s="33"/>
      <c r="O228" s="33"/>
      <c r="P228" s="33"/>
      <c r="Q228" s="33"/>
      <c r="R228" s="33"/>
      <c r="S228" s="33"/>
      <c r="T228" s="33"/>
      <c r="U228" s="33"/>
      <c r="V228" s="33"/>
      <c r="W228" s="33"/>
      <c r="X228" s="22"/>
      <c r="Y228" s="33"/>
      <c r="Z228" s="33"/>
      <c r="AA228" s="33"/>
      <c r="AB228" s="33"/>
      <c r="AC228" s="22"/>
      <c r="AD228" s="33"/>
      <c r="AE228" s="33"/>
      <c r="AF228" s="33"/>
      <c r="AG228" s="33"/>
      <c r="AH228" s="33"/>
      <c r="AJ228" s="33"/>
      <c r="AK228" s="33"/>
      <c r="AL228" s="33"/>
      <c r="AM228" s="22">
        <f t="shared" si="9"/>
        <v>0</v>
      </c>
    </row>
    <row r="229" spans="1:39" x14ac:dyDescent="0.25">
      <c r="A229" s="20" t="s">
        <v>55</v>
      </c>
      <c r="B229" s="38"/>
      <c r="C229" s="20"/>
      <c r="D229" s="20"/>
      <c r="E229" s="20"/>
      <c r="F229" s="20" t="s">
        <v>1013</v>
      </c>
      <c r="G229" s="39"/>
      <c r="H229" s="40"/>
      <c r="I229" s="22"/>
      <c r="J229" s="33"/>
      <c r="L229" s="22"/>
      <c r="M229" s="22"/>
      <c r="O229" s="22"/>
      <c r="P229" s="22"/>
      <c r="Q229" s="22"/>
      <c r="R229" s="22"/>
      <c r="S229" s="22"/>
      <c r="T229" s="22"/>
      <c r="U229" s="22"/>
      <c r="V229" s="22"/>
      <c r="W229" s="22"/>
      <c r="X229" s="22"/>
      <c r="Y229" s="22"/>
      <c r="Z229" s="22"/>
      <c r="AA229" s="22"/>
      <c r="AB229" s="22"/>
      <c r="AC229" s="22"/>
      <c r="AD229" s="22"/>
      <c r="AE229" s="22"/>
      <c r="AF229" s="22"/>
      <c r="AG229" s="22"/>
      <c r="AH229" s="22"/>
      <c r="AM229" s="22">
        <f t="shared" si="9"/>
        <v>0</v>
      </c>
    </row>
    <row r="230" spans="1:39" x14ac:dyDescent="0.25">
      <c r="A230" s="20" t="s">
        <v>55</v>
      </c>
      <c r="B230" s="38"/>
      <c r="C230" s="20"/>
      <c r="D230" s="20"/>
      <c r="E230" s="20"/>
      <c r="F230" s="20" t="s">
        <v>1013</v>
      </c>
      <c r="G230" s="39"/>
      <c r="H230" s="40"/>
      <c r="I230" s="33"/>
      <c r="J230" s="33"/>
      <c r="K230" s="33"/>
      <c r="L230" s="33"/>
      <c r="M230" s="33"/>
      <c r="N230" s="33"/>
      <c r="O230" s="33"/>
      <c r="P230" s="33"/>
      <c r="Q230" s="33"/>
      <c r="R230" s="33"/>
      <c r="S230" s="33"/>
      <c r="T230" s="33"/>
      <c r="U230" s="33"/>
      <c r="V230" s="33"/>
      <c r="W230" s="33"/>
      <c r="X230" s="22"/>
      <c r="Y230" s="33"/>
      <c r="Z230" s="33"/>
      <c r="AA230" s="33"/>
      <c r="AB230" s="33"/>
      <c r="AC230" s="33"/>
      <c r="AD230" s="33"/>
      <c r="AE230" s="33"/>
      <c r="AF230" s="33"/>
      <c r="AG230" s="33"/>
      <c r="AH230" s="33"/>
      <c r="AI230" s="33"/>
      <c r="AJ230" s="33"/>
      <c r="AK230" s="33"/>
      <c r="AL230" s="33"/>
      <c r="AM230" s="22">
        <f t="shared" si="9"/>
        <v>0</v>
      </c>
    </row>
    <row r="231" spans="1:39" x14ac:dyDescent="0.25">
      <c r="A231" s="20" t="s">
        <v>55</v>
      </c>
      <c r="B231" s="38"/>
      <c r="C231" s="20"/>
      <c r="D231" s="20"/>
      <c r="E231" s="20"/>
      <c r="F231" s="20" t="s">
        <v>1013</v>
      </c>
      <c r="G231" s="39"/>
      <c r="H231" s="40"/>
      <c r="J231" s="33"/>
      <c r="L231" s="33"/>
      <c r="U231" s="22"/>
      <c r="V231" s="22"/>
      <c r="W231" s="22"/>
      <c r="X231" s="33"/>
      <c r="Z231" s="22"/>
      <c r="AC231" s="33"/>
      <c r="AE231" s="33"/>
      <c r="AG231" s="33"/>
      <c r="AH231" s="33"/>
      <c r="AJ231" s="33"/>
      <c r="AM231" s="22">
        <f t="shared" si="9"/>
        <v>0</v>
      </c>
    </row>
    <row r="232" spans="1:39" x14ac:dyDescent="0.25">
      <c r="A232" s="20" t="s">
        <v>55</v>
      </c>
      <c r="B232" s="38"/>
      <c r="C232" s="20"/>
      <c r="D232" s="20"/>
      <c r="E232" s="20"/>
      <c r="F232" s="20" t="s">
        <v>1013</v>
      </c>
      <c r="G232" s="39"/>
      <c r="H232" s="40"/>
      <c r="I232" s="22"/>
      <c r="L232" s="22"/>
      <c r="M232" s="22"/>
      <c r="O232" s="22"/>
      <c r="P232" s="22"/>
      <c r="Q232" s="22"/>
      <c r="R232" s="22"/>
      <c r="S232" s="22"/>
      <c r="T232" s="22"/>
      <c r="U232" s="22"/>
      <c r="V232" s="22"/>
      <c r="W232" s="22"/>
      <c r="X232" s="22"/>
      <c r="Y232" s="22"/>
      <c r="Z232" s="22"/>
      <c r="AA232" s="22"/>
      <c r="AB232" s="22"/>
      <c r="AC232" s="22"/>
      <c r="AD232" s="22"/>
      <c r="AE232" s="22"/>
      <c r="AF232" s="22"/>
      <c r="AG232" s="22"/>
      <c r="AH232" s="22"/>
      <c r="AM232" s="22">
        <f t="shared" si="9"/>
        <v>0</v>
      </c>
    </row>
    <row r="233" spans="1:39" x14ac:dyDescent="0.25">
      <c r="A233" s="20" t="s">
        <v>55</v>
      </c>
      <c r="B233" s="38"/>
      <c r="C233" s="20"/>
      <c r="D233" s="20"/>
      <c r="E233" s="20"/>
      <c r="F233" s="20" t="s">
        <v>1013</v>
      </c>
      <c r="G233" s="39"/>
      <c r="H233" s="40"/>
      <c r="I233" s="22"/>
      <c r="L233" s="22"/>
      <c r="M233" s="22"/>
      <c r="O233" s="22"/>
      <c r="P233" s="22"/>
      <c r="Q233" s="22"/>
      <c r="R233" s="22"/>
      <c r="S233" s="22"/>
      <c r="U233" s="22"/>
      <c r="V233" s="22"/>
      <c r="W233" s="22"/>
      <c r="X233" s="22"/>
      <c r="Y233" s="22"/>
      <c r="Z233" s="22"/>
      <c r="AA233" s="22"/>
      <c r="AB233" s="22"/>
      <c r="AC233" s="22"/>
      <c r="AD233" s="22"/>
      <c r="AE233" s="22"/>
      <c r="AF233" s="22"/>
      <c r="AG233" s="22"/>
      <c r="AH233" s="22"/>
      <c r="AM233" s="22">
        <f t="shared" si="9"/>
        <v>0</v>
      </c>
    </row>
    <row r="234" spans="1:39" x14ac:dyDescent="0.25">
      <c r="A234" s="20" t="s">
        <v>55</v>
      </c>
      <c r="B234" s="38"/>
      <c r="C234" s="20"/>
      <c r="D234" s="20"/>
      <c r="E234" s="20"/>
      <c r="F234" s="20" t="s">
        <v>1013</v>
      </c>
      <c r="G234" s="39"/>
      <c r="H234" s="40"/>
      <c r="I234" s="22"/>
      <c r="L234" s="22"/>
      <c r="M234" s="22"/>
      <c r="O234" s="22"/>
      <c r="P234" s="22"/>
      <c r="Q234" s="22"/>
      <c r="R234" s="22"/>
      <c r="S234" s="22"/>
      <c r="T234" s="22"/>
      <c r="U234" s="22"/>
      <c r="V234" s="22"/>
      <c r="W234" s="22"/>
      <c r="X234" s="22"/>
      <c r="Y234" s="22"/>
      <c r="Z234" s="22"/>
      <c r="AA234" s="22"/>
      <c r="AB234" s="22"/>
      <c r="AC234" s="22"/>
      <c r="AD234" s="22"/>
      <c r="AE234" s="22"/>
      <c r="AF234" s="22"/>
      <c r="AG234" s="22"/>
      <c r="AH234" s="22"/>
      <c r="AM234" s="22">
        <f t="shared" si="9"/>
        <v>0</v>
      </c>
    </row>
    <row r="235" spans="1:39" x14ac:dyDescent="0.25">
      <c r="A235" s="20" t="s">
        <v>55</v>
      </c>
      <c r="B235" s="38"/>
      <c r="C235" s="20"/>
      <c r="D235" s="20"/>
      <c r="E235" s="20"/>
      <c r="F235" s="20" t="s">
        <v>1013</v>
      </c>
      <c r="G235" s="39"/>
      <c r="H235" s="40"/>
      <c r="I235" s="22"/>
      <c r="L235" s="22"/>
      <c r="M235" s="22"/>
      <c r="O235" s="22"/>
      <c r="R235" s="22"/>
      <c r="S235" s="22"/>
      <c r="T235" s="22"/>
      <c r="U235" s="22"/>
      <c r="V235" s="22"/>
      <c r="W235" s="22"/>
      <c r="X235" s="22"/>
      <c r="Y235" s="22"/>
      <c r="Z235" s="22"/>
      <c r="AA235" s="22"/>
      <c r="AB235" s="22"/>
      <c r="AC235" s="22"/>
      <c r="AD235" s="22"/>
      <c r="AE235" s="22"/>
      <c r="AF235" s="22"/>
      <c r="AG235" s="22"/>
      <c r="AH235" s="22"/>
      <c r="AM235" s="22">
        <f t="shared" si="9"/>
        <v>0</v>
      </c>
    </row>
    <row r="236" spans="1:39" x14ac:dyDescent="0.25">
      <c r="A236" s="20" t="s">
        <v>55</v>
      </c>
      <c r="B236" s="38"/>
      <c r="C236" s="20"/>
      <c r="D236" s="20"/>
      <c r="E236" s="20"/>
      <c r="F236" s="20" t="s">
        <v>1013</v>
      </c>
      <c r="G236" s="39"/>
      <c r="H236" s="40"/>
      <c r="I236" s="22"/>
      <c r="J236" s="33"/>
      <c r="L236" s="22"/>
      <c r="M236" s="22"/>
      <c r="O236" s="22"/>
      <c r="R236" s="22"/>
      <c r="S236" s="22"/>
      <c r="T236" s="22"/>
      <c r="U236" s="22"/>
      <c r="V236" s="22"/>
      <c r="W236" s="22"/>
      <c r="X236" s="22"/>
      <c r="Y236" s="22"/>
      <c r="Z236" s="22"/>
      <c r="AA236" s="22"/>
      <c r="AB236" s="22"/>
      <c r="AC236" s="22"/>
      <c r="AD236" s="22"/>
      <c r="AE236" s="22"/>
      <c r="AF236" s="22"/>
      <c r="AG236" s="22"/>
      <c r="AH236" s="22"/>
      <c r="AM236" s="22">
        <f t="shared" si="9"/>
        <v>0</v>
      </c>
    </row>
    <row r="237" spans="1:39" x14ac:dyDescent="0.25">
      <c r="A237" s="20" t="s">
        <v>55</v>
      </c>
      <c r="B237" s="38"/>
      <c r="C237" s="20"/>
      <c r="D237" s="20"/>
      <c r="E237" s="20"/>
      <c r="F237" s="20" t="s">
        <v>1013</v>
      </c>
      <c r="G237" s="39"/>
      <c r="H237" s="40"/>
      <c r="I237" s="22"/>
      <c r="L237" s="22"/>
      <c r="M237" s="22"/>
      <c r="O237" s="22"/>
      <c r="P237" s="22"/>
      <c r="Q237" s="22"/>
      <c r="R237" s="22"/>
      <c r="S237" s="22"/>
      <c r="T237" s="22"/>
      <c r="U237" s="22"/>
      <c r="V237" s="22"/>
      <c r="W237" s="22"/>
      <c r="X237" s="22"/>
      <c r="Y237" s="22"/>
      <c r="Z237" s="22"/>
      <c r="AA237" s="22"/>
      <c r="AB237" s="22"/>
      <c r="AC237" s="22"/>
      <c r="AD237" s="22"/>
      <c r="AE237" s="22"/>
      <c r="AF237" s="22"/>
      <c r="AG237" s="22"/>
      <c r="AH237" s="22"/>
      <c r="AM237" s="22">
        <f t="shared" si="9"/>
        <v>0</v>
      </c>
    </row>
    <row r="238" spans="1:39" x14ac:dyDescent="0.25">
      <c r="A238" s="20" t="s">
        <v>55</v>
      </c>
      <c r="B238" s="38"/>
      <c r="C238" s="20"/>
      <c r="D238" s="20"/>
      <c r="E238" s="20"/>
      <c r="F238" s="20" t="s">
        <v>1013</v>
      </c>
      <c r="G238" s="39"/>
      <c r="H238" s="40"/>
      <c r="I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M238" s="22">
        <f t="shared" si="9"/>
        <v>0</v>
      </c>
    </row>
    <row r="239" spans="1:39" x14ac:dyDescent="0.25">
      <c r="A239" s="20" t="s">
        <v>55</v>
      </c>
      <c r="B239" s="38"/>
      <c r="C239" s="20"/>
      <c r="D239" s="20"/>
      <c r="E239" s="20"/>
      <c r="F239" s="20" t="s">
        <v>1013</v>
      </c>
      <c r="G239" s="39"/>
      <c r="H239" s="40"/>
      <c r="I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M239" s="22">
        <f t="shared" si="9"/>
        <v>0</v>
      </c>
    </row>
    <row r="240" spans="1:39" x14ac:dyDescent="0.25">
      <c r="A240" s="20" t="s">
        <v>55</v>
      </c>
      <c r="B240" s="38"/>
      <c r="C240" s="20"/>
      <c r="D240" s="20"/>
      <c r="E240" s="20"/>
      <c r="F240" s="20" t="s">
        <v>1013</v>
      </c>
      <c r="G240" s="39"/>
      <c r="H240" s="40"/>
      <c r="I240" s="22"/>
      <c r="J240" s="33"/>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M240" s="22">
        <f t="shared" si="9"/>
        <v>0</v>
      </c>
    </row>
    <row r="241" spans="1:39" x14ac:dyDescent="0.25">
      <c r="A241" s="20" t="s">
        <v>55</v>
      </c>
      <c r="B241" s="38"/>
      <c r="C241" s="20"/>
      <c r="D241" s="20"/>
      <c r="E241" s="20"/>
      <c r="F241" s="20" t="s">
        <v>1013</v>
      </c>
      <c r="G241" s="39"/>
      <c r="H241" s="40"/>
      <c r="I241" s="22"/>
      <c r="J241" s="33"/>
      <c r="L241" s="22"/>
      <c r="N241" s="22"/>
      <c r="O241" s="22"/>
      <c r="P241" s="22"/>
      <c r="Q241" s="22"/>
      <c r="R241" s="22"/>
      <c r="S241" s="22"/>
      <c r="T241" s="22"/>
      <c r="U241" s="22"/>
      <c r="V241" s="22"/>
      <c r="W241" s="22"/>
      <c r="X241" s="22"/>
      <c r="Y241" s="22"/>
      <c r="Z241" s="22"/>
      <c r="AA241" s="22"/>
      <c r="AB241" s="22"/>
      <c r="AC241" s="22"/>
      <c r="AD241" s="22"/>
      <c r="AE241" s="22"/>
      <c r="AF241" s="22"/>
      <c r="AG241" s="22"/>
      <c r="AH241" s="22"/>
      <c r="AM241" s="22">
        <f t="shared" si="9"/>
        <v>0</v>
      </c>
    </row>
    <row r="242" spans="1:39" x14ac:dyDescent="0.25">
      <c r="A242" s="20" t="s">
        <v>55</v>
      </c>
      <c r="B242" s="38"/>
      <c r="C242" s="20"/>
      <c r="D242" s="20"/>
      <c r="E242" s="20"/>
      <c r="F242" s="20" t="s">
        <v>1013</v>
      </c>
      <c r="G242" s="39"/>
      <c r="H242" s="40"/>
      <c r="I242" s="22"/>
      <c r="J242" s="33"/>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M242" s="22">
        <f t="shared" si="9"/>
        <v>0</v>
      </c>
    </row>
    <row r="243" spans="1:39" x14ac:dyDescent="0.25">
      <c r="A243" s="20" t="s">
        <v>55</v>
      </c>
      <c r="B243" s="38"/>
      <c r="C243" s="20"/>
      <c r="D243" s="20"/>
      <c r="E243" s="20"/>
      <c r="F243" s="20" t="s">
        <v>1013</v>
      </c>
      <c r="G243" s="39"/>
      <c r="H243" s="40"/>
      <c r="I243" s="22"/>
      <c r="L243" s="22"/>
      <c r="M243" s="22"/>
      <c r="N243" s="22"/>
      <c r="P243" s="22"/>
      <c r="Q243" s="22"/>
      <c r="R243" s="22"/>
      <c r="S243" s="22"/>
      <c r="T243" s="22"/>
      <c r="U243" s="22"/>
      <c r="V243" s="22"/>
      <c r="W243" s="22"/>
      <c r="X243" s="22"/>
      <c r="Y243" s="22"/>
      <c r="Z243" s="22"/>
      <c r="AA243" s="22"/>
      <c r="AB243" s="22"/>
      <c r="AC243" s="22"/>
      <c r="AD243" s="22"/>
      <c r="AE243" s="22"/>
      <c r="AF243" s="22"/>
      <c r="AG243" s="22"/>
      <c r="AH243" s="22"/>
      <c r="AM243" s="22">
        <f t="shared" si="9"/>
        <v>0</v>
      </c>
    </row>
    <row r="244" spans="1:39" x14ac:dyDescent="0.25">
      <c r="A244" s="20" t="s">
        <v>55</v>
      </c>
      <c r="B244" s="38"/>
      <c r="C244" s="20"/>
      <c r="D244" s="20"/>
      <c r="E244" s="20"/>
      <c r="F244" s="20" t="s">
        <v>1013</v>
      </c>
      <c r="G244" s="39"/>
      <c r="H244" s="40"/>
      <c r="I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M244" s="22">
        <f t="shared" si="9"/>
        <v>0</v>
      </c>
    </row>
    <row r="245" spans="1:39" x14ac:dyDescent="0.25">
      <c r="A245" s="20" t="s">
        <v>55</v>
      </c>
      <c r="B245" s="38"/>
      <c r="C245" s="20"/>
      <c r="D245" s="20"/>
      <c r="E245" s="20"/>
      <c r="F245" s="20" t="s">
        <v>1013</v>
      </c>
      <c r="G245" s="39"/>
      <c r="H245" s="40"/>
      <c r="I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M245" s="22">
        <f t="shared" si="9"/>
        <v>0</v>
      </c>
    </row>
    <row r="246" spans="1:39" x14ac:dyDescent="0.25">
      <c r="A246" s="20" t="s">
        <v>55</v>
      </c>
      <c r="B246" s="38"/>
      <c r="C246" s="20"/>
      <c r="D246" s="20"/>
      <c r="E246" s="20"/>
      <c r="F246" s="20" t="s">
        <v>1013</v>
      </c>
      <c r="G246" s="39"/>
      <c r="H246" s="40"/>
      <c r="I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M246" s="22">
        <f t="shared" si="9"/>
        <v>0</v>
      </c>
    </row>
    <row r="247" spans="1:39" x14ac:dyDescent="0.25">
      <c r="A247" s="20" t="s">
        <v>55</v>
      </c>
      <c r="B247" s="38"/>
      <c r="C247" s="20"/>
      <c r="D247" s="20"/>
      <c r="E247" s="20"/>
      <c r="F247" s="20" t="s">
        <v>1013</v>
      </c>
      <c r="G247" s="39"/>
      <c r="H247" s="40"/>
      <c r="I247" s="22"/>
      <c r="L247" s="22"/>
      <c r="M247" s="22"/>
      <c r="O247" s="22"/>
      <c r="Q247" s="22"/>
      <c r="R247" s="22"/>
      <c r="S247" s="22"/>
      <c r="T247" s="22"/>
      <c r="U247" s="22"/>
      <c r="V247" s="22"/>
      <c r="W247" s="22"/>
      <c r="X247" s="22"/>
      <c r="Y247" s="22"/>
      <c r="Z247" s="22"/>
      <c r="AA247" s="22"/>
      <c r="AB247" s="22"/>
      <c r="AC247" s="22"/>
      <c r="AD247" s="22"/>
      <c r="AE247" s="22"/>
      <c r="AF247" s="22"/>
      <c r="AG247" s="22"/>
      <c r="AH247" s="22"/>
      <c r="AM247" s="22">
        <f t="shared" si="9"/>
        <v>0</v>
      </c>
    </row>
    <row r="248" spans="1:39" x14ac:dyDescent="0.25">
      <c r="A248" s="20" t="s">
        <v>55</v>
      </c>
      <c r="B248" s="38"/>
      <c r="C248" s="20"/>
      <c r="D248" s="20"/>
      <c r="E248" s="20"/>
      <c r="F248" s="20" t="s">
        <v>1013</v>
      </c>
      <c r="G248" s="39"/>
      <c r="H248" s="40"/>
      <c r="I248" s="22"/>
      <c r="M248" s="22"/>
      <c r="N248" s="22"/>
      <c r="Q248" s="22"/>
      <c r="R248" s="22"/>
      <c r="S248" s="22"/>
      <c r="T248" s="22"/>
      <c r="U248" s="22"/>
      <c r="V248" s="22"/>
      <c r="W248" s="22"/>
      <c r="X248" s="22"/>
      <c r="Y248" s="22"/>
      <c r="Z248" s="22"/>
      <c r="AA248" s="22"/>
      <c r="AB248" s="22"/>
      <c r="AC248" s="22"/>
      <c r="AD248" s="22"/>
      <c r="AE248" s="22"/>
      <c r="AF248" s="22"/>
      <c r="AG248" s="22"/>
      <c r="AH248" s="22"/>
      <c r="AM248" s="22">
        <f t="shared" si="9"/>
        <v>0</v>
      </c>
    </row>
    <row r="249" spans="1:39" x14ac:dyDescent="0.25">
      <c r="A249" s="20" t="s">
        <v>55</v>
      </c>
      <c r="B249" s="38"/>
      <c r="C249" s="20"/>
      <c r="D249" s="20"/>
      <c r="E249" s="20"/>
      <c r="F249" s="20" t="s">
        <v>1013</v>
      </c>
      <c r="G249" s="39"/>
      <c r="H249" s="40"/>
      <c r="I249" s="22"/>
      <c r="J249" s="33"/>
      <c r="L249" s="22"/>
      <c r="M249" s="22"/>
      <c r="N249" s="22"/>
      <c r="O249" s="22"/>
      <c r="P249" s="22"/>
      <c r="Q249" s="22"/>
      <c r="R249" s="22"/>
      <c r="S249" s="22"/>
      <c r="T249" s="22"/>
      <c r="U249" s="22"/>
      <c r="V249" s="22"/>
      <c r="W249" s="22"/>
      <c r="X249" s="22"/>
      <c r="Y249" s="22"/>
      <c r="Z249" s="22"/>
      <c r="AA249" s="22"/>
      <c r="AB249" s="22"/>
      <c r="AC249" s="22"/>
      <c r="AD249" s="22"/>
      <c r="AE249" s="22"/>
      <c r="AF249" s="22"/>
      <c r="AH249" s="22"/>
      <c r="AM249" s="22">
        <f t="shared" si="9"/>
        <v>0</v>
      </c>
    </row>
    <row r="250" spans="1:39" x14ac:dyDescent="0.25">
      <c r="A250" s="20" t="s">
        <v>55</v>
      </c>
      <c r="B250" s="38"/>
      <c r="C250" s="20"/>
      <c r="D250" s="20"/>
      <c r="E250" s="20"/>
      <c r="F250" s="20" t="s">
        <v>1013</v>
      </c>
      <c r="G250" s="39"/>
      <c r="H250" s="40"/>
      <c r="I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M250" s="22">
        <f t="shared" si="9"/>
        <v>0</v>
      </c>
    </row>
    <row r="251" spans="1:39" x14ac:dyDescent="0.25">
      <c r="A251" s="20" t="s">
        <v>55</v>
      </c>
      <c r="B251" s="38"/>
      <c r="C251" s="20"/>
      <c r="D251" s="20"/>
      <c r="E251" s="20"/>
      <c r="F251" s="20" t="s">
        <v>1013</v>
      </c>
      <c r="G251" s="39"/>
      <c r="H251" s="40"/>
      <c r="I251" s="22"/>
      <c r="L251" s="22"/>
      <c r="M251" s="22"/>
      <c r="N251" s="22"/>
      <c r="O251" s="22"/>
      <c r="R251" s="22"/>
      <c r="S251" s="22"/>
      <c r="T251" s="22"/>
      <c r="U251" s="22"/>
      <c r="V251" s="22"/>
      <c r="W251" s="22"/>
      <c r="X251" s="22"/>
      <c r="Y251" s="22"/>
      <c r="Z251" s="22"/>
      <c r="AA251" s="22"/>
      <c r="AB251" s="22"/>
      <c r="AC251" s="22"/>
      <c r="AD251" s="22"/>
      <c r="AE251" s="22"/>
      <c r="AF251" s="22"/>
      <c r="AG251" s="22"/>
      <c r="AH251" s="22"/>
      <c r="AM251" s="22">
        <f t="shared" si="9"/>
        <v>0</v>
      </c>
    </row>
    <row r="252" spans="1:39" x14ac:dyDescent="0.25">
      <c r="A252" s="20" t="s">
        <v>55</v>
      </c>
      <c r="B252" s="38"/>
      <c r="C252" s="20"/>
      <c r="D252" s="20"/>
      <c r="E252" s="20"/>
      <c r="F252" s="20" t="s">
        <v>1013</v>
      </c>
      <c r="G252" s="39"/>
      <c r="H252" s="40"/>
      <c r="I252" s="22"/>
      <c r="J252" s="33"/>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M252" s="22">
        <f t="shared" si="9"/>
        <v>0</v>
      </c>
    </row>
    <row r="253" spans="1:39" x14ac:dyDescent="0.25">
      <c r="A253" s="20" t="s">
        <v>55</v>
      </c>
      <c r="B253" s="38"/>
      <c r="C253" s="20"/>
      <c r="D253" s="20"/>
      <c r="E253" s="20"/>
      <c r="F253" s="20" t="s">
        <v>1013</v>
      </c>
      <c r="G253" s="39"/>
      <c r="H253" s="40"/>
      <c r="I253" s="22"/>
      <c r="J253" s="33"/>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M253" s="22">
        <f t="shared" si="9"/>
        <v>0</v>
      </c>
    </row>
    <row r="254" spans="1:39" x14ac:dyDescent="0.25">
      <c r="A254" s="20" t="s">
        <v>55</v>
      </c>
      <c r="B254" s="38"/>
      <c r="C254" s="20"/>
      <c r="D254" s="20"/>
      <c r="E254" s="20"/>
      <c r="F254" s="20" t="s">
        <v>1013</v>
      </c>
      <c r="G254" s="39"/>
      <c r="H254" s="40"/>
      <c r="I254" s="22"/>
      <c r="J254" s="33"/>
      <c r="L254" s="22"/>
      <c r="M254" s="22"/>
      <c r="N254" s="22"/>
      <c r="P254" s="22"/>
      <c r="Q254" s="22"/>
      <c r="R254" s="22"/>
      <c r="S254" s="22"/>
      <c r="T254" s="22"/>
      <c r="U254" s="22"/>
      <c r="V254" s="22"/>
      <c r="W254" s="22"/>
      <c r="X254" s="22"/>
      <c r="Y254" s="22"/>
      <c r="Z254" s="22"/>
      <c r="AA254" s="22"/>
      <c r="AB254" s="22"/>
      <c r="AC254" s="22"/>
      <c r="AD254" s="22"/>
      <c r="AE254" s="22"/>
      <c r="AF254" s="22"/>
      <c r="AG254" s="22"/>
      <c r="AH254" s="22"/>
      <c r="AM254" s="22">
        <f t="shared" si="9"/>
        <v>0</v>
      </c>
    </row>
    <row r="255" spans="1:39" x14ac:dyDescent="0.25">
      <c r="A255" s="20" t="s">
        <v>55</v>
      </c>
      <c r="B255" s="38"/>
      <c r="C255" s="20"/>
      <c r="D255" s="20"/>
      <c r="E255" s="20"/>
      <c r="F255" s="20" t="s">
        <v>1013</v>
      </c>
      <c r="G255" s="39"/>
      <c r="H255" s="40"/>
      <c r="I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M255" s="22">
        <f t="shared" si="9"/>
        <v>0</v>
      </c>
    </row>
    <row r="256" spans="1:39" x14ac:dyDescent="0.25">
      <c r="A256" s="20" t="s">
        <v>55</v>
      </c>
      <c r="B256" s="38"/>
      <c r="C256" s="20"/>
      <c r="D256" s="20"/>
      <c r="E256" s="20"/>
      <c r="F256" s="20" t="s">
        <v>1013</v>
      </c>
      <c r="G256" s="39"/>
      <c r="H256" s="40"/>
      <c r="I256" s="33"/>
      <c r="J256" s="33"/>
      <c r="K256" s="33"/>
      <c r="L256" s="33"/>
      <c r="M256" s="33"/>
      <c r="N256" s="33"/>
      <c r="O256" s="33"/>
      <c r="P256" s="33"/>
      <c r="Q256" s="33"/>
      <c r="R256" s="33"/>
      <c r="S256" s="33"/>
      <c r="T256" s="33"/>
      <c r="U256" s="33"/>
      <c r="V256" s="33"/>
      <c r="W256" s="33"/>
      <c r="X256" s="22"/>
      <c r="Y256" s="33"/>
      <c r="Z256" s="33"/>
      <c r="AA256" s="33"/>
      <c r="AB256" s="33"/>
      <c r="AC256" s="33"/>
      <c r="AD256" s="33"/>
      <c r="AE256" s="33"/>
      <c r="AF256" s="33"/>
      <c r="AG256" s="33"/>
      <c r="AH256" s="33"/>
      <c r="AI256" s="33"/>
      <c r="AJ256" s="33"/>
      <c r="AK256" s="33"/>
      <c r="AL256" s="33"/>
      <c r="AM256" s="22">
        <f t="shared" si="9"/>
        <v>0</v>
      </c>
    </row>
    <row r="257" spans="1:39" x14ac:dyDescent="0.25">
      <c r="A257" s="20" t="s">
        <v>55</v>
      </c>
      <c r="B257" s="38"/>
      <c r="C257" s="20"/>
      <c r="D257" s="20"/>
      <c r="E257" s="20"/>
      <c r="F257" s="20" t="s">
        <v>1013</v>
      </c>
      <c r="G257" s="39"/>
      <c r="H257" s="40"/>
      <c r="I257" s="22"/>
      <c r="M257" s="22"/>
      <c r="O257" s="22"/>
      <c r="P257" s="22"/>
      <c r="Q257" s="22"/>
      <c r="R257" s="22"/>
      <c r="S257" s="22"/>
      <c r="T257" s="22"/>
      <c r="U257" s="22"/>
      <c r="V257" s="22"/>
      <c r="W257" s="22"/>
      <c r="X257" s="22"/>
      <c r="Y257" s="22"/>
      <c r="Z257" s="22"/>
      <c r="AA257" s="22"/>
      <c r="AB257" s="22"/>
      <c r="AC257" s="22"/>
      <c r="AD257" s="22"/>
      <c r="AE257" s="22"/>
      <c r="AF257" s="22"/>
      <c r="AG257" s="22"/>
      <c r="AH257" s="22"/>
      <c r="AM257" s="22">
        <f t="shared" si="9"/>
        <v>0</v>
      </c>
    </row>
    <row r="258" spans="1:39" x14ac:dyDescent="0.25">
      <c r="A258" s="20" t="s">
        <v>55</v>
      </c>
      <c r="B258" s="38"/>
      <c r="C258" s="20"/>
      <c r="D258" s="20"/>
      <c r="E258" s="20"/>
      <c r="F258" s="20" t="s">
        <v>1013</v>
      </c>
      <c r="G258" s="39"/>
      <c r="H258" s="40"/>
      <c r="I258" s="22"/>
      <c r="J258" s="33"/>
      <c r="M258" s="22"/>
      <c r="O258" s="22"/>
      <c r="Q258" s="22"/>
      <c r="R258" s="22"/>
      <c r="S258" s="22"/>
      <c r="T258" s="22"/>
      <c r="U258" s="22"/>
      <c r="V258" s="22"/>
      <c r="W258" s="22"/>
      <c r="X258" s="22"/>
      <c r="Y258" s="22"/>
      <c r="Z258" s="22"/>
      <c r="AA258" s="22"/>
      <c r="AC258" s="22"/>
      <c r="AD258" s="22"/>
      <c r="AE258" s="22"/>
      <c r="AF258" s="22"/>
      <c r="AG258" s="22"/>
      <c r="AH258" s="22"/>
      <c r="AM258" s="22">
        <f t="shared" si="9"/>
        <v>0</v>
      </c>
    </row>
    <row r="259" spans="1:39" x14ac:dyDescent="0.25">
      <c r="A259" s="20" t="s">
        <v>55</v>
      </c>
      <c r="B259" s="38"/>
      <c r="C259" s="20"/>
      <c r="D259" s="20"/>
      <c r="E259" s="20"/>
      <c r="F259" s="20" t="s">
        <v>1013</v>
      </c>
      <c r="G259" s="39"/>
      <c r="H259" s="40"/>
      <c r="I259" s="22"/>
      <c r="L259" s="22"/>
      <c r="M259" s="22"/>
      <c r="O259" s="22"/>
      <c r="P259" s="22"/>
      <c r="Q259" s="22"/>
      <c r="R259" s="22"/>
      <c r="S259" s="22"/>
      <c r="T259" s="22"/>
      <c r="U259" s="22"/>
      <c r="V259" s="22"/>
      <c r="W259" s="22"/>
      <c r="X259" s="22"/>
      <c r="Y259" s="22"/>
      <c r="Z259" s="22"/>
      <c r="AA259" s="22"/>
      <c r="AB259" s="22"/>
      <c r="AC259" s="22"/>
      <c r="AD259" s="22"/>
      <c r="AE259" s="22"/>
      <c r="AF259" s="22"/>
      <c r="AG259" s="22"/>
      <c r="AH259" s="22"/>
      <c r="AM259" s="22">
        <f t="shared" si="9"/>
        <v>0</v>
      </c>
    </row>
    <row r="260" spans="1:39" x14ac:dyDescent="0.25">
      <c r="A260" s="20" t="s">
        <v>55</v>
      </c>
      <c r="B260" s="38"/>
      <c r="C260" s="20"/>
      <c r="D260" s="20"/>
      <c r="E260" s="20"/>
      <c r="F260" s="20" t="s">
        <v>1013</v>
      </c>
      <c r="G260" s="39"/>
      <c r="H260" s="40"/>
      <c r="I260" s="22"/>
      <c r="L260" s="22"/>
      <c r="M260" s="22"/>
      <c r="O260" s="22"/>
      <c r="P260" s="22"/>
      <c r="Q260" s="22"/>
      <c r="R260" s="22"/>
      <c r="S260" s="22"/>
      <c r="T260" s="22"/>
      <c r="U260" s="22"/>
      <c r="V260" s="22"/>
      <c r="W260" s="22"/>
      <c r="X260" s="22"/>
      <c r="Y260" s="22"/>
      <c r="Z260" s="22"/>
      <c r="AA260" s="22"/>
      <c r="AB260" s="22"/>
      <c r="AC260" s="22"/>
      <c r="AD260" s="22"/>
      <c r="AE260" s="22"/>
      <c r="AF260" s="22"/>
      <c r="AG260" s="22"/>
      <c r="AH260" s="22"/>
      <c r="AM260" s="22">
        <f t="shared" si="9"/>
        <v>0</v>
      </c>
    </row>
    <row r="261" spans="1:39" x14ac:dyDescent="0.25">
      <c r="A261" s="20" t="s">
        <v>55</v>
      </c>
      <c r="B261" s="38"/>
      <c r="C261" s="20"/>
      <c r="D261" s="20"/>
      <c r="E261" s="20"/>
      <c r="F261" s="20" t="s">
        <v>1013</v>
      </c>
      <c r="G261" s="39"/>
      <c r="H261" s="40"/>
      <c r="I261" s="22"/>
      <c r="L261" s="22"/>
      <c r="M261" s="22"/>
      <c r="O261" s="22"/>
      <c r="P261" s="22"/>
      <c r="Q261" s="22"/>
      <c r="R261" s="22"/>
      <c r="S261" s="22"/>
      <c r="T261" s="22"/>
      <c r="U261" s="22"/>
      <c r="V261" s="22"/>
      <c r="W261" s="22"/>
      <c r="X261" s="22"/>
      <c r="Y261" s="22"/>
      <c r="Z261" s="22"/>
      <c r="AA261" s="22"/>
      <c r="AB261" s="22"/>
      <c r="AC261" s="22"/>
      <c r="AD261" s="22"/>
      <c r="AE261" s="22"/>
      <c r="AF261" s="22"/>
      <c r="AG261" s="22"/>
      <c r="AH261" s="22"/>
      <c r="AM261" s="22">
        <f t="shared" si="9"/>
        <v>0</v>
      </c>
    </row>
    <row r="262" spans="1:39" x14ac:dyDescent="0.25">
      <c r="A262" s="20" t="s">
        <v>55</v>
      </c>
      <c r="B262" s="38"/>
      <c r="C262" s="20"/>
      <c r="D262" s="20"/>
      <c r="E262" s="20"/>
      <c r="F262" s="20" t="s">
        <v>1013</v>
      </c>
      <c r="G262" s="39"/>
      <c r="H262" s="40"/>
      <c r="I262" s="22"/>
      <c r="J262" s="33"/>
      <c r="O262" s="22"/>
      <c r="P262" s="22"/>
      <c r="Q262" s="22"/>
      <c r="R262" s="22"/>
      <c r="S262" s="22"/>
      <c r="T262" s="22"/>
      <c r="U262" s="22"/>
      <c r="V262" s="22"/>
      <c r="W262" s="22"/>
      <c r="X262" s="22"/>
      <c r="Y262" s="22"/>
      <c r="Z262" s="22"/>
      <c r="AA262" s="22"/>
      <c r="AB262" s="22"/>
      <c r="AC262" s="22"/>
      <c r="AD262" s="22"/>
      <c r="AE262" s="22"/>
      <c r="AF262" s="22"/>
      <c r="AG262" s="22"/>
      <c r="AH262" s="22"/>
      <c r="AM262" s="22">
        <f t="shared" si="9"/>
        <v>0</v>
      </c>
    </row>
    <row r="263" spans="1:39" x14ac:dyDescent="0.25">
      <c r="A263" s="20" t="s">
        <v>55</v>
      </c>
      <c r="B263" s="38"/>
      <c r="C263" s="20"/>
      <c r="D263" s="20"/>
      <c r="E263" s="20"/>
      <c r="F263" s="20" t="s">
        <v>1013</v>
      </c>
      <c r="G263" s="39"/>
      <c r="H263" s="40"/>
      <c r="I263" s="22"/>
      <c r="J263" s="33"/>
      <c r="L263" s="22"/>
      <c r="M263" s="22"/>
      <c r="O263" s="22"/>
      <c r="P263" s="22"/>
      <c r="Q263" s="22"/>
      <c r="R263" s="22"/>
      <c r="S263" s="22"/>
      <c r="T263" s="22"/>
      <c r="U263" s="22"/>
      <c r="V263" s="22"/>
      <c r="W263" s="22"/>
      <c r="X263" s="22"/>
      <c r="Y263" s="22"/>
      <c r="Z263" s="22"/>
      <c r="AA263" s="22"/>
      <c r="AB263" s="22"/>
      <c r="AC263" s="22"/>
      <c r="AD263" s="22"/>
      <c r="AE263" s="22"/>
      <c r="AF263" s="22"/>
      <c r="AG263" s="22"/>
      <c r="AH263" s="22"/>
      <c r="AM263" s="22">
        <f t="shared" si="9"/>
        <v>0</v>
      </c>
    </row>
    <row r="264" spans="1:39" x14ac:dyDescent="0.25">
      <c r="A264" s="20" t="s">
        <v>55</v>
      </c>
      <c r="B264" s="38"/>
      <c r="C264" s="20"/>
      <c r="D264" s="20"/>
      <c r="E264" s="20"/>
      <c r="F264" s="20" t="s">
        <v>1013</v>
      </c>
      <c r="G264" s="39"/>
      <c r="H264" s="40"/>
      <c r="I264" s="22"/>
      <c r="L264" s="22"/>
      <c r="M264" s="22"/>
      <c r="O264" s="22"/>
      <c r="R264" s="22"/>
      <c r="S264" s="22"/>
      <c r="T264" s="22"/>
      <c r="U264" s="22"/>
      <c r="V264" s="22"/>
      <c r="W264" s="22"/>
      <c r="X264" s="22"/>
      <c r="Y264" s="22"/>
      <c r="Z264" s="22"/>
      <c r="AA264" s="22"/>
      <c r="AB264" s="22"/>
      <c r="AC264" s="22"/>
      <c r="AD264" s="22"/>
      <c r="AE264" s="22"/>
      <c r="AF264" s="22"/>
      <c r="AG264" s="22"/>
      <c r="AH264" s="22"/>
      <c r="AM264" s="22">
        <f t="shared" si="9"/>
        <v>0</v>
      </c>
    </row>
    <row r="265" spans="1:39" x14ac:dyDescent="0.25">
      <c r="A265" s="20" t="s">
        <v>55</v>
      </c>
      <c r="B265" s="38"/>
      <c r="C265" s="20"/>
      <c r="D265" s="20"/>
      <c r="E265" s="20"/>
      <c r="F265" s="20" t="s">
        <v>1013</v>
      </c>
      <c r="G265" s="39"/>
      <c r="H265" s="40"/>
      <c r="I265" s="22"/>
      <c r="L265" s="22"/>
      <c r="O265" s="22"/>
      <c r="P265" s="22"/>
      <c r="Q265" s="22"/>
      <c r="R265" s="22"/>
      <c r="S265" s="22"/>
      <c r="T265" s="22"/>
      <c r="U265" s="22"/>
      <c r="V265" s="22"/>
      <c r="W265" s="22"/>
      <c r="X265" s="22"/>
      <c r="Y265" s="22"/>
      <c r="Z265" s="22"/>
      <c r="AA265" s="22"/>
      <c r="AB265" s="22"/>
      <c r="AC265" s="22"/>
      <c r="AD265" s="22"/>
      <c r="AE265" s="22"/>
      <c r="AF265" s="22"/>
      <c r="AG265" s="22"/>
      <c r="AH265" s="22"/>
      <c r="AM265" s="22">
        <f t="shared" si="9"/>
        <v>0</v>
      </c>
    </row>
    <row r="266" spans="1:39" x14ac:dyDescent="0.25">
      <c r="A266" s="20" t="s">
        <v>55</v>
      </c>
      <c r="B266" s="38"/>
      <c r="C266" s="20"/>
      <c r="D266" s="20"/>
      <c r="E266" s="20"/>
      <c r="F266" s="20" t="s">
        <v>1013</v>
      </c>
      <c r="G266" s="39"/>
      <c r="H266" s="40"/>
      <c r="I266" s="22"/>
      <c r="L266" s="22"/>
      <c r="M266" s="22"/>
      <c r="O266" s="22"/>
      <c r="R266" s="22"/>
      <c r="S266" s="22"/>
      <c r="T266" s="22"/>
      <c r="U266" s="22"/>
      <c r="V266" s="22"/>
      <c r="W266" s="22"/>
      <c r="X266" s="22"/>
      <c r="Y266" s="22"/>
      <c r="Z266" s="22"/>
      <c r="AA266" s="22"/>
      <c r="AB266" s="22"/>
      <c r="AD266" s="22"/>
      <c r="AE266" s="22"/>
      <c r="AF266" s="22"/>
      <c r="AG266" s="22"/>
      <c r="AH266" s="22"/>
      <c r="AM266" s="22">
        <f t="shared" si="9"/>
        <v>0</v>
      </c>
    </row>
    <row r="267" spans="1:39" x14ac:dyDescent="0.25">
      <c r="A267" s="20" t="s">
        <v>55</v>
      </c>
      <c r="B267" s="38"/>
      <c r="C267" s="20"/>
      <c r="D267" s="20"/>
      <c r="E267" s="20"/>
      <c r="F267" s="20" t="s">
        <v>1013</v>
      </c>
      <c r="G267" s="39"/>
      <c r="H267" s="40"/>
      <c r="I267" s="22"/>
      <c r="L267" s="22"/>
      <c r="M267" s="22"/>
      <c r="O267" s="22"/>
      <c r="R267" s="22"/>
      <c r="S267" s="22"/>
      <c r="T267" s="22"/>
      <c r="U267" s="22"/>
      <c r="V267" s="22"/>
      <c r="W267" s="22"/>
      <c r="X267" s="22"/>
      <c r="Y267" s="22"/>
      <c r="Z267" s="22"/>
      <c r="AA267" s="22"/>
      <c r="AB267" s="22"/>
      <c r="AC267" s="22"/>
      <c r="AD267" s="22"/>
      <c r="AE267" s="22"/>
      <c r="AF267" s="22"/>
      <c r="AG267" s="22"/>
      <c r="AH267" s="22"/>
      <c r="AM267" s="22">
        <f t="shared" si="9"/>
        <v>0</v>
      </c>
    </row>
    <row r="268" spans="1:39" x14ac:dyDescent="0.25">
      <c r="A268" s="20" t="s">
        <v>55</v>
      </c>
      <c r="B268" s="38"/>
      <c r="C268" s="20"/>
      <c r="D268" s="20"/>
      <c r="E268" s="20"/>
      <c r="F268" s="20" t="s">
        <v>1013</v>
      </c>
      <c r="G268" s="39"/>
      <c r="H268" s="40"/>
      <c r="I268" s="22"/>
      <c r="L268" s="22"/>
      <c r="M268" s="22"/>
      <c r="O268" s="22"/>
      <c r="R268" s="22"/>
      <c r="S268" s="22"/>
      <c r="T268" s="22"/>
      <c r="U268" s="22"/>
      <c r="V268" s="22"/>
      <c r="W268" s="22"/>
      <c r="X268" s="22"/>
      <c r="Y268" s="22"/>
      <c r="Z268" s="22"/>
      <c r="AA268" s="22"/>
      <c r="AB268" s="22"/>
      <c r="AC268" s="22"/>
      <c r="AD268" s="22"/>
      <c r="AE268" s="22"/>
      <c r="AF268" s="22"/>
      <c r="AG268" s="22"/>
      <c r="AH268" s="22"/>
      <c r="AM268" s="22">
        <f t="shared" si="9"/>
        <v>0</v>
      </c>
    </row>
    <row r="269" spans="1:39" x14ac:dyDescent="0.25">
      <c r="A269" s="20" t="s">
        <v>55</v>
      </c>
      <c r="B269" s="38"/>
      <c r="C269" s="20"/>
      <c r="D269" s="20"/>
      <c r="E269" s="20"/>
      <c r="F269" s="20" t="s">
        <v>1013</v>
      </c>
      <c r="G269" s="39"/>
      <c r="H269" s="40"/>
      <c r="I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M269" s="22">
        <f t="shared" si="9"/>
        <v>0</v>
      </c>
    </row>
    <row r="270" spans="1:39" x14ac:dyDescent="0.25">
      <c r="A270" s="20" t="s">
        <v>55</v>
      </c>
      <c r="B270" s="38"/>
      <c r="C270" s="20"/>
      <c r="D270" s="20"/>
      <c r="E270" s="20"/>
      <c r="F270" s="20" t="s">
        <v>1013</v>
      </c>
      <c r="G270" s="39"/>
      <c r="H270" s="40"/>
      <c r="I270" s="22"/>
      <c r="O270" s="22"/>
      <c r="P270" s="22"/>
      <c r="Q270" s="22"/>
      <c r="R270" s="22"/>
      <c r="S270" s="22"/>
      <c r="T270" s="22"/>
      <c r="U270" s="22"/>
      <c r="V270" s="22"/>
      <c r="W270" s="22"/>
      <c r="X270" s="22"/>
      <c r="Y270" s="22"/>
      <c r="Z270" s="22"/>
      <c r="AA270" s="22"/>
      <c r="AB270" s="22"/>
      <c r="AC270" s="22"/>
      <c r="AD270" s="22"/>
      <c r="AE270" s="22"/>
      <c r="AF270" s="22"/>
      <c r="AG270" s="22"/>
      <c r="AH270" s="22"/>
      <c r="AM270" s="22">
        <f t="shared" ref="AM270:AM333" si="10">COUNTA(I270:AL270)-COUNTIF(I270:AL270,"CT")</f>
        <v>0</v>
      </c>
    </row>
    <row r="271" spans="1:39" x14ac:dyDescent="0.25">
      <c r="A271" s="20" t="s">
        <v>55</v>
      </c>
      <c r="B271" s="38"/>
      <c r="C271" s="20"/>
      <c r="D271" s="20"/>
      <c r="E271" s="20"/>
      <c r="F271" s="20" t="s">
        <v>1013</v>
      </c>
      <c r="G271" s="39"/>
      <c r="H271" s="40"/>
      <c r="I271" s="22"/>
      <c r="L271" s="22"/>
      <c r="M271" s="22"/>
      <c r="O271" s="22"/>
      <c r="P271" s="22"/>
      <c r="Q271" s="22"/>
      <c r="R271" s="22"/>
      <c r="S271" s="22"/>
      <c r="T271" s="22"/>
      <c r="U271" s="22"/>
      <c r="V271" s="22"/>
      <c r="W271" s="22"/>
      <c r="X271" s="22"/>
      <c r="Y271" s="22"/>
      <c r="Z271" s="22"/>
      <c r="AA271" s="22"/>
      <c r="AB271" s="22"/>
      <c r="AC271" s="22"/>
      <c r="AD271" s="22"/>
      <c r="AE271" s="22"/>
      <c r="AF271" s="22"/>
      <c r="AG271" s="22"/>
      <c r="AH271" s="22"/>
      <c r="AM271" s="22">
        <f t="shared" si="10"/>
        <v>0</v>
      </c>
    </row>
    <row r="272" spans="1:39" x14ac:dyDescent="0.25">
      <c r="A272" s="20" t="s">
        <v>55</v>
      </c>
      <c r="B272" s="38"/>
      <c r="C272" s="20"/>
      <c r="D272" s="20"/>
      <c r="E272" s="20"/>
      <c r="F272" s="20" t="s">
        <v>1013</v>
      </c>
      <c r="G272" s="39"/>
      <c r="H272" s="40"/>
      <c r="I272" s="22"/>
      <c r="J272" s="33"/>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M272" s="22">
        <f t="shared" si="10"/>
        <v>0</v>
      </c>
    </row>
    <row r="273" spans="1:39" x14ac:dyDescent="0.25">
      <c r="A273" s="20" t="s">
        <v>55</v>
      </c>
      <c r="B273" s="38"/>
      <c r="C273" s="20"/>
      <c r="D273" s="20"/>
      <c r="E273" s="20"/>
      <c r="F273" s="20" t="s">
        <v>1013</v>
      </c>
      <c r="G273" s="39"/>
      <c r="H273" s="40"/>
      <c r="I273" s="22"/>
      <c r="N273" s="22"/>
      <c r="O273" s="22"/>
      <c r="P273" s="22"/>
      <c r="Q273" s="22"/>
      <c r="R273" s="22"/>
      <c r="S273" s="22"/>
      <c r="T273" s="22"/>
      <c r="U273" s="22"/>
      <c r="V273" s="22"/>
      <c r="W273" s="22"/>
      <c r="X273" s="22"/>
      <c r="Y273" s="22"/>
      <c r="Z273" s="22"/>
      <c r="AA273" s="22"/>
      <c r="AB273" s="22"/>
      <c r="AC273" s="22"/>
      <c r="AD273" s="22"/>
      <c r="AE273" s="22"/>
      <c r="AF273" s="22"/>
      <c r="AG273" s="22"/>
      <c r="AH273" s="22"/>
      <c r="AM273" s="22">
        <f t="shared" si="10"/>
        <v>0</v>
      </c>
    </row>
    <row r="274" spans="1:39" x14ac:dyDescent="0.25">
      <c r="A274" s="20" t="s">
        <v>55</v>
      </c>
      <c r="B274" s="38"/>
      <c r="C274" s="20"/>
      <c r="D274" s="20"/>
      <c r="E274" s="20"/>
      <c r="F274" s="20" t="s">
        <v>1013</v>
      </c>
      <c r="G274" s="39"/>
      <c r="H274" s="40"/>
      <c r="I274" s="22"/>
      <c r="L274" s="22"/>
      <c r="M274" s="22"/>
      <c r="O274" s="22"/>
      <c r="P274" s="22"/>
      <c r="Q274" s="22"/>
      <c r="R274" s="22"/>
      <c r="S274" s="22"/>
      <c r="T274" s="22"/>
      <c r="U274" s="22"/>
      <c r="V274" s="22"/>
      <c r="W274" s="22"/>
      <c r="X274" s="22"/>
      <c r="Y274" s="22"/>
      <c r="Z274" s="22"/>
      <c r="AA274" s="22"/>
      <c r="AB274" s="22"/>
      <c r="AC274" s="22"/>
      <c r="AD274" s="22"/>
      <c r="AE274" s="22"/>
      <c r="AF274" s="22"/>
      <c r="AG274" s="22"/>
      <c r="AH274" s="22"/>
      <c r="AM274" s="22">
        <f t="shared" si="10"/>
        <v>0</v>
      </c>
    </row>
    <row r="275" spans="1:39" x14ac:dyDescent="0.25">
      <c r="A275" s="20" t="s">
        <v>55</v>
      </c>
      <c r="B275" s="38"/>
      <c r="C275" s="20"/>
      <c r="D275" s="20"/>
      <c r="E275" s="20"/>
      <c r="F275" s="20" t="s">
        <v>1013</v>
      </c>
      <c r="G275" s="39"/>
      <c r="H275" s="40"/>
      <c r="I275" s="22"/>
      <c r="L275" s="22"/>
      <c r="M275" s="22"/>
      <c r="O275" s="22"/>
      <c r="P275" s="22"/>
      <c r="Q275" s="22"/>
      <c r="R275" s="22"/>
      <c r="S275" s="22"/>
      <c r="T275" s="22"/>
      <c r="U275" s="22"/>
      <c r="V275" s="22"/>
      <c r="W275" s="22"/>
      <c r="X275" s="22"/>
      <c r="Y275" s="22"/>
      <c r="Z275" s="22"/>
      <c r="AA275" s="22"/>
      <c r="AB275" s="22"/>
      <c r="AC275" s="22"/>
      <c r="AD275" s="22"/>
      <c r="AE275" s="22"/>
      <c r="AF275" s="22"/>
      <c r="AG275" s="22"/>
      <c r="AH275" s="22"/>
      <c r="AM275" s="22">
        <f t="shared" si="10"/>
        <v>0</v>
      </c>
    </row>
    <row r="276" spans="1:39" x14ac:dyDescent="0.25">
      <c r="A276" s="20" t="s">
        <v>55</v>
      </c>
      <c r="B276" s="38"/>
      <c r="C276" s="20"/>
      <c r="D276" s="20"/>
      <c r="E276" s="20"/>
      <c r="F276" s="20" t="s">
        <v>1013</v>
      </c>
      <c r="G276" s="39"/>
      <c r="H276" s="40"/>
      <c r="I276" s="22"/>
      <c r="O276" s="22"/>
      <c r="P276" s="22"/>
      <c r="Q276" s="22"/>
      <c r="R276" s="22"/>
      <c r="S276" s="22"/>
      <c r="T276" s="22"/>
      <c r="U276" s="22"/>
      <c r="V276" s="22"/>
      <c r="W276" s="22"/>
      <c r="X276" s="22"/>
      <c r="Y276" s="22"/>
      <c r="Z276" s="22"/>
      <c r="AA276" s="22"/>
      <c r="AB276" s="22"/>
      <c r="AC276" s="22"/>
      <c r="AD276" s="22"/>
      <c r="AE276" s="22"/>
      <c r="AF276" s="22"/>
      <c r="AG276" s="22"/>
      <c r="AH276" s="22"/>
      <c r="AM276" s="22">
        <f t="shared" si="10"/>
        <v>0</v>
      </c>
    </row>
    <row r="277" spans="1:39" x14ac:dyDescent="0.25">
      <c r="A277" s="20" t="s">
        <v>55</v>
      </c>
      <c r="B277" s="38"/>
      <c r="C277" s="20"/>
      <c r="D277" s="20"/>
      <c r="E277" s="20"/>
      <c r="F277" s="20" t="s">
        <v>1013</v>
      </c>
      <c r="G277" s="39"/>
      <c r="H277" s="40"/>
      <c r="I277" s="33"/>
      <c r="J277" s="33"/>
      <c r="K277" s="33"/>
      <c r="L277" s="33"/>
      <c r="M277" s="33"/>
      <c r="N277" s="33"/>
      <c r="O277" s="33"/>
      <c r="P277" s="33"/>
      <c r="Q277" s="22"/>
      <c r="R277" s="22"/>
      <c r="S277" s="22"/>
      <c r="T277" s="22"/>
      <c r="V277" s="22"/>
      <c r="W277" s="22"/>
      <c r="X277" s="22"/>
      <c r="Y277" s="22"/>
      <c r="Z277" s="22"/>
      <c r="AA277" s="22"/>
      <c r="AC277" s="22"/>
      <c r="AD277" s="22"/>
      <c r="AE277" s="22"/>
      <c r="AF277" s="22"/>
      <c r="AG277" s="22"/>
      <c r="AH277" s="22"/>
      <c r="AM277" s="22">
        <f t="shared" si="10"/>
        <v>0</v>
      </c>
    </row>
    <row r="278" spans="1:39" x14ac:dyDescent="0.25">
      <c r="A278" s="20" t="s">
        <v>55</v>
      </c>
      <c r="B278" s="38"/>
      <c r="C278" s="20"/>
      <c r="D278" s="20"/>
      <c r="E278" s="20"/>
      <c r="F278" s="20" t="s">
        <v>1013</v>
      </c>
      <c r="G278" s="39"/>
      <c r="H278" s="40"/>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K278" s="33"/>
      <c r="AL278" s="33"/>
      <c r="AM278" s="22">
        <f t="shared" si="10"/>
        <v>0</v>
      </c>
    </row>
    <row r="279" spans="1:39" x14ac:dyDescent="0.25">
      <c r="A279" s="20" t="s">
        <v>55</v>
      </c>
      <c r="B279" s="38"/>
      <c r="C279" s="20"/>
      <c r="D279" s="20"/>
      <c r="E279" s="20"/>
      <c r="F279" s="20" t="s">
        <v>1013</v>
      </c>
      <c r="G279" s="39"/>
      <c r="H279" s="40"/>
      <c r="I279" s="22"/>
      <c r="J279" s="33"/>
      <c r="M279" s="22"/>
      <c r="O279" s="22"/>
      <c r="P279" s="22"/>
      <c r="Q279" s="22"/>
      <c r="R279" s="22"/>
      <c r="S279" s="22"/>
      <c r="T279" s="22"/>
      <c r="U279" s="22"/>
      <c r="V279" s="22"/>
      <c r="W279" s="22"/>
      <c r="X279" s="22"/>
      <c r="Y279" s="22"/>
      <c r="Z279" s="22"/>
      <c r="AA279" s="22"/>
      <c r="AB279" s="22"/>
      <c r="AC279" s="22"/>
      <c r="AD279" s="22"/>
      <c r="AE279" s="22"/>
      <c r="AF279" s="22"/>
      <c r="AG279" s="22"/>
      <c r="AH279" s="22"/>
      <c r="AM279" s="22">
        <f t="shared" si="10"/>
        <v>0</v>
      </c>
    </row>
    <row r="280" spans="1:39" x14ac:dyDescent="0.25">
      <c r="A280" s="20" t="s">
        <v>55</v>
      </c>
      <c r="B280" s="38"/>
      <c r="C280" s="20"/>
      <c r="D280" s="20"/>
      <c r="E280" s="20"/>
      <c r="F280" s="20" t="s">
        <v>1013</v>
      </c>
      <c r="G280" s="39"/>
      <c r="H280" s="40"/>
      <c r="I280" s="33"/>
      <c r="J280" s="33"/>
      <c r="K280" s="33"/>
      <c r="L280" s="33"/>
      <c r="M280" s="33"/>
      <c r="N280" s="33"/>
      <c r="O280" s="33"/>
      <c r="P280" s="33"/>
      <c r="Q280" s="33"/>
      <c r="R280" s="33"/>
      <c r="S280" s="33"/>
      <c r="T280" s="33"/>
      <c r="U280" s="33"/>
      <c r="V280" s="33"/>
      <c r="W280" s="33"/>
      <c r="X280" s="22"/>
      <c r="Y280" s="33"/>
      <c r="Z280" s="33"/>
      <c r="AA280" s="33"/>
      <c r="AB280" s="33"/>
      <c r="AC280" s="33"/>
      <c r="AD280" s="33"/>
      <c r="AE280" s="33"/>
      <c r="AF280" s="33"/>
      <c r="AG280" s="33"/>
      <c r="AH280" s="33"/>
      <c r="AI280" s="33"/>
      <c r="AJ280" s="33"/>
      <c r="AK280" s="33"/>
      <c r="AL280" s="33"/>
      <c r="AM280" s="22">
        <f t="shared" si="10"/>
        <v>0</v>
      </c>
    </row>
    <row r="281" spans="1:39" x14ac:dyDescent="0.25">
      <c r="A281" s="20" t="s">
        <v>55</v>
      </c>
      <c r="B281" s="38"/>
      <c r="C281" s="20"/>
      <c r="D281" s="20"/>
      <c r="E281" s="20"/>
      <c r="F281" s="20" t="s">
        <v>1013</v>
      </c>
      <c r="G281" s="39"/>
      <c r="H281" s="40"/>
      <c r="I281" s="22"/>
      <c r="L281" s="22"/>
      <c r="M281" s="22"/>
      <c r="O281" s="22"/>
      <c r="P281" s="22"/>
      <c r="Q281" s="22"/>
      <c r="R281" s="22"/>
      <c r="S281" s="22"/>
      <c r="T281" s="22"/>
      <c r="U281" s="22"/>
      <c r="V281" s="22"/>
      <c r="W281" s="22"/>
      <c r="X281" s="22"/>
      <c r="Y281" s="22"/>
      <c r="Z281" s="22"/>
      <c r="AA281" s="22"/>
      <c r="AB281" s="22"/>
      <c r="AC281" s="22"/>
      <c r="AD281" s="22"/>
      <c r="AE281" s="22"/>
      <c r="AF281" s="22"/>
      <c r="AG281" s="22"/>
      <c r="AH281" s="22"/>
      <c r="AM281" s="22">
        <f t="shared" si="10"/>
        <v>0</v>
      </c>
    </row>
    <row r="282" spans="1:39" x14ac:dyDescent="0.25">
      <c r="A282" s="20" t="s">
        <v>55</v>
      </c>
      <c r="B282" s="38"/>
      <c r="C282" s="20"/>
      <c r="D282" s="20"/>
      <c r="E282" s="20"/>
      <c r="F282" s="20" t="s">
        <v>1013</v>
      </c>
      <c r="G282" s="39"/>
      <c r="H282" s="40"/>
      <c r="I282" s="22"/>
      <c r="L282" s="22"/>
      <c r="M282" s="22"/>
      <c r="O282" s="22"/>
      <c r="P282" s="22"/>
      <c r="Q282" s="22"/>
      <c r="R282" s="22"/>
      <c r="S282" s="22"/>
      <c r="T282" s="22"/>
      <c r="U282" s="22"/>
      <c r="V282" s="22"/>
      <c r="W282" s="22"/>
      <c r="X282" s="22"/>
      <c r="Y282" s="22"/>
      <c r="Z282" s="22"/>
      <c r="AA282" s="22"/>
      <c r="AB282" s="22"/>
      <c r="AC282" s="22"/>
      <c r="AD282" s="22"/>
      <c r="AE282" s="22"/>
      <c r="AF282" s="22"/>
      <c r="AG282" s="22"/>
      <c r="AH282" s="22"/>
      <c r="AM282" s="22">
        <f t="shared" si="10"/>
        <v>0</v>
      </c>
    </row>
    <row r="283" spans="1:39" x14ac:dyDescent="0.25">
      <c r="A283" s="20" t="s">
        <v>55</v>
      </c>
      <c r="B283" s="38"/>
      <c r="C283" s="20"/>
      <c r="D283" s="20"/>
      <c r="E283" s="20"/>
      <c r="F283" s="20" t="s">
        <v>1013</v>
      </c>
      <c r="G283" s="39"/>
      <c r="H283" s="40"/>
      <c r="I283" s="22"/>
      <c r="L283" s="22"/>
      <c r="M283" s="22"/>
      <c r="O283" s="22"/>
      <c r="P283" s="22"/>
      <c r="Q283" s="22"/>
      <c r="R283" s="22"/>
      <c r="S283" s="22"/>
      <c r="T283" s="22"/>
      <c r="U283" s="22"/>
      <c r="V283" s="22"/>
      <c r="W283" s="22"/>
      <c r="X283" s="22"/>
      <c r="Y283" s="22"/>
      <c r="Z283" s="22"/>
      <c r="AA283" s="22"/>
      <c r="AB283" s="22"/>
      <c r="AC283" s="22"/>
      <c r="AD283" s="22"/>
      <c r="AE283" s="22"/>
      <c r="AF283" s="22"/>
      <c r="AG283" s="22"/>
      <c r="AH283" s="22"/>
      <c r="AM283" s="22">
        <f t="shared" si="10"/>
        <v>0</v>
      </c>
    </row>
    <row r="284" spans="1:39" x14ac:dyDescent="0.25">
      <c r="A284" s="20" t="s">
        <v>55</v>
      </c>
      <c r="B284" s="38"/>
      <c r="C284" s="20"/>
      <c r="D284" s="20"/>
      <c r="E284" s="20"/>
      <c r="F284" s="20" t="s">
        <v>1013</v>
      </c>
      <c r="G284" s="39"/>
      <c r="H284" s="40"/>
      <c r="I284" s="22"/>
      <c r="J284" s="33"/>
      <c r="L284" s="22"/>
      <c r="M284" s="22"/>
      <c r="O284" s="22"/>
      <c r="P284" s="22"/>
      <c r="Q284" s="22"/>
      <c r="R284" s="22"/>
      <c r="S284" s="22"/>
      <c r="T284" s="22"/>
      <c r="U284" s="22"/>
      <c r="V284" s="22"/>
      <c r="W284" s="22"/>
      <c r="X284" s="22"/>
      <c r="Y284" s="22"/>
      <c r="Z284" s="22"/>
      <c r="AA284" s="22"/>
      <c r="AB284" s="22"/>
      <c r="AC284" s="22"/>
      <c r="AD284" s="22"/>
      <c r="AE284" s="22"/>
      <c r="AF284" s="22"/>
      <c r="AG284" s="22"/>
      <c r="AH284" s="22"/>
      <c r="AM284" s="22">
        <f t="shared" si="10"/>
        <v>0</v>
      </c>
    </row>
    <row r="285" spans="1:39" x14ac:dyDescent="0.25">
      <c r="A285" s="20" t="s">
        <v>55</v>
      </c>
      <c r="B285" s="38"/>
      <c r="C285" s="20"/>
      <c r="D285" s="20"/>
      <c r="E285" s="20"/>
      <c r="F285" s="20" t="s">
        <v>1013</v>
      </c>
      <c r="G285" s="39"/>
      <c r="H285" s="40"/>
      <c r="I285" s="22"/>
      <c r="L285" s="22"/>
      <c r="M285" s="22"/>
      <c r="O285" s="22"/>
      <c r="P285" s="22"/>
      <c r="Q285" s="22"/>
      <c r="R285" s="22"/>
      <c r="S285" s="22"/>
      <c r="T285" s="22"/>
      <c r="U285" s="22"/>
      <c r="V285" s="22"/>
      <c r="W285" s="22"/>
      <c r="X285" s="22"/>
      <c r="Y285" s="22"/>
      <c r="Z285" s="22"/>
      <c r="AA285" s="22"/>
      <c r="AB285" s="22"/>
      <c r="AC285" s="22"/>
      <c r="AD285" s="22"/>
      <c r="AE285" s="22"/>
      <c r="AF285" s="22"/>
      <c r="AG285" s="22"/>
      <c r="AH285" s="22"/>
      <c r="AM285" s="22">
        <f t="shared" si="10"/>
        <v>0</v>
      </c>
    </row>
    <row r="286" spans="1:39" x14ac:dyDescent="0.25">
      <c r="A286" s="20" t="s">
        <v>55</v>
      </c>
      <c r="B286" s="38"/>
      <c r="C286" s="20"/>
      <c r="D286" s="20"/>
      <c r="E286" s="20"/>
      <c r="F286" s="20" t="s">
        <v>1013</v>
      </c>
      <c r="G286" s="39"/>
      <c r="H286" s="40"/>
      <c r="I286" s="22"/>
      <c r="L286" s="22"/>
      <c r="M286" s="22"/>
      <c r="O286" s="22"/>
      <c r="P286" s="22"/>
      <c r="Q286" s="22"/>
      <c r="R286" s="22"/>
      <c r="S286" s="22"/>
      <c r="T286" s="22"/>
      <c r="U286" s="22"/>
      <c r="V286" s="22"/>
      <c r="W286" s="22"/>
      <c r="X286" s="22"/>
      <c r="Y286" s="22"/>
      <c r="Z286" s="22"/>
      <c r="AA286" s="22"/>
      <c r="AB286" s="22"/>
      <c r="AC286" s="22"/>
      <c r="AD286" s="22"/>
      <c r="AE286" s="22"/>
      <c r="AF286" s="22"/>
      <c r="AG286" s="22"/>
      <c r="AH286" s="22"/>
      <c r="AM286" s="22">
        <f t="shared" si="10"/>
        <v>0</v>
      </c>
    </row>
    <row r="287" spans="1:39" x14ac:dyDescent="0.25">
      <c r="A287" s="20" t="s">
        <v>55</v>
      </c>
      <c r="B287" s="38"/>
      <c r="C287" s="20"/>
      <c r="D287" s="20"/>
      <c r="E287" s="20"/>
      <c r="F287" s="20" t="s">
        <v>1013</v>
      </c>
      <c r="G287" s="39"/>
      <c r="H287" s="40"/>
      <c r="I287" s="22"/>
      <c r="L287" s="22"/>
      <c r="O287" s="22"/>
      <c r="P287" s="22"/>
      <c r="Q287" s="22"/>
      <c r="R287" s="22"/>
      <c r="U287" s="22"/>
      <c r="V287" s="22"/>
      <c r="W287" s="22"/>
      <c r="X287" s="22"/>
      <c r="Y287" s="22"/>
      <c r="Z287" s="22"/>
      <c r="AA287" s="22"/>
      <c r="AB287" s="22"/>
      <c r="AC287" s="22"/>
      <c r="AD287" s="22"/>
      <c r="AE287" s="22"/>
      <c r="AF287" s="22"/>
      <c r="AG287" s="22"/>
      <c r="AH287" s="22"/>
      <c r="AM287" s="22">
        <f t="shared" si="10"/>
        <v>0</v>
      </c>
    </row>
    <row r="288" spans="1:39" x14ac:dyDescent="0.25">
      <c r="A288" s="20" t="s">
        <v>55</v>
      </c>
      <c r="B288" s="38"/>
      <c r="C288" s="20"/>
      <c r="D288" s="20"/>
      <c r="E288" s="20"/>
      <c r="F288" s="20" t="s">
        <v>1013</v>
      </c>
      <c r="G288" s="39"/>
      <c r="H288" s="40"/>
      <c r="I288" s="22"/>
      <c r="J288" s="33"/>
      <c r="L288" s="22"/>
      <c r="M288" s="22"/>
      <c r="O288" s="22"/>
      <c r="R288" s="22"/>
      <c r="S288" s="22"/>
      <c r="T288" s="22"/>
      <c r="U288" s="22"/>
      <c r="V288" s="22"/>
      <c r="W288" s="22"/>
      <c r="X288" s="22"/>
      <c r="Y288" s="22"/>
      <c r="Z288" s="22"/>
      <c r="AA288" s="22"/>
      <c r="AB288" s="22"/>
      <c r="AC288" s="22"/>
      <c r="AD288" s="22"/>
      <c r="AE288" s="22"/>
      <c r="AF288" s="22"/>
      <c r="AG288" s="22"/>
      <c r="AH288" s="22"/>
      <c r="AM288" s="22">
        <f t="shared" si="10"/>
        <v>0</v>
      </c>
    </row>
    <row r="289" spans="1:39" x14ac:dyDescent="0.25">
      <c r="A289" s="20" t="s">
        <v>55</v>
      </c>
      <c r="B289" s="38"/>
      <c r="C289" s="20"/>
      <c r="D289" s="20"/>
      <c r="E289" s="20"/>
      <c r="F289" s="20" t="s">
        <v>1013</v>
      </c>
      <c r="G289" s="39"/>
      <c r="H289" s="40"/>
      <c r="I289" s="22"/>
      <c r="L289" s="22"/>
      <c r="M289" s="22"/>
      <c r="O289" s="22"/>
      <c r="P289" s="22"/>
      <c r="Q289" s="22"/>
      <c r="R289" s="22"/>
      <c r="S289" s="22"/>
      <c r="T289" s="22"/>
      <c r="U289" s="22"/>
      <c r="V289" s="22"/>
      <c r="W289" s="22"/>
      <c r="X289" s="22"/>
      <c r="Y289" s="22"/>
      <c r="Z289" s="22"/>
      <c r="AA289" s="22"/>
      <c r="AB289" s="22"/>
      <c r="AC289" s="22"/>
      <c r="AD289" s="22"/>
      <c r="AE289" s="22"/>
      <c r="AF289" s="22"/>
      <c r="AG289" s="22"/>
      <c r="AH289" s="22"/>
      <c r="AM289" s="22">
        <f t="shared" si="10"/>
        <v>0</v>
      </c>
    </row>
    <row r="290" spans="1:39" x14ac:dyDescent="0.25">
      <c r="A290" s="20" t="s">
        <v>55</v>
      </c>
      <c r="B290" s="38"/>
      <c r="C290" s="20"/>
      <c r="D290" s="20"/>
      <c r="E290" s="20"/>
      <c r="F290" s="20" t="s">
        <v>1013</v>
      </c>
      <c r="G290" s="39"/>
      <c r="H290" s="40"/>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22">
        <f t="shared" si="10"/>
        <v>0</v>
      </c>
    </row>
    <row r="291" spans="1:39" x14ac:dyDescent="0.25">
      <c r="A291" s="20" t="s">
        <v>55</v>
      </c>
      <c r="B291" s="38"/>
      <c r="C291" s="20"/>
      <c r="D291" s="20"/>
      <c r="E291" s="20"/>
      <c r="F291" s="20" t="s">
        <v>1013</v>
      </c>
      <c r="G291" s="39"/>
      <c r="H291" s="40"/>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22">
        <f t="shared" si="10"/>
        <v>0</v>
      </c>
    </row>
    <row r="292" spans="1:39" x14ac:dyDescent="0.25">
      <c r="A292" s="20" t="s">
        <v>55</v>
      </c>
      <c r="B292" s="38"/>
      <c r="C292" s="20"/>
      <c r="D292" s="20"/>
      <c r="E292" s="20"/>
      <c r="F292" s="20" t="s">
        <v>1013</v>
      </c>
      <c r="G292" s="39"/>
      <c r="H292" s="40"/>
      <c r="I292" s="31"/>
      <c r="M292" s="31"/>
      <c r="Q292" s="31"/>
      <c r="R292" s="31"/>
      <c r="S292" s="31"/>
      <c r="T292" s="31"/>
      <c r="U292" s="22"/>
      <c r="V292" s="22"/>
      <c r="W292" s="31"/>
      <c r="X292" s="31"/>
      <c r="Y292" s="31"/>
      <c r="Z292" s="31"/>
      <c r="AA292" s="31"/>
      <c r="AB292" s="22"/>
      <c r="AC292" s="22"/>
      <c r="AD292" s="31"/>
      <c r="AE292" s="31"/>
      <c r="AF292" s="22"/>
      <c r="AG292" s="31"/>
      <c r="AH292" s="31"/>
      <c r="AK292" s="31"/>
      <c r="AM292" s="22">
        <f t="shared" si="10"/>
        <v>0</v>
      </c>
    </row>
    <row r="293" spans="1:39" x14ac:dyDescent="0.25">
      <c r="A293" s="20" t="s">
        <v>55</v>
      </c>
      <c r="B293" s="38"/>
      <c r="C293" s="20"/>
      <c r="D293" s="20"/>
      <c r="E293" s="20"/>
      <c r="F293" s="20" t="s">
        <v>1013</v>
      </c>
      <c r="G293" s="39"/>
      <c r="H293" s="40"/>
      <c r="I293" s="22"/>
      <c r="L293" s="22"/>
      <c r="M293" s="22"/>
      <c r="O293" s="22"/>
      <c r="P293" s="22"/>
      <c r="Q293" s="22"/>
      <c r="R293" s="22"/>
      <c r="S293" s="22"/>
      <c r="T293" s="22"/>
      <c r="U293" s="22"/>
      <c r="V293" s="22"/>
      <c r="W293" s="22"/>
      <c r="X293" s="22"/>
      <c r="Y293" s="22"/>
      <c r="Z293" s="22"/>
      <c r="AA293" s="22"/>
      <c r="AB293" s="22"/>
      <c r="AC293" s="22"/>
      <c r="AD293" s="22"/>
      <c r="AE293" s="22"/>
      <c r="AF293" s="22"/>
      <c r="AG293" s="22"/>
      <c r="AH293" s="22"/>
      <c r="AM293" s="22">
        <f t="shared" si="10"/>
        <v>0</v>
      </c>
    </row>
    <row r="294" spans="1:39" x14ac:dyDescent="0.25">
      <c r="A294" s="20" t="s">
        <v>55</v>
      </c>
      <c r="B294" s="38"/>
      <c r="C294" s="20"/>
      <c r="D294" s="20"/>
      <c r="E294" s="20"/>
      <c r="F294" s="20" t="s">
        <v>1013</v>
      </c>
      <c r="G294" s="39"/>
      <c r="H294" s="40"/>
      <c r="I294" s="22"/>
      <c r="L294" s="22"/>
      <c r="M294" s="22"/>
      <c r="O294" s="22"/>
      <c r="P294" s="22"/>
      <c r="Q294" s="22"/>
      <c r="R294" s="22"/>
      <c r="S294" s="22"/>
      <c r="T294" s="22"/>
      <c r="U294" s="22"/>
      <c r="V294" s="22"/>
      <c r="W294" s="22"/>
      <c r="X294" s="22"/>
      <c r="Y294" s="22"/>
      <c r="Z294" s="22"/>
      <c r="AA294" s="22"/>
      <c r="AB294" s="22"/>
      <c r="AC294" s="22"/>
      <c r="AD294" s="22"/>
      <c r="AE294" s="22"/>
      <c r="AF294" s="22"/>
      <c r="AG294" s="22"/>
      <c r="AH294" s="22"/>
      <c r="AM294" s="22">
        <f t="shared" si="10"/>
        <v>0</v>
      </c>
    </row>
    <row r="295" spans="1:39" x14ac:dyDescent="0.25">
      <c r="A295" s="20" t="s">
        <v>55</v>
      </c>
      <c r="B295" s="38"/>
      <c r="C295" s="20"/>
      <c r="D295" s="20"/>
      <c r="E295" s="20"/>
      <c r="F295" s="20" t="s">
        <v>1013</v>
      </c>
      <c r="G295" s="39"/>
      <c r="H295" s="40"/>
      <c r="I295" s="22"/>
      <c r="M295" s="22"/>
      <c r="O295" s="22"/>
      <c r="P295" s="22"/>
      <c r="Q295" s="22"/>
      <c r="R295" s="22"/>
      <c r="S295" s="22"/>
      <c r="T295" s="22"/>
      <c r="U295" s="22"/>
      <c r="V295" s="22"/>
      <c r="W295" s="22"/>
      <c r="X295" s="22"/>
      <c r="Y295" s="22"/>
      <c r="Z295" s="22"/>
      <c r="AA295" s="22"/>
      <c r="AB295" s="22"/>
      <c r="AC295" s="22"/>
      <c r="AD295" s="22"/>
      <c r="AE295" s="22"/>
      <c r="AF295" s="22"/>
      <c r="AG295" s="22"/>
      <c r="AH295" s="22"/>
      <c r="AM295" s="22">
        <f t="shared" si="10"/>
        <v>0</v>
      </c>
    </row>
    <row r="296" spans="1:39" x14ac:dyDescent="0.25">
      <c r="A296" s="20" t="s">
        <v>55</v>
      </c>
      <c r="B296" s="38"/>
      <c r="C296" s="20"/>
      <c r="D296" s="20"/>
      <c r="E296" s="20"/>
      <c r="F296" s="20" t="s">
        <v>1013</v>
      </c>
      <c r="G296" s="39"/>
      <c r="H296" s="40"/>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22">
        <f t="shared" si="10"/>
        <v>0</v>
      </c>
    </row>
    <row r="297" spans="1:39" x14ac:dyDescent="0.25">
      <c r="A297" s="20" t="s">
        <v>55</v>
      </c>
      <c r="B297" s="38"/>
      <c r="C297" s="20"/>
      <c r="D297" s="20"/>
      <c r="E297" s="20"/>
      <c r="F297" s="20" t="s">
        <v>1013</v>
      </c>
      <c r="G297" s="39"/>
      <c r="H297" s="40"/>
      <c r="I297" s="22"/>
      <c r="L297" s="22"/>
      <c r="M297" s="22"/>
      <c r="O297" s="22"/>
      <c r="P297" s="22"/>
      <c r="Q297" s="22"/>
      <c r="R297" s="22"/>
      <c r="S297" s="22"/>
      <c r="T297" s="22"/>
      <c r="U297" s="22"/>
      <c r="V297" s="22"/>
      <c r="W297" s="22"/>
      <c r="X297" s="22"/>
      <c r="Y297" s="22"/>
      <c r="Z297" s="22"/>
      <c r="AA297" s="22"/>
      <c r="AB297" s="22"/>
      <c r="AC297" s="22"/>
      <c r="AD297" s="22"/>
      <c r="AE297" s="22"/>
      <c r="AF297" s="22"/>
      <c r="AG297" s="22"/>
      <c r="AH297" s="22"/>
      <c r="AM297" s="22">
        <f t="shared" si="10"/>
        <v>0</v>
      </c>
    </row>
    <row r="298" spans="1:39" x14ac:dyDescent="0.25">
      <c r="A298" s="20" t="s">
        <v>55</v>
      </c>
      <c r="B298" s="38"/>
      <c r="C298" s="20"/>
      <c r="D298" s="20"/>
      <c r="E298" s="20"/>
      <c r="F298" s="20" t="s">
        <v>1013</v>
      </c>
      <c r="G298" s="39"/>
      <c r="H298" s="40"/>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22">
        <f t="shared" si="10"/>
        <v>0</v>
      </c>
    </row>
    <row r="299" spans="1:39" x14ac:dyDescent="0.25">
      <c r="A299" s="20" t="s">
        <v>55</v>
      </c>
      <c r="B299" s="38"/>
      <c r="C299" s="20"/>
      <c r="D299" s="20"/>
      <c r="E299" s="20"/>
      <c r="F299" s="20" t="s">
        <v>1013</v>
      </c>
      <c r="G299" s="39"/>
      <c r="H299" s="40"/>
      <c r="I299" s="22"/>
      <c r="L299" s="22"/>
      <c r="M299" s="22"/>
      <c r="O299" s="22"/>
      <c r="P299" s="22"/>
      <c r="Q299" s="22"/>
      <c r="R299" s="22"/>
      <c r="S299" s="22"/>
      <c r="T299" s="22"/>
      <c r="U299" s="22"/>
      <c r="V299" s="22"/>
      <c r="W299" s="22"/>
      <c r="X299" s="22"/>
      <c r="Y299" s="22"/>
      <c r="Z299" s="22"/>
      <c r="AA299" s="22"/>
      <c r="AB299" s="22"/>
      <c r="AC299" s="22"/>
      <c r="AD299" s="22"/>
      <c r="AE299" s="22"/>
      <c r="AF299" s="22"/>
      <c r="AG299" s="22"/>
      <c r="AH299" s="22"/>
      <c r="AM299" s="22">
        <f t="shared" si="10"/>
        <v>0</v>
      </c>
    </row>
    <row r="300" spans="1:39" x14ac:dyDescent="0.25">
      <c r="A300" s="20" t="s">
        <v>55</v>
      </c>
      <c r="B300" s="38"/>
      <c r="C300" s="20"/>
      <c r="D300" s="20"/>
      <c r="E300" s="20"/>
      <c r="F300" s="20" t="s">
        <v>1013</v>
      </c>
      <c r="G300" s="39"/>
      <c r="H300" s="40"/>
      <c r="I300" s="22"/>
      <c r="J300" s="33"/>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M300" s="22">
        <f t="shared" si="10"/>
        <v>0</v>
      </c>
    </row>
    <row r="301" spans="1:39" x14ac:dyDescent="0.25">
      <c r="A301" s="20" t="s">
        <v>55</v>
      </c>
      <c r="B301" s="38"/>
      <c r="C301" s="20"/>
      <c r="D301" s="20"/>
      <c r="E301" s="20"/>
      <c r="F301" s="20" t="s">
        <v>1013</v>
      </c>
      <c r="G301" s="39"/>
      <c r="H301" s="40"/>
      <c r="I301" s="22"/>
      <c r="J301" s="33"/>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M301" s="22">
        <f t="shared" si="10"/>
        <v>0</v>
      </c>
    </row>
    <row r="302" spans="1:39" x14ac:dyDescent="0.25">
      <c r="A302" s="20" t="s">
        <v>55</v>
      </c>
      <c r="B302" s="38"/>
      <c r="C302" s="20"/>
      <c r="D302" s="20"/>
      <c r="E302" s="20"/>
      <c r="F302" s="20" t="s">
        <v>1013</v>
      </c>
      <c r="G302" s="39"/>
      <c r="H302" s="40"/>
      <c r="J302" s="33"/>
      <c r="P302" s="31"/>
      <c r="U302" s="22"/>
      <c r="V302" s="22"/>
      <c r="W302" s="22"/>
      <c r="X302" s="31"/>
      <c r="Z302" s="22"/>
      <c r="AM302" s="22">
        <f t="shared" si="10"/>
        <v>0</v>
      </c>
    </row>
    <row r="303" spans="1:39" x14ac:dyDescent="0.25">
      <c r="A303" s="20" t="s">
        <v>55</v>
      </c>
      <c r="B303" s="38"/>
      <c r="C303" s="20"/>
      <c r="D303" s="20"/>
      <c r="E303" s="20"/>
      <c r="F303" s="20" t="s">
        <v>1013</v>
      </c>
      <c r="G303" s="39"/>
      <c r="H303" s="40"/>
      <c r="I303" s="22"/>
      <c r="L303" s="22"/>
      <c r="M303" s="22"/>
      <c r="O303" s="22"/>
      <c r="P303" s="22"/>
      <c r="R303" s="22"/>
      <c r="S303" s="22"/>
      <c r="T303" s="22"/>
      <c r="U303" s="22"/>
      <c r="V303" s="22"/>
      <c r="W303" s="22"/>
      <c r="X303" s="22"/>
      <c r="Z303" s="22"/>
      <c r="AA303" s="22"/>
      <c r="AB303" s="22"/>
      <c r="AC303" s="22"/>
      <c r="AD303" s="22"/>
      <c r="AE303" s="22"/>
      <c r="AF303" s="22"/>
      <c r="AG303" s="22"/>
      <c r="AH303" s="22"/>
      <c r="AM303" s="22">
        <f t="shared" si="10"/>
        <v>0</v>
      </c>
    </row>
    <row r="304" spans="1:39" x14ac:dyDescent="0.25">
      <c r="A304" s="20" t="s">
        <v>55</v>
      </c>
      <c r="B304" s="38"/>
      <c r="C304" s="20"/>
      <c r="D304" s="20"/>
      <c r="E304" s="20"/>
      <c r="F304" s="20" t="s">
        <v>1013</v>
      </c>
      <c r="G304" s="39"/>
      <c r="H304" s="40"/>
      <c r="I304" s="22"/>
      <c r="L304" s="22"/>
      <c r="M304" s="22"/>
      <c r="O304" s="22"/>
      <c r="P304" s="22"/>
      <c r="Q304" s="22"/>
      <c r="R304" s="22"/>
      <c r="S304" s="22"/>
      <c r="T304" s="22"/>
      <c r="U304" s="22"/>
      <c r="V304" s="22"/>
      <c r="W304" s="22"/>
      <c r="X304" s="22"/>
      <c r="Y304" s="22"/>
      <c r="Z304" s="22"/>
      <c r="AA304" s="22"/>
      <c r="AB304" s="22"/>
      <c r="AC304" s="22"/>
      <c r="AD304" s="22"/>
      <c r="AE304" s="22"/>
      <c r="AF304" s="22"/>
      <c r="AG304" s="22"/>
      <c r="AH304" s="22"/>
      <c r="AM304" s="22">
        <f t="shared" si="10"/>
        <v>0</v>
      </c>
    </row>
    <row r="305" spans="1:39" x14ac:dyDescent="0.25">
      <c r="A305" s="20" t="s">
        <v>55</v>
      </c>
      <c r="B305" s="38"/>
      <c r="C305" s="20"/>
      <c r="D305" s="20"/>
      <c r="E305" s="20"/>
      <c r="F305" s="20" t="s">
        <v>1013</v>
      </c>
      <c r="G305" s="39"/>
      <c r="H305" s="40"/>
      <c r="I305" s="22"/>
      <c r="L305" s="22"/>
      <c r="M305" s="22"/>
      <c r="P305" s="22"/>
      <c r="Q305" s="22"/>
      <c r="R305" s="22"/>
      <c r="S305" s="22"/>
      <c r="T305" s="22"/>
      <c r="U305" s="22"/>
      <c r="V305" s="22"/>
      <c r="W305" s="22"/>
      <c r="X305" s="22"/>
      <c r="Y305" s="22"/>
      <c r="Z305" s="22"/>
      <c r="AA305" s="22"/>
      <c r="AB305" s="22"/>
      <c r="AC305" s="22"/>
      <c r="AD305" s="22"/>
      <c r="AE305" s="22"/>
      <c r="AF305" s="22"/>
      <c r="AG305" s="22"/>
      <c r="AH305" s="22"/>
      <c r="AM305" s="22">
        <f t="shared" si="10"/>
        <v>0</v>
      </c>
    </row>
    <row r="306" spans="1:39" x14ac:dyDescent="0.25">
      <c r="A306" s="20" t="s">
        <v>55</v>
      </c>
      <c r="B306" s="38"/>
      <c r="C306" s="20"/>
      <c r="D306" s="20"/>
      <c r="E306" s="20"/>
      <c r="F306" s="20" t="s">
        <v>1013</v>
      </c>
      <c r="G306" s="39"/>
      <c r="H306" s="40"/>
      <c r="I306" s="22"/>
      <c r="L306" s="22"/>
      <c r="M306" s="22"/>
      <c r="O306" s="22"/>
      <c r="P306" s="22"/>
      <c r="Q306" s="22"/>
      <c r="R306" s="22"/>
      <c r="S306" s="22"/>
      <c r="T306" s="22"/>
      <c r="U306" s="22"/>
      <c r="V306" s="22"/>
      <c r="W306" s="22"/>
      <c r="X306" s="22"/>
      <c r="Y306" s="22"/>
      <c r="Z306" s="22"/>
      <c r="AA306" s="22"/>
      <c r="AB306" s="22"/>
      <c r="AC306" s="22"/>
      <c r="AD306" s="22"/>
      <c r="AE306" s="22"/>
      <c r="AF306" s="22"/>
      <c r="AG306" s="22"/>
      <c r="AH306" s="22"/>
      <c r="AM306" s="22">
        <f t="shared" si="10"/>
        <v>0</v>
      </c>
    </row>
    <row r="307" spans="1:39" x14ac:dyDescent="0.25">
      <c r="A307" s="20" t="s">
        <v>55</v>
      </c>
      <c r="B307" s="38"/>
      <c r="C307" s="20"/>
      <c r="D307" s="20"/>
      <c r="E307" s="20"/>
      <c r="F307" s="20" t="s">
        <v>1013</v>
      </c>
      <c r="G307" s="39"/>
      <c r="H307" s="40"/>
      <c r="I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M307" s="22">
        <f t="shared" si="10"/>
        <v>0</v>
      </c>
    </row>
    <row r="308" spans="1:39" x14ac:dyDescent="0.25">
      <c r="A308" s="20" t="s">
        <v>55</v>
      </c>
      <c r="B308" s="38"/>
      <c r="C308" s="20"/>
      <c r="D308" s="20"/>
      <c r="E308" s="20"/>
      <c r="F308" s="20" t="s">
        <v>1013</v>
      </c>
      <c r="G308" s="39"/>
      <c r="H308" s="40"/>
      <c r="I308" s="22"/>
      <c r="L308" s="22"/>
      <c r="M308" s="22"/>
      <c r="O308" s="22"/>
      <c r="P308" s="22"/>
      <c r="T308" s="22"/>
      <c r="U308" s="22"/>
      <c r="V308" s="22"/>
      <c r="W308" s="22"/>
      <c r="X308" s="22"/>
      <c r="Y308" s="22"/>
      <c r="Z308" s="22"/>
      <c r="AA308" s="22"/>
      <c r="AB308" s="22"/>
      <c r="AC308" s="22"/>
      <c r="AD308" s="22"/>
      <c r="AE308" s="22"/>
      <c r="AF308" s="22"/>
      <c r="AG308" s="22"/>
      <c r="AH308" s="22"/>
      <c r="AM308" s="22">
        <f t="shared" si="10"/>
        <v>0</v>
      </c>
    </row>
    <row r="309" spans="1:39" x14ac:dyDescent="0.25">
      <c r="A309" s="20" t="s">
        <v>55</v>
      </c>
      <c r="B309" s="38"/>
      <c r="C309" s="20"/>
      <c r="D309" s="20"/>
      <c r="E309" s="20"/>
      <c r="F309" s="20" t="s">
        <v>1013</v>
      </c>
      <c r="G309" s="39"/>
      <c r="H309" s="40"/>
      <c r="I309" s="22"/>
      <c r="L309" s="22"/>
      <c r="M309" s="22"/>
      <c r="O309" s="22"/>
      <c r="P309" s="22"/>
      <c r="Q309" s="22"/>
      <c r="R309" s="22"/>
      <c r="S309" s="22"/>
      <c r="T309" s="22"/>
      <c r="U309" s="22"/>
      <c r="V309" s="22"/>
      <c r="W309" s="22"/>
      <c r="X309" s="22"/>
      <c r="Y309" s="22"/>
      <c r="Z309" s="22"/>
      <c r="AA309" s="22"/>
      <c r="AB309" s="22"/>
      <c r="AC309" s="22"/>
      <c r="AD309" s="22"/>
      <c r="AE309" s="22"/>
      <c r="AF309" s="22"/>
      <c r="AG309" s="22"/>
      <c r="AH309" s="22"/>
      <c r="AM309" s="22">
        <f t="shared" si="10"/>
        <v>0</v>
      </c>
    </row>
    <row r="310" spans="1:39" x14ac:dyDescent="0.25">
      <c r="A310" s="20" t="s">
        <v>55</v>
      </c>
      <c r="B310" s="38"/>
      <c r="C310" s="20"/>
      <c r="D310" s="20"/>
      <c r="E310" s="20"/>
      <c r="F310" s="20" t="s">
        <v>1013</v>
      </c>
      <c r="G310" s="39"/>
      <c r="H310" s="40"/>
      <c r="I310" s="22"/>
      <c r="L310" s="22"/>
      <c r="M310" s="22"/>
      <c r="O310" s="22"/>
      <c r="R310" s="22"/>
      <c r="S310" s="22"/>
      <c r="T310" s="22"/>
      <c r="U310" s="22"/>
      <c r="V310" s="22"/>
      <c r="W310" s="22"/>
      <c r="X310" s="22"/>
      <c r="Y310" s="22"/>
      <c r="Z310" s="22"/>
      <c r="AA310" s="22"/>
      <c r="AB310" s="22"/>
      <c r="AC310" s="22"/>
      <c r="AD310" s="22"/>
      <c r="AE310" s="22"/>
      <c r="AF310" s="22"/>
      <c r="AG310" s="22"/>
      <c r="AH310" s="22"/>
      <c r="AM310" s="22">
        <f t="shared" si="10"/>
        <v>0</v>
      </c>
    </row>
    <row r="311" spans="1:39" x14ac:dyDescent="0.25">
      <c r="A311" s="20" t="s">
        <v>55</v>
      </c>
      <c r="B311" s="38"/>
      <c r="C311" s="20"/>
      <c r="D311" s="20"/>
      <c r="E311" s="20"/>
      <c r="F311" s="20" t="s">
        <v>1013</v>
      </c>
      <c r="G311" s="39"/>
      <c r="H311" s="40"/>
      <c r="I311" s="22"/>
      <c r="L311" s="22"/>
      <c r="M311" s="22"/>
      <c r="O311" s="22"/>
      <c r="P311" s="22"/>
      <c r="Q311" s="22"/>
      <c r="R311" s="22"/>
      <c r="S311" s="22"/>
      <c r="T311" s="22"/>
      <c r="U311" s="22"/>
      <c r="V311" s="22"/>
      <c r="W311" s="22"/>
      <c r="X311" s="22"/>
      <c r="Y311" s="22"/>
      <c r="Z311" s="22"/>
      <c r="AA311" s="22"/>
      <c r="AB311" s="22"/>
      <c r="AC311" s="22"/>
      <c r="AD311" s="22"/>
      <c r="AE311" s="22"/>
      <c r="AF311" s="22"/>
      <c r="AG311" s="22"/>
      <c r="AH311" s="22"/>
      <c r="AM311" s="22">
        <f t="shared" si="10"/>
        <v>0</v>
      </c>
    </row>
    <row r="312" spans="1:39" x14ac:dyDescent="0.25">
      <c r="A312" s="20" t="s">
        <v>55</v>
      </c>
      <c r="B312" s="38"/>
      <c r="C312" s="20"/>
      <c r="D312" s="20"/>
      <c r="E312" s="20"/>
      <c r="F312" s="20" t="s">
        <v>1013</v>
      </c>
      <c r="G312" s="39"/>
      <c r="H312" s="40"/>
      <c r="I312" s="22"/>
      <c r="L312" s="22"/>
      <c r="M312" s="22"/>
      <c r="O312" s="22"/>
      <c r="R312" s="22"/>
      <c r="S312" s="22"/>
      <c r="T312" s="22"/>
      <c r="U312" s="22"/>
      <c r="V312" s="22"/>
      <c r="W312" s="22"/>
      <c r="X312" s="22"/>
      <c r="Y312" s="22"/>
      <c r="Z312" s="22"/>
      <c r="AA312" s="22"/>
      <c r="AB312" s="22"/>
      <c r="AC312" s="22"/>
      <c r="AD312" s="22"/>
      <c r="AE312" s="22"/>
      <c r="AF312" s="22"/>
      <c r="AG312" s="22"/>
      <c r="AH312" s="22"/>
      <c r="AM312" s="22">
        <f t="shared" si="10"/>
        <v>0</v>
      </c>
    </row>
    <row r="313" spans="1:39" x14ac:dyDescent="0.25">
      <c r="A313" s="20" t="s">
        <v>55</v>
      </c>
      <c r="B313" s="38"/>
      <c r="C313" s="20"/>
      <c r="D313" s="20"/>
      <c r="E313" s="20"/>
      <c r="F313" s="20" t="s">
        <v>1013</v>
      </c>
      <c r="G313" s="39"/>
      <c r="H313" s="40"/>
      <c r="I313" s="22"/>
      <c r="M313" s="22"/>
      <c r="O313" s="22"/>
      <c r="P313" s="22"/>
      <c r="Q313" s="22"/>
      <c r="R313" s="22"/>
      <c r="S313" s="22"/>
      <c r="T313" s="22"/>
      <c r="U313" s="22"/>
      <c r="V313" s="22"/>
      <c r="W313" s="22"/>
      <c r="X313" s="22"/>
      <c r="Y313" s="22"/>
      <c r="Z313" s="22"/>
      <c r="AA313" s="22"/>
      <c r="AB313" s="22"/>
      <c r="AC313" s="22"/>
      <c r="AD313" s="22"/>
      <c r="AE313" s="22"/>
      <c r="AF313" s="22"/>
      <c r="AG313" s="22"/>
      <c r="AH313" s="22"/>
      <c r="AM313" s="22">
        <f t="shared" si="10"/>
        <v>0</v>
      </c>
    </row>
    <row r="314" spans="1:39" x14ac:dyDescent="0.25">
      <c r="A314" s="20" t="s">
        <v>55</v>
      </c>
      <c r="B314" s="38"/>
      <c r="C314" s="20"/>
      <c r="D314" s="20"/>
      <c r="E314" s="20"/>
      <c r="F314" s="20" t="s">
        <v>1013</v>
      </c>
      <c r="G314" s="39"/>
      <c r="H314" s="40"/>
      <c r="I314" s="22"/>
      <c r="L314" s="22"/>
      <c r="O314" s="22"/>
      <c r="P314" s="22"/>
      <c r="Q314" s="22"/>
      <c r="R314" s="22"/>
      <c r="S314" s="22"/>
      <c r="U314" s="22"/>
      <c r="V314" s="22"/>
      <c r="W314" s="22"/>
      <c r="X314" s="22"/>
      <c r="Y314" s="22"/>
      <c r="Z314" s="22"/>
      <c r="AA314" s="22"/>
      <c r="AB314" s="22"/>
      <c r="AC314" s="22"/>
      <c r="AD314" s="22"/>
      <c r="AE314" s="22"/>
      <c r="AF314" s="22"/>
      <c r="AG314" s="22"/>
      <c r="AH314" s="22"/>
      <c r="AM314" s="22">
        <f t="shared" si="10"/>
        <v>0</v>
      </c>
    </row>
    <row r="315" spans="1:39" x14ac:dyDescent="0.25">
      <c r="A315" s="20" t="s">
        <v>55</v>
      </c>
      <c r="B315" s="38"/>
      <c r="C315" s="20"/>
      <c r="D315" s="20"/>
      <c r="E315" s="20"/>
      <c r="F315" s="20" t="s">
        <v>1013</v>
      </c>
      <c r="G315" s="39"/>
      <c r="H315" s="40"/>
      <c r="I315" s="22"/>
      <c r="L315" s="22"/>
      <c r="M315" s="22"/>
      <c r="O315" s="22"/>
      <c r="P315" s="22"/>
      <c r="Q315" s="22"/>
      <c r="R315" s="22"/>
      <c r="S315" s="22"/>
      <c r="T315" s="22"/>
      <c r="U315" s="22"/>
      <c r="V315" s="22"/>
      <c r="W315" s="22"/>
      <c r="X315" s="22"/>
      <c r="Y315" s="22"/>
      <c r="Z315" s="22"/>
      <c r="AA315" s="22"/>
      <c r="AB315" s="22"/>
      <c r="AC315" s="22"/>
      <c r="AD315" s="22"/>
      <c r="AE315" s="22"/>
      <c r="AF315" s="22"/>
      <c r="AG315" s="22"/>
      <c r="AH315" s="22"/>
      <c r="AM315" s="22">
        <f t="shared" si="10"/>
        <v>0</v>
      </c>
    </row>
    <row r="316" spans="1:39" x14ac:dyDescent="0.25">
      <c r="A316" s="20" t="s">
        <v>55</v>
      </c>
      <c r="B316" s="38"/>
      <c r="C316" s="20"/>
      <c r="D316" s="20"/>
      <c r="E316" s="20"/>
      <c r="F316" s="20" t="s">
        <v>1013</v>
      </c>
      <c r="G316" s="39"/>
      <c r="H316" s="40"/>
      <c r="I316" s="22"/>
      <c r="J316" s="33"/>
      <c r="L316" s="22"/>
      <c r="M316" s="22"/>
      <c r="O316" s="22"/>
      <c r="R316" s="22"/>
      <c r="S316" s="22"/>
      <c r="U316" s="22"/>
      <c r="V316" s="22"/>
      <c r="W316" s="22"/>
      <c r="X316" s="22"/>
      <c r="Y316" s="22"/>
      <c r="Z316" s="22"/>
      <c r="AA316" s="22"/>
      <c r="AB316" s="22"/>
      <c r="AC316" s="22"/>
      <c r="AD316" s="22"/>
      <c r="AE316" s="22"/>
      <c r="AF316" s="22"/>
      <c r="AG316" s="22"/>
      <c r="AH316" s="22"/>
      <c r="AM316" s="22">
        <f t="shared" si="10"/>
        <v>0</v>
      </c>
    </row>
    <row r="317" spans="1:39" x14ac:dyDescent="0.25">
      <c r="A317" s="20" t="s">
        <v>55</v>
      </c>
      <c r="B317" s="38"/>
      <c r="C317" s="20"/>
      <c r="D317" s="20"/>
      <c r="E317" s="20"/>
      <c r="F317" s="20" t="s">
        <v>1013</v>
      </c>
      <c r="G317" s="39"/>
      <c r="H317" s="40"/>
      <c r="I317" s="22"/>
      <c r="L317" s="22"/>
      <c r="M317" s="22"/>
      <c r="O317" s="22"/>
      <c r="R317" s="22"/>
      <c r="S317" s="22"/>
      <c r="T317" s="22"/>
      <c r="U317" s="22"/>
      <c r="V317" s="22"/>
      <c r="W317" s="22"/>
      <c r="X317" s="22"/>
      <c r="Y317" s="22"/>
      <c r="Z317" s="22"/>
      <c r="AA317" s="22"/>
      <c r="AB317" s="22"/>
      <c r="AC317" s="22"/>
      <c r="AD317" s="22"/>
      <c r="AE317" s="22"/>
      <c r="AF317" s="22"/>
      <c r="AG317" s="22"/>
      <c r="AH317" s="22"/>
      <c r="AM317" s="22">
        <f t="shared" si="10"/>
        <v>0</v>
      </c>
    </row>
    <row r="318" spans="1:39" x14ac:dyDescent="0.25">
      <c r="A318" s="20" t="s">
        <v>55</v>
      </c>
      <c r="B318" s="38"/>
      <c r="C318" s="20"/>
      <c r="D318" s="20"/>
      <c r="E318" s="20"/>
      <c r="F318" s="20" t="s">
        <v>1013</v>
      </c>
      <c r="G318" s="39"/>
      <c r="H318" s="40"/>
      <c r="I318" s="22"/>
      <c r="L318" s="22"/>
      <c r="M318" s="22"/>
      <c r="O318" s="22"/>
      <c r="P318" s="22"/>
      <c r="Q318" s="22"/>
      <c r="R318" s="22"/>
      <c r="S318" s="22"/>
      <c r="T318" s="22"/>
      <c r="U318" s="22"/>
      <c r="V318" s="22"/>
      <c r="W318" s="22"/>
      <c r="X318" s="22"/>
      <c r="Y318" s="22"/>
      <c r="Z318" s="22"/>
      <c r="AA318" s="22"/>
      <c r="AB318" s="22"/>
      <c r="AC318" s="22"/>
      <c r="AD318" s="22"/>
      <c r="AE318" s="22"/>
      <c r="AF318" s="22"/>
      <c r="AG318" s="22"/>
      <c r="AH318" s="22"/>
      <c r="AM318" s="22">
        <f t="shared" si="10"/>
        <v>0</v>
      </c>
    </row>
    <row r="319" spans="1:39" x14ac:dyDescent="0.25">
      <c r="A319" s="20" t="s">
        <v>55</v>
      </c>
      <c r="B319" s="38"/>
      <c r="C319" s="20"/>
      <c r="D319" s="20"/>
      <c r="E319" s="20"/>
      <c r="F319" s="20" t="s">
        <v>1013</v>
      </c>
      <c r="G319" s="39"/>
      <c r="H319" s="40"/>
      <c r="I319" s="22"/>
      <c r="L319" s="22"/>
      <c r="M319" s="22"/>
      <c r="O319" s="22"/>
      <c r="R319" s="22"/>
      <c r="S319" s="22"/>
      <c r="T319" s="22"/>
      <c r="U319" s="22"/>
      <c r="V319" s="22"/>
      <c r="W319" s="22"/>
      <c r="X319" s="22"/>
      <c r="Y319" s="22"/>
      <c r="Z319" s="22"/>
      <c r="AA319" s="22"/>
      <c r="AB319" s="22"/>
      <c r="AC319" s="22"/>
      <c r="AD319" s="22"/>
      <c r="AE319" s="22"/>
      <c r="AF319" s="22"/>
      <c r="AG319" s="22"/>
      <c r="AH319" s="22"/>
      <c r="AM319" s="22">
        <f t="shared" si="10"/>
        <v>0</v>
      </c>
    </row>
    <row r="320" spans="1:39" x14ac:dyDescent="0.25">
      <c r="A320" s="20" t="s">
        <v>55</v>
      </c>
      <c r="B320" s="38"/>
      <c r="C320" s="20"/>
      <c r="D320" s="20"/>
      <c r="E320" s="20"/>
      <c r="F320" s="20" t="s">
        <v>1013</v>
      </c>
      <c r="G320" s="39"/>
      <c r="H320" s="40"/>
      <c r="I320" s="22"/>
      <c r="L320" s="22"/>
      <c r="M320" s="22"/>
      <c r="O320" s="22"/>
      <c r="P320" s="22"/>
      <c r="Q320" s="22"/>
      <c r="R320" s="22"/>
      <c r="S320" s="22"/>
      <c r="T320" s="22"/>
      <c r="U320" s="22"/>
      <c r="V320" s="22"/>
      <c r="W320" s="22"/>
      <c r="X320" s="22"/>
      <c r="Y320" s="22"/>
      <c r="Z320" s="22"/>
      <c r="AA320" s="22"/>
      <c r="AB320" s="22"/>
      <c r="AC320" s="22"/>
      <c r="AD320" s="22"/>
      <c r="AE320" s="22"/>
      <c r="AF320" s="22"/>
      <c r="AG320" s="22"/>
      <c r="AH320" s="22"/>
      <c r="AM320" s="22">
        <f t="shared" si="10"/>
        <v>0</v>
      </c>
    </row>
    <row r="321" spans="1:39" x14ac:dyDescent="0.25">
      <c r="A321" s="20" t="s">
        <v>55</v>
      </c>
      <c r="B321" s="38"/>
      <c r="C321" s="20"/>
      <c r="D321" s="20"/>
      <c r="E321" s="20"/>
      <c r="F321" s="20" t="s">
        <v>1013</v>
      </c>
      <c r="G321" s="39"/>
      <c r="H321" s="40"/>
      <c r="I321" s="22"/>
      <c r="L321" s="22"/>
      <c r="M321" s="22"/>
      <c r="O321" s="22"/>
      <c r="P321" s="22"/>
      <c r="Q321" s="22"/>
      <c r="R321" s="22"/>
      <c r="S321" s="22"/>
      <c r="T321" s="22"/>
      <c r="U321" s="22"/>
      <c r="V321" s="22"/>
      <c r="W321" s="22"/>
      <c r="X321" s="22"/>
      <c r="Y321" s="22"/>
      <c r="Z321" s="22"/>
      <c r="AA321" s="22"/>
      <c r="AB321" s="22"/>
      <c r="AC321" s="22"/>
      <c r="AD321" s="22"/>
      <c r="AE321" s="22"/>
      <c r="AF321" s="22"/>
      <c r="AG321" s="22"/>
      <c r="AH321" s="22"/>
      <c r="AM321" s="22">
        <f t="shared" si="10"/>
        <v>0</v>
      </c>
    </row>
    <row r="322" spans="1:39" x14ac:dyDescent="0.25">
      <c r="A322" s="20" t="s">
        <v>55</v>
      </c>
      <c r="B322" s="38"/>
      <c r="C322" s="20"/>
      <c r="D322" s="20"/>
      <c r="E322" s="20"/>
      <c r="F322" s="20" t="s">
        <v>1013</v>
      </c>
      <c r="G322" s="39"/>
      <c r="H322" s="40"/>
      <c r="I322" s="22"/>
      <c r="L322" s="22"/>
      <c r="M322" s="22"/>
      <c r="O322" s="22"/>
      <c r="R322" s="22"/>
      <c r="S322" s="22"/>
      <c r="T322" s="22"/>
      <c r="U322" s="22"/>
      <c r="V322" s="22"/>
      <c r="W322" s="22"/>
      <c r="X322" s="22"/>
      <c r="Y322" s="22"/>
      <c r="Z322" s="22"/>
      <c r="AA322" s="22"/>
      <c r="AB322" s="22"/>
      <c r="AC322" s="22"/>
      <c r="AD322" s="22"/>
      <c r="AE322" s="22"/>
      <c r="AF322" s="22"/>
      <c r="AG322" s="22"/>
      <c r="AH322" s="22"/>
      <c r="AM322" s="22">
        <f t="shared" si="10"/>
        <v>0</v>
      </c>
    </row>
    <row r="323" spans="1:39" x14ac:dyDescent="0.25">
      <c r="A323" s="20" t="s">
        <v>55</v>
      </c>
      <c r="B323" s="38"/>
      <c r="C323" s="20"/>
      <c r="D323" s="20"/>
      <c r="E323" s="20"/>
      <c r="F323" s="20" t="s">
        <v>1013</v>
      </c>
      <c r="G323" s="39"/>
      <c r="H323" s="40"/>
      <c r="I323" s="22"/>
      <c r="L323" s="22"/>
      <c r="M323" s="22"/>
      <c r="O323" s="22"/>
      <c r="P323" s="22"/>
      <c r="Q323" s="22"/>
      <c r="R323" s="22"/>
      <c r="S323" s="22"/>
      <c r="T323" s="22"/>
      <c r="U323" s="22"/>
      <c r="V323" s="22"/>
      <c r="W323" s="22"/>
      <c r="X323" s="22"/>
      <c r="Y323" s="22"/>
      <c r="Z323" s="22"/>
      <c r="AA323" s="22"/>
      <c r="AB323" s="22"/>
      <c r="AC323" s="22"/>
      <c r="AD323" s="22"/>
      <c r="AE323" s="22"/>
      <c r="AF323" s="22"/>
      <c r="AG323" s="22"/>
      <c r="AH323" s="22"/>
      <c r="AM323" s="22">
        <f t="shared" si="10"/>
        <v>0</v>
      </c>
    </row>
    <row r="324" spans="1:39" x14ac:dyDescent="0.25">
      <c r="A324" s="20" t="s">
        <v>55</v>
      </c>
      <c r="B324" s="38"/>
      <c r="C324" s="20"/>
      <c r="D324" s="20"/>
      <c r="E324" s="20"/>
      <c r="F324" s="20" t="s">
        <v>1013</v>
      </c>
      <c r="G324" s="39"/>
      <c r="H324" s="40"/>
      <c r="I324" s="22"/>
      <c r="L324" s="22"/>
      <c r="M324" s="22"/>
      <c r="O324" s="22"/>
      <c r="R324" s="22"/>
      <c r="S324" s="22"/>
      <c r="T324" s="22"/>
      <c r="U324" s="22"/>
      <c r="V324" s="22"/>
      <c r="W324" s="22"/>
      <c r="X324" s="22"/>
      <c r="Y324" s="22"/>
      <c r="Z324" s="22"/>
      <c r="AA324" s="22"/>
      <c r="AB324" s="22"/>
      <c r="AC324" s="22"/>
      <c r="AD324" s="22"/>
      <c r="AE324" s="22"/>
      <c r="AF324" s="22"/>
      <c r="AG324" s="22"/>
      <c r="AH324" s="22"/>
      <c r="AM324" s="22">
        <f t="shared" si="10"/>
        <v>0</v>
      </c>
    </row>
    <row r="325" spans="1:39" x14ac:dyDescent="0.25">
      <c r="A325" s="20" t="s">
        <v>55</v>
      </c>
      <c r="B325" s="38"/>
      <c r="C325" s="20"/>
      <c r="D325" s="20"/>
      <c r="E325" s="20"/>
      <c r="F325" s="20" t="s">
        <v>1013</v>
      </c>
      <c r="G325" s="39"/>
      <c r="H325" s="40"/>
      <c r="I325" s="22"/>
      <c r="L325" s="22"/>
      <c r="M325" s="22"/>
      <c r="O325" s="22"/>
      <c r="P325" s="22"/>
      <c r="Q325" s="22"/>
      <c r="R325" s="22"/>
      <c r="S325" s="22"/>
      <c r="T325" s="22"/>
      <c r="U325" s="22"/>
      <c r="V325" s="22"/>
      <c r="W325" s="22"/>
      <c r="X325" s="22"/>
      <c r="Y325" s="22"/>
      <c r="Z325" s="22"/>
      <c r="AA325" s="22"/>
      <c r="AB325" s="22"/>
      <c r="AC325" s="22"/>
      <c r="AD325" s="22"/>
      <c r="AE325" s="22"/>
      <c r="AF325" s="22"/>
      <c r="AG325" s="22"/>
      <c r="AH325" s="22"/>
      <c r="AM325" s="22">
        <f t="shared" si="10"/>
        <v>0</v>
      </c>
    </row>
    <row r="326" spans="1:39" x14ac:dyDescent="0.25">
      <c r="A326" s="20" t="s">
        <v>55</v>
      </c>
      <c r="B326" s="38"/>
      <c r="C326" s="20"/>
      <c r="D326" s="20"/>
      <c r="E326" s="20"/>
      <c r="F326" s="20" t="s">
        <v>1013</v>
      </c>
      <c r="G326" s="39"/>
      <c r="H326" s="40"/>
      <c r="I326" s="22"/>
      <c r="L326" s="22"/>
      <c r="M326" s="22"/>
      <c r="O326" s="22"/>
      <c r="P326" s="22"/>
      <c r="Q326" s="22"/>
      <c r="R326" s="22"/>
      <c r="S326" s="22"/>
      <c r="T326" s="22"/>
      <c r="U326" s="22"/>
      <c r="V326" s="22"/>
      <c r="W326" s="22"/>
      <c r="X326" s="22"/>
      <c r="Y326" s="22"/>
      <c r="Z326" s="22"/>
      <c r="AA326" s="22"/>
      <c r="AB326" s="22"/>
      <c r="AC326" s="22"/>
      <c r="AD326" s="22"/>
      <c r="AE326" s="22"/>
      <c r="AF326" s="22"/>
      <c r="AG326" s="22"/>
      <c r="AH326" s="22"/>
      <c r="AM326" s="22">
        <f t="shared" si="10"/>
        <v>0</v>
      </c>
    </row>
    <row r="327" spans="1:39" x14ac:dyDescent="0.25">
      <c r="A327" s="20" t="s">
        <v>55</v>
      </c>
      <c r="B327" s="38"/>
      <c r="C327" s="20"/>
      <c r="D327" s="20"/>
      <c r="E327" s="20"/>
      <c r="F327" s="20" t="s">
        <v>1013</v>
      </c>
      <c r="G327" s="39"/>
      <c r="H327" s="40"/>
      <c r="I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M327" s="22">
        <f t="shared" si="10"/>
        <v>0</v>
      </c>
    </row>
    <row r="328" spans="1:39" x14ac:dyDescent="0.25">
      <c r="A328" s="20" t="s">
        <v>55</v>
      </c>
      <c r="B328" s="38"/>
      <c r="C328" s="20"/>
      <c r="D328" s="20"/>
      <c r="E328" s="20"/>
      <c r="F328" s="20" t="s">
        <v>1013</v>
      </c>
      <c r="G328" s="39"/>
      <c r="H328" s="40"/>
      <c r="I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M328" s="22">
        <f t="shared" si="10"/>
        <v>0</v>
      </c>
    </row>
    <row r="329" spans="1:39" x14ac:dyDescent="0.25">
      <c r="A329" s="20" t="s">
        <v>55</v>
      </c>
      <c r="B329" s="38"/>
      <c r="C329" s="20"/>
      <c r="D329" s="20"/>
      <c r="E329" s="20"/>
      <c r="F329" s="20" t="s">
        <v>1013</v>
      </c>
      <c r="G329" s="39"/>
      <c r="H329" s="40"/>
      <c r="I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M329" s="22">
        <f t="shared" si="10"/>
        <v>0</v>
      </c>
    </row>
    <row r="330" spans="1:39" x14ac:dyDescent="0.25">
      <c r="A330" s="20" t="s">
        <v>55</v>
      </c>
      <c r="B330" s="38"/>
      <c r="C330" s="20"/>
      <c r="D330" s="20"/>
      <c r="E330" s="20"/>
      <c r="F330" s="20" t="s">
        <v>1013</v>
      </c>
      <c r="G330" s="39"/>
      <c r="H330" s="40"/>
      <c r="I330" s="33"/>
      <c r="J330" s="33"/>
      <c r="K330" s="33"/>
      <c r="L330" s="33"/>
      <c r="M330" s="33"/>
      <c r="N330" s="33"/>
      <c r="O330" s="33"/>
      <c r="P330" s="33"/>
      <c r="Q330" s="33"/>
      <c r="R330" s="33"/>
      <c r="S330" s="33"/>
      <c r="T330" s="33"/>
      <c r="U330" s="22"/>
      <c r="V330" s="33"/>
      <c r="W330" s="33"/>
      <c r="X330" s="33"/>
      <c r="Y330" s="33"/>
      <c r="Z330" s="33"/>
      <c r="AA330" s="33"/>
      <c r="AB330" s="33"/>
      <c r="AC330" s="33"/>
      <c r="AD330" s="33"/>
      <c r="AE330" s="33"/>
      <c r="AF330" s="33"/>
      <c r="AG330" s="33"/>
      <c r="AH330" s="33"/>
      <c r="AI330" s="33"/>
      <c r="AJ330" s="33"/>
      <c r="AK330" s="33"/>
      <c r="AL330" s="33"/>
      <c r="AM330" s="22">
        <f t="shared" si="10"/>
        <v>0</v>
      </c>
    </row>
    <row r="331" spans="1:39" x14ac:dyDescent="0.25">
      <c r="A331" s="20" t="s">
        <v>55</v>
      </c>
      <c r="B331" s="38"/>
      <c r="C331" s="20"/>
      <c r="D331" s="20"/>
      <c r="E331" s="20"/>
      <c r="F331" s="20" t="s">
        <v>1013</v>
      </c>
      <c r="G331" s="39"/>
      <c r="H331" s="40"/>
      <c r="I331" s="31"/>
      <c r="J331" s="31"/>
      <c r="K331" s="31"/>
      <c r="L331" s="31"/>
      <c r="M331" s="31"/>
      <c r="N331" s="31"/>
      <c r="O331" s="31"/>
      <c r="P331" s="31"/>
      <c r="Q331" s="31"/>
      <c r="R331" s="31"/>
      <c r="S331" s="31"/>
      <c r="T331" s="31"/>
      <c r="U331" s="22"/>
      <c r="V331" s="31"/>
      <c r="W331" s="31"/>
      <c r="X331" s="31"/>
      <c r="Y331" s="31"/>
      <c r="Z331" s="31"/>
      <c r="AA331" s="31"/>
      <c r="AB331" s="31"/>
      <c r="AC331" s="31"/>
      <c r="AD331" s="31"/>
      <c r="AE331" s="31"/>
      <c r="AF331" s="31"/>
      <c r="AG331" s="31"/>
      <c r="AH331" s="31"/>
      <c r="AI331" s="31"/>
      <c r="AK331" s="31"/>
      <c r="AL331" s="31"/>
      <c r="AM331" s="22">
        <f t="shared" si="10"/>
        <v>0</v>
      </c>
    </row>
    <row r="332" spans="1:39" x14ac:dyDescent="0.25">
      <c r="A332" s="20" t="s">
        <v>55</v>
      </c>
      <c r="B332" s="38"/>
      <c r="C332" s="20"/>
      <c r="D332" s="20"/>
      <c r="E332" s="20"/>
      <c r="F332" s="20" t="s">
        <v>1013</v>
      </c>
      <c r="G332" s="39"/>
      <c r="H332" s="40"/>
      <c r="I332" s="33"/>
      <c r="J332" s="33"/>
      <c r="K332" s="33"/>
      <c r="L332" s="33"/>
      <c r="M332" s="33"/>
      <c r="N332" s="33"/>
      <c r="O332" s="33"/>
      <c r="P332" s="33"/>
      <c r="Q332" s="33"/>
      <c r="R332" s="33"/>
      <c r="S332" s="33"/>
      <c r="T332" s="33"/>
      <c r="U332" s="33"/>
      <c r="V332" s="33"/>
      <c r="W332" s="33"/>
      <c r="X332" s="33"/>
      <c r="Y332" s="33"/>
      <c r="Z332" s="33"/>
      <c r="AA332" s="33"/>
      <c r="AB332" s="22"/>
      <c r="AC332" s="33"/>
      <c r="AD332" s="33"/>
      <c r="AE332" s="33"/>
      <c r="AF332" s="33"/>
      <c r="AG332" s="33"/>
      <c r="AH332" s="33"/>
      <c r="AI332" s="33"/>
      <c r="AJ332" s="33"/>
      <c r="AK332" s="33"/>
      <c r="AL332" s="33"/>
      <c r="AM332" s="22">
        <f t="shared" si="10"/>
        <v>0</v>
      </c>
    </row>
    <row r="333" spans="1:39" x14ac:dyDescent="0.25">
      <c r="A333" s="20" t="s">
        <v>55</v>
      </c>
      <c r="B333" s="38"/>
      <c r="C333" s="20"/>
      <c r="D333" s="20"/>
      <c r="E333" s="20"/>
      <c r="F333" s="20" t="s">
        <v>1013</v>
      </c>
      <c r="G333" s="39"/>
      <c r="H333" s="40"/>
      <c r="I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M333" s="22">
        <f t="shared" si="10"/>
        <v>0</v>
      </c>
    </row>
    <row r="334" spans="1:39" x14ac:dyDescent="0.25">
      <c r="A334" s="20" t="s">
        <v>55</v>
      </c>
      <c r="B334" s="38"/>
      <c r="C334" s="20"/>
      <c r="D334" s="20"/>
      <c r="E334" s="20"/>
      <c r="F334" s="20" t="s">
        <v>1013</v>
      </c>
      <c r="G334" s="39"/>
      <c r="H334" s="40"/>
      <c r="I334" s="33"/>
      <c r="J334" s="33"/>
      <c r="L334" s="33"/>
      <c r="M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22">
        <f t="shared" ref="AM334:AM397" si="11">COUNTA(I334:AL334)-COUNTIF(I334:AL334,"CT")</f>
        <v>0</v>
      </c>
    </row>
    <row r="335" spans="1:39" x14ac:dyDescent="0.25">
      <c r="A335" s="20" t="s">
        <v>55</v>
      </c>
      <c r="B335" s="38"/>
      <c r="C335" s="20"/>
      <c r="D335" s="20"/>
      <c r="E335" s="20"/>
      <c r="F335" s="20" t="s">
        <v>1013</v>
      </c>
      <c r="G335" s="39"/>
      <c r="H335" s="40"/>
      <c r="I335" s="22"/>
      <c r="J335" s="33"/>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M335" s="22">
        <f t="shared" si="11"/>
        <v>0</v>
      </c>
    </row>
    <row r="336" spans="1:39" x14ac:dyDescent="0.25">
      <c r="A336" s="20" t="s">
        <v>55</v>
      </c>
      <c r="B336" s="38"/>
      <c r="C336" s="20"/>
      <c r="D336" s="20"/>
      <c r="E336" s="20"/>
      <c r="F336" s="20" t="s">
        <v>1013</v>
      </c>
      <c r="G336" s="39"/>
      <c r="H336" s="40"/>
      <c r="I336" s="22"/>
      <c r="L336" s="22"/>
      <c r="M336" s="22"/>
      <c r="O336" s="22"/>
      <c r="P336" s="22"/>
      <c r="Q336" s="22"/>
      <c r="R336" s="22"/>
      <c r="S336" s="22"/>
      <c r="T336" s="22"/>
      <c r="U336" s="22"/>
      <c r="V336" s="22"/>
      <c r="W336" s="22"/>
      <c r="X336" s="22"/>
      <c r="Y336" s="22"/>
      <c r="Z336" s="22"/>
      <c r="AA336" s="22"/>
      <c r="AB336" s="22"/>
      <c r="AC336" s="22"/>
      <c r="AD336" s="22"/>
      <c r="AE336" s="22"/>
      <c r="AF336" s="22"/>
      <c r="AG336" s="22"/>
      <c r="AH336" s="22"/>
      <c r="AM336" s="22">
        <f t="shared" si="11"/>
        <v>0</v>
      </c>
    </row>
    <row r="337" spans="1:39" x14ac:dyDescent="0.25">
      <c r="A337" s="20" t="s">
        <v>55</v>
      </c>
      <c r="B337" s="38"/>
      <c r="C337" s="20"/>
      <c r="D337" s="20"/>
      <c r="E337" s="20"/>
      <c r="F337" s="20" t="s">
        <v>1013</v>
      </c>
      <c r="G337" s="39"/>
      <c r="H337" s="40"/>
      <c r="I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M337" s="22">
        <f t="shared" si="11"/>
        <v>0</v>
      </c>
    </row>
    <row r="338" spans="1:39" x14ac:dyDescent="0.25">
      <c r="A338" s="20" t="s">
        <v>55</v>
      </c>
      <c r="B338" s="38"/>
      <c r="C338" s="20"/>
      <c r="D338" s="20"/>
      <c r="E338" s="20"/>
      <c r="F338" s="20" t="s">
        <v>1013</v>
      </c>
      <c r="G338" s="39"/>
      <c r="H338" s="40"/>
      <c r="I338" s="22"/>
      <c r="L338" s="22"/>
      <c r="N338" s="22"/>
      <c r="O338" s="22"/>
      <c r="P338" s="22"/>
      <c r="R338" s="22"/>
      <c r="S338" s="22"/>
      <c r="T338" s="22"/>
      <c r="U338" s="22"/>
      <c r="V338" s="22"/>
      <c r="W338" s="22"/>
      <c r="X338" s="22"/>
      <c r="Y338" s="22"/>
      <c r="Z338" s="22"/>
      <c r="AA338" s="22"/>
      <c r="AB338" s="22"/>
      <c r="AC338" s="22"/>
      <c r="AD338" s="22"/>
      <c r="AE338" s="22"/>
      <c r="AF338" s="22"/>
      <c r="AG338" s="22"/>
      <c r="AH338" s="22"/>
      <c r="AM338" s="22">
        <f t="shared" si="11"/>
        <v>0</v>
      </c>
    </row>
    <row r="339" spans="1:39" x14ac:dyDescent="0.25">
      <c r="A339" s="20" t="s">
        <v>55</v>
      </c>
      <c r="B339" s="38"/>
      <c r="C339" s="20"/>
      <c r="D339" s="20"/>
      <c r="E339" s="20"/>
      <c r="F339" s="20" t="s">
        <v>1013</v>
      </c>
      <c r="G339" s="39"/>
      <c r="H339" s="40"/>
      <c r="I339" s="22"/>
      <c r="L339" s="22"/>
      <c r="M339" s="22"/>
      <c r="O339" s="22"/>
      <c r="P339" s="22"/>
      <c r="Q339" s="22"/>
      <c r="R339" s="22"/>
      <c r="S339" s="22"/>
      <c r="T339" s="22"/>
      <c r="U339" s="22"/>
      <c r="V339" s="22"/>
      <c r="W339" s="22"/>
      <c r="X339" s="22"/>
      <c r="Y339" s="22"/>
      <c r="Z339" s="22"/>
      <c r="AA339" s="22"/>
      <c r="AB339" s="22"/>
      <c r="AC339" s="22"/>
      <c r="AD339" s="22"/>
      <c r="AE339" s="22"/>
      <c r="AF339" s="22"/>
      <c r="AG339" s="22"/>
      <c r="AH339" s="22"/>
      <c r="AM339" s="22">
        <f t="shared" si="11"/>
        <v>0</v>
      </c>
    </row>
    <row r="340" spans="1:39" x14ac:dyDescent="0.25">
      <c r="A340" s="20" t="s">
        <v>55</v>
      </c>
      <c r="B340" s="38"/>
      <c r="C340" s="20"/>
      <c r="D340" s="20"/>
      <c r="E340" s="20"/>
      <c r="F340" s="20" t="s">
        <v>1013</v>
      </c>
      <c r="G340" s="39"/>
      <c r="H340" s="40"/>
      <c r="I340" s="31"/>
      <c r="J340" s="31"/>
      <c r="K340" s="31"/>
      <c r="L340" s="31"/>
      <c r="M340" s="31"/>
      <c r="O340" s="31"/>
      <c r="P340" s="31"/>
      <c r="Q340" s="31"/>
      <c r="R340" s="31"/>
      <c r="S340" s="31"/>
      <c r="T340" s="31"/>
      <c r="U340" s="31"/>
      <c r="V340" s="31"/>
      <c r="W340" s="31"/>
      <c r="X340" s="31"/>
      <c r="Y340" s="31"/>
      <c r="Z340" s="22"/>
      <c r="AA340" s="31"/>
      <c r="AC340" s="31"/>
      <c r="AD340" s="31"/>
      <c r="AE340" s="31"/>
      <c r="AF340" s="31"/>
      <c r="AG340" s="31"/>
      <c r="AH340" s="31"/>
      <c r="AI340" s="31"/>
      <c r="AK340" s="31"/>
      <c r="AL340" s="31"/>
      <c r="AM340" s="22">
        <f t="shared" si="11"/>
        <v>0</v>
      </c>
    </row>
    <row r="341" spans="1:39" x14ac:dyDescent="0.25">
      <c r="A341" s="20" t="s">
        <v>55</v>
      </c>
      <c r="B341" s="38"/>
      <c r="C341" s="20"/>
      <c r="D341" s="20"/>
      <c r="E341" s="20"/>
      <c r="F341" s="20" t="s">
        <v>1013</v>
      </c>
      <c r="G341" s="39"/>
      <c r="H341" s="40"/>
      <c r="J341" s="33"/>
      <c r="K341" s="31"/>
      <c r="P341" s="31"/>
      <c r="S341" s="31"/>
      <c r="U341" s="22"/>
      <c r="V341" s="22"/>
      <c r="W341" s="31"/>
      <c r="X341" s="31"/>
      <c r="Z341" s="22"/>
      <c r="AC341" s="31"/>
      <c r="AD341" s="31"/>
      <c r="AE341" s="31"/>
      <c r="AF341" s="31"/>
      <c r="AI341" s="31"/>
      <c r="AM341" s="22">
        <f t="shared" si="11"/>
        <v>0</v>
      </c>
    </row>
    <row r="342" spans="1:39" x14ac:dyDescent="0.25">
      <c r="A342" s="20" t="s">
        <v>55</v>
      </c>
      <c r="B342" s="38"/>
      <c r="C342" s="20"/>
      <c r="D342" s="20"/>
      <c r="E342" s="20"/>
      <c r="F342" s="20" t="s">
        <v>1013</v>
      </c>
      <c r="G342" s="39"/>
      <c r="H342" s="40"/>
      <c r="I342" s="31"/>
      <c r="J342" s="31"/>
      <c r="K342" s="31"/>
      <c r="L342" s="31"/>
      <c r="M342" s="31"/>
      <c r="O342" s="31"/>
      <c r="P342" s="31"/>
      <c r="Q342" s="31"/>
      <c r="R342" s="31"/>
      <c r="S342" s="31"/>
      <c r="T342" s="31"/>
      <c r="U342" s="22"/>
      <c r="V342" s="31"/>
      <c r="W342" s="31"/>
      <c r="X342" s="31"/>
      <c r="Y342" s="31"/>
      <c r="Z342" s="31"/>
      <c r="AA342" s="31"/>
      <c r="AB342" s="31"/>
      <c r="AC342" s="31"/>
      <c r="AD342" s="31"/>
      <c r="AE342" s="31"/>
      <c r="AF342" s="31"/>
      <c r="AG342" s="31"/>
      <c r="AH342" s="31"/>
      <c r="AI342" s="31"/>
      <c r="AJ342" s="31"/>
      <c r="AK342" s="31"/>
      <c r="AL342" s="31"/>
      <c r="AM342" s="22">
        <f t="shared" si="11"/>
        <v>0</v>
      </c>
    </row>
    <row r="343" spans="1:39" x14ac:dyDescent="0.25">
      <c r="A343" s="20" t="s">
        <v>55</v>
      </c>
      <c r="B343" s="38"/>
      <c r="C343" s="20"/>
      <c r="D343" s="20"/>
      <c r="E343" s="20"/>
      <c r="F343" s="20" t="s">
        <v>1013</v>
      </c>
      <c r="G343" s="39"/>
      <c r="H343" s="40"/>
      <c r="I343" s="31"/>
      <c r="J343" s="31"/>
      <c r="K343" s="31"/>
      <c r="L343" s="31"/>
      <c r="M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22">
        <f t="shared" si="11"/>
        <v>0</v>
      </c>
    </row>
    <row r="344" spans="1:39" x14ac:dyDescent="0.25">
      <c r="A344" s="20" t="s">
        <v>55</v>
      </c>
      <c r="B344" s="38"/>
      <c r="C344" s="20"/>
      <c r="D344" s="20"/>
      <c r="E344" s="20"/>
      <c r="F344" s="20" t="s">
        <v>1013</v>
      </c>
      <c r="G344" s="39"/>
      <c r="H344" s="40"/>
      <c r="J344" s="33"/>
      <c r="L344" s="31"/>
      <c r="N344" s="31"/>
      <c r="U344" s="22"/>
      <c r="V344" s="22"/>
      <c r="W344" s="22"/>
      <c r="X344" s="31"/>
      <c r="Z344" s="22"/>
      <c r="AM344" s="22">
        <f t="shared" si="11"/>
        <v>0</v>
      </c>
    </row>
    <row r="345" spans="1:39" x14ac:dyDescent="0.25">
      <c r="A345" s="20" t="s">
        <v>55</v>
      </c>
      <c r="B345" s="38"/>
      <c r="C345" s="20"/>
      <c r="D345" s="20"/>
      <c r="E345" s="20"/>
      <c r="F345" s="20" t="s">
        <v>1013</v>
      </c>
      <c r="G345" s="39"/>
      <c r="H345" s="40"/>
      <c r="I345" s="31"/>
      <c r="J345" s="33"/>
      <c r="Q345" s="31"/>
      <c r="R345" s="31"/>
      <c r="U345" s="22"/>
      <c r="V345" s="22"/>
      <c r="W345" s="22"/>
      <c r="X345" s="31"/>
      <c r="Z345" s="22"/>
      <c r="AA345" s="22"/>
      <c r="AB345" s="31"/>
      <c r="AC345" s="31"/>
      <c r="AD345" s="31"/>
      <c r="AE345" s="31"/>
      <c r="AF345" s="31"/>
      <c r="AG345" s="31"/>
      <c r="AI345" s="31"/>
      <c r="AJ345" s="31"/>
      <c r="AK345" s="31"/>
      <c r="AL345" s="31"/>
      <c r="AM345" s="22">
        <f t="shared" si="11"/>
        <v>0</v>
      </c>
    </row>
    <row r="346" spans="1:39" x14ac:dyDescent="0.25">
      <c r="A346" s="20" t="s">
        <v>55</v>
      </c>
      <c r="B346" s="38"/>
      <c r="C346" s="20"/>
      <c r="D346" s="20"/>
      <c r="E346" s="20"/>
      <c r="F346" s="20" t="s">
        <v>1013</v>
      </c>
      <c r="G346" s="39"/>
      <c r="H346" s="40"/>
      <c r="I346" s="31"/>
      <c r="J346" s="31"/>
      <c r="K346" s="31"/>
      <c r="L346" s="31"/>
      <c r="N346" s="31"/>
      <c r="P346" s="31"/>
      <c r="Q346" s="31"/>
      <c r="R346" s="31"/>
      <c r="S346" s="31"/>
      <c r="T346" s="31"/>
      <c r="U346" s="22"/>
      <c r="V346" s="31"/>
      <c r="W346" s="31"/>
      <c r="X346" s="31"/>
      <c r="Y346" s="31"/>
      <c r="Z346" s="31"/>
      <c r="AA346" s="31"/>
      <c r="AB346" s="31"/>
      <c r="AC346" s="31"/>
      <c r="AD346" s="31"/>
      <c r="AE346" s="31"/>
      <c r="AF346" s="31"/>
      <c r="AG346" s="31"/>
      <c r="AH346" s="31"/>
      <c r="AJ346" s="31"/>
      <c r="AK346" s="31"/>
      <c r="AL346" s="31"/>
      <c r="AM346" s="22">
        <f t="shared" si="11"/>
        <v>0</v>
      </c>
    </row>
    <row r="347" spans="1:39" x14ac:dyDescent="0.25">
      <c r="A347" s="20" t="s">
        <v>55</v>
      </c>
      <c r="B347" s="38"/>
      <c r="C347" s="20"/>
      <c r="D347" s="20"/>
      <c r="E347" s="20"/>
      <c r="F347" s="20" t="s">
        <v>1013</v>
      </c>
      <c r="G347" s="39"/>
      <c r="H347" s="40"/>
      <c r="J347" s="33"/>
      <c r="K347" s="33"/>
      <c r="L347" s="33"/>
      <c r="Q347" s="33"/>
      <c r="R347" s="33"/>
      <c r="U347" s="22"/>
      <c r="V347" s="22"/>
      <c r="W347" s="33"/>
      <c r="X347" s="33"/>
      <c r="Y347" s="33"/>
      <c r="Z347" s="33"/>
      <c r="AC347" s="33"/>
      <c r="AD347" s="33"/>
      <c r="AE347" s="33"/>
      <c r="AF347" s="33"/>
      <c r="AG347" s="33"/>
      <c r="AH347" s="33"/>
      <c r="AK347" s="33"/>
      <c r="AL347" s="33"/>
      <c r="AM347" s="22">
        <f t="shared" si="11"/>
        <v>0</v>
      </c>
    </row>
    <row r="348" spans="1:39" x14ac:dyDescent="0.25">
      <c r="A348" s="20" t="s">
        <v>55</v>
      </c>
      <c r="B348" s="38"/>
      <c r="C348" s="20"/>
      <c r="D348" s="20"/>
      <c r="E348" s="20"/>
      <c r="F348" s="20" t="s">
        <v>1013</v>
      </c>
      <c r="G348" s="39"/>
      <c r="H348" s="40"/>
      <c r="I348" s="31"/>
      <c r="J348" s="31"/>
      <c r="K348" s="31"/>
      <c r="L348" s="31"/>
      <c r="N348" s="31"/>
      <c r="R348" s="31"/>
      <c r="T348" s="31"/>
      <c r="U348" s="22"/>
      <c r="V348" s="22"/>
      <c r="W348" s="22"/>
      <c r="X348" s="33"/>
      <c r="Z348" s="22"/>
      <c r="AJ348" s="31"/>
      <c r="AK348" s="31"/>
      <c r="AL348" s="31"/>
      <c r="AM348" s="22">
        <f t="shared" si="11"/>
        <v>0</v>
      </c>
    </row>
    <row r="349" spans="1:39" x14ac:dyDescent="0.25">
      <c r="A349" s="20" t="s">
        <v>55</v>
      </c>
      <c r="B349" s="38"/>
      <c r="C349" s="20"/>
      <c r="D349" s="20"/>
      <c r="E349" s="20"/>
      <c r="F349" s="20" t="s">
        <v>1013</v>
      </c>
      <c r="G349" s="39"/>
      <c r="H349" s="40"/>
      <c r="I349" s="22"/>
      <c r="L349" s="22"/>
      <c r="M349" s="22"/>
      <c r="O349" s="22"/>
      <c r="P349" s="22"/>
      <c r="Q349" s="22"/>
      <c r="R349" s="22"/>
      <c r="S349" s="22"/>
      <c r="T349" s="22"/>
      <c r="U349" s="22"/>
      <c r="V349" s="22"/>
      <c r="W349" s="22"/>
      <c r="X349" s="22"/>
      <c r="Y349" s="22"/>
      <c r="Z349" s="22"/>
      <c r="AA349" s="22"/>
      <c r="AB349" s="22"/>
      <c r="AC349" s="22"/>
      <c r="AD349" s="22"/>
      <c r="AE349" s="22"/>
      <c r="AF349" s="22"/>
      <c r="AG349" s="22"/>
      <c r="AH349" s="22"/>
      <c r="AM349" s="22">
        <f t="shared" si="11"/>
        <v>0</v>
      </c>
    </row>
    <row r="350" spans="1:39" x14ac:dyDescent="0.25">
      <c r="A350" s="20" t="s">
        <v>55</v>
      </c>
      <c r="B350" s="38"/>
      <c r="C350" s="20"/>
      <c r="D350" s="20"/>
      <c r="E350" s="20"/>
      <c r="F350" s="20" t="s">
        <v>1013</v>
      </c>
      <c r="G350" s="39"/>
      <c r="H350" s="40"/>
      <c r="I350" s="22"/>
      <c r="L350" s="22"/>
      <c r="M350" s="22"/>
      <c r="O350" s="22"/>
      <c r="P350" s="22"/>
      <c r="Q350" s="22"/>
      <c r="R350" s="22"/>
      <c r="S350" s="22"/>
      <c r="T350" s="22"/>
      <c r="U350" s="22"/>
      <c r="V350" s="22"/>
      <c r="W350" s="22"/>
      <c r="X350" s="22"/>
      <c r="Y350" s="22"/>
      <c r="Z350" s="22"/>
      <c r="AA350" s="22"/>
      <c r="AB350" s="22"/>
      <c r="AC350" s="22"/>
      <c r="AD350" s="22"/>
      <c r="AE350" s="22"/>
      <c r="AF350" s="22"/>
      <c r="AG350" s="22"/>
      <c r="AH350" s="22"/>
      <c r="AM350" s="22">
        <f t="shared" si="11"/>
        <v>0</v>
      </c>
    </row>
    <row r="351" spans="1:39" x14ac:dyDescent="0.25">
      <c r="A351" s="20" t="s">
        <v>55</v>
      </c>
      <c r="B351" s="38"/>
      <c r="C351" s="20"/>
      <c r="D351" s="20"/>
      <c r="E351" s="20"/>
      <c r="F351" s="20" t="s">
        <v>1013</v>
      </c>
      <c r="G351" s="39"/>
      <c r="H351" s="40"/>
      <c r="I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M351" s="22">
        <f t="shared" si="11"/>
        <v>0</v>
      </c>
    </row>
    <row r="352" spans="1:39" x14ac:dyDescent="0.25">
      <c r="A352" s="20" t="s">
        <v>55</v>
      </c>
      <c r="B352" s="38"/>
      <c r="C352" s="20"/>
      <c r="D352" s="20"/>
      <c r="E352" s="20"/>
      <c r="F352" s="20" t="s">
        <v>1013</v>
      </c>
      <c r="G352" s="39"/>
      <c r="H352" s="40"/>
      <c r="J352" s="33"/>
      <c r="L352" s="22"/>
      <c r="M352" s="22"/>
      <c r="N352" s="22"/>
      <c r="R352" s="22"/>
      <c r="U352" s="22"/>
      <c r="V352" s="22"/>
      <c r="W352" s="22"/>
      <c r="X352" s="22"/>
      <c r="Y352" s="22"/>
      <c r="Z352" s="22"/>
      <c r="AA352" s="22"/>
      <c r="AB352" s="22"/>
      <c r="AC352" s="22"/>
      <c r="AD352" s="22"/>
      <c r="AE352" s="22"/>
      <c r="AF352" s="22"/>
      <c r="AG352" s="22"/>
      <c r="AH352" s="22"/>
      <c r="AM352" s="22">
        <f t="shared" si="11"/>
        <v>0</v>
      </c>
    </row>
    <row r="353" spans="1:39" x14ac:dyDescent="0.25">
      <c r="A353" s="20" t="s">
        <v>55</v>
      </c>
      <c r="B353" s="38"/>
      <c r="C353" s="20"/>
      <c r="D353" s="20"/>
      <c r="E353" s="20"/>
      <c r="F353" s="20" t="s">
        <v>1013</v>
      </c>
      <c r="G353" s="39"/>
      <c r="H353" s="40"/>
      <c r="I353" s="22"/>
      <c r="J353" s="33"/>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M353" s="22">
        <f t="shared" si="11"/>
        <v>0</v>
      </c>
    </row>
    <row r="354" spans="1:39" x14ac:dyDescent="0.25">
      <c r="A354" s="20" t="s">
        <v>55</v>
      </c>
      <c r="B354" s="38"/>
      <c r="C354" s="20"/>
      <c r="D354" s="20"/>
      <c r="E354" s="20"/>
      <c r="F354" s="20" t="s">
        <v>1013</v>
      </c>
      <c r="G354" s="39"/>
      <c r="H354" s="40"/>
      <c r="I354" s="22"/>
      <c r="L354" s="22"/>
      <c r="M354" s="22"/>
      <c r="R354" s="22"/>
      <c r="S354" s="22"/>
      <c r="T354" s="22"/>
      <c r="U354" s="22"/>
      <c r="V354" s="22"/>
      <c r="W354" s="22"/>
      <c r="X354" s="22"/>
      <c r="Y354" s="22"/>
      <c r="Z354" s="22"/>
      <c r="AA354" s="22"/>
      <c r="AB354" s="22"/>
      <c r="AC354" s="22"/>
      <c r="AD354" s="22"/>
      <c r="AE354" s="22"/>
      <c r="AF354" s="22"/>
      <c r="AG354" s="22"/>
      <c r="AH354" s="22"/>
      <c r="AM354" s="22">
        <f t="shared" si="11"/>
        <v>0</v>
      </c>
    </row>
    <row r="355" spans="1:39" x14ac:dyDescent="0.25">
      <c r="A355" s="20" t="s">
        <v>55</v>
      </c>
      <c r="B355" s="38"/>
      <c r="C355" s="20"/>
      <c r="D355" s="20"/>
      <c r="E355" s="20"/>
      <c r="F355" s="20" t="s">
        <v>1013</v>
      </c>
      <c r="G355" s="39"/>
      <c r="H355" s="40"/>
      <c r="I355" s="22"/>
      <c r="L355" s="22"/>
      <c r="M355" s="22"/>
      <c r="O355" s="22"/>
      <c r="P355" s="22"/>
      <c r="Q355" s="22"/>
      <c r="R355" s="22"/>
      <c r="S355" s="22"/>
      <c r="T355" s="22"/>
      <c r="U355" s="22"/>
      <c r="V355" s="22"/>
      <c r="W355" s="22"/>
      <c r="X355" s="22"/>
      <c r="Y355" s="22"/>
      <c r="Z355" s="22"/>
      <c r="AA355" s="22"/>
      <c r="AB355" s="22"/>
      <c r="AC355" s="22"/>
      <c r="AD355" s="22"/>
      <c r="AE355" s="22"/>
      <c r="AF355" s="22"/>
      <c r="AG355" s="22"/>
      <c r="AH355" s="22"/>
      <c r="AM355" s="22">
        <f t="shared" si="11"/>
        <v>0</v>
      </c>
    </row>
    <row r="356" spans="1:39" x14ac:dyDescent="0.25">
      <c r="A356" s="20" t="s">
        <v>786</v>
      </c>
      <c r="B356" s="38"/>
      <c r="C356" s="20"/>
      <c r="D356" s="20"/>
      <c r="E356" s="20"/>
      <c r="F356" s="20" t="s">
        <v>1013</v>
      </c>
      <c r="G356" s="39"/>
      <c r="H356" s="40"/>
      <c r="I356" s="31"/>
      <c r="M356" s="31"/>
      <c r="Q356" s="31"/>
      <c r="R356" s="31"/>
      <c r="S356" s="31"/>
      <c r="T356" s="31"/>
      <c r="U356" s="22"/>
      <c r="V356" s="22"/>
      <c r="W356" s="31"/>
      <c r="X356" s="31"/>
      <c r="Y356" s="31"/>
      <c r="Z356" s="31"/>
      <c r="AA356" s="31"/>
      <c r="AB356" s="22"/>
      <c r="AC356" s="22"/>
      <c r="AD356" s="31"/>
      <c r="AE356" s="31"/>
      <c r="AF356" s="22"/>
      <c r="AG356" s="31"/>
      <c r="AH356" s="31"/>
      <c r="AK356" s="31"/>
      <c r="AM356" s="22">
        <f t="shared" si="11"/>
        <v>0</v>
      </c>
    </row>
    <row r="357" spans="1:39" x14ac:dyDescent="0.25">
      <c r="A357" s="20" t="s">
        <v>55</v>
      </c>
      <c r="B357" s="38"/>
      <c r="C357" s="20"/>
      <c r="D357" s="20"/>
      <c r="E357" s="20"/>
      <c r="F357" s="20" t="s">
        <v>1013</v>
      </c>
      <c r="G357" s="39"/>
      <c r="H357" s="40"/>
      <c r="I357" s="22"/>
      <c r="L357" s="22"/>
      <c r="N357" s="22"/>
      <c r="O357" s="22"/>
      <c r="P357" s="22"/>
      <c r="Q357" s="22"/>
      <c r="R357" s="22"/>
      <c r="S357" s="22"/>
      <c r="T357" s="22"/>
      <c r="U357" s="22"/>
      <c r="V357" s="22"/>
      <c r="W357" s="22"/>
      <c r="X357" s="22"/>
      <c r="Y357" s="22"/>
      <c r="Z357" s="22"/>
      <c r="AA357" s="22"/>
      <c r="AB357" s="22"/>
      <c r="AC357" s="22"/>
      <c r="AD357" s="22"/>
      <c r="AE357" s="22"/>
      <c r="AF357" s="22"/>
      <c r="AG357" s="22"/>
      <c r="AH357" s="22"/>
      <c r="AM357" s="22">
        <f t="shared" si="11"/>
        <v>0</v>
      </c>
    </row>
    <row r="358" spans="1:39" x14ac:dyDescent="0.25">
      <c r="A358" s="20" t="s">
        <v>55</v>
      </c>
      <c r="B358" s="38"/>
      <c r="C358" s="20"/>
      <c r="D358" s="20"/>
      <c r="E358" s="20"/>
      <c r="F358" s="20" t="s">
        <v>1013</v>
      </c>
      <c r="G358" s="39"/>
      <c r="H358" s="40"/>
      <c r="I358" s="22"/>
      <c r="J358" s="33"/>
      <c r="U358" s="22"/>
      <c r="V358" s="22"/>
      <c r="W358" s="22"/>
      <c r="X358" s="22"/>
      <c r="Z358" s="22"/>
      <c r="AA358" s="22"/>
      <c r="AB358" s="22"/>
      <c r="AC358" s="22"/>
      <c r="AD358" s="22"/>
      <c r="AE358" s="22"/>
      <c r="AF358" s="22"/>
      <c r="AH358" s="22"/>
      <c r="AM358" s="22">
        <f t="shared" si="11"/>
        <v>0</v>
      </c>
    </row>
    <row r="359" spans="1:39" x14ac:dyDescent="0.25">
      <c r="A359" s="20" t="s">
        <v>55</v>
      </c>
      <c r="B359" s="38"/>
      <c r="C359" s="20"/>
      <c r="D359" s="20"/>
      <c r="E359" s="20"/>
      <c r="F359" s="20" t="s">
        <v>1013</v>
      </c>
      <c r="G359" s="39"/>
      <c r="H359" s="40"/>
      <c r="I359" s="22"/>
      <c r="J359" s="33"/>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M359" s="22">
        <f t="shared" si="11"/>
        <v>0</v>
      </c>
    </row>
    <row r="360" spans="1:39" x14ac:dyDescent="0.25">
      <c r="A360" s="20" t="s">
        <v>55</v>
      </c>
      <c r="B360" s="38"/>
      <c r="C360" s="20"/>
      <c r="D360" s="20"/>
      <c r="E360" s="20"/>
      <c r="F360" s="20" t="s">
        <v>1013</v>
      </c>
      <c r="G360" s="39"/>
      <c r="H360" s="40"/>
      <c r="I360" s="33"/>
      <c r="J360" s="33"/>
      <c r="K360" s="33"/>
      <c r="L360" s="33"/>
      <c r="M360" s="33"/>
      <c r="N360" s="33"/>
      <c r="O360" s="33"/>
      <c r="P360" s="33"/>
      <c r="Q360" s="33"/>
      <c r="R360" s="33"/>
      <c r="S360" s="33"/>
      <c r="T360" s="33"/>
      <c r="U360" s="22"/>
      <c r="V360" s="33"/>
      <c r="W360" s="33"/>
      <c r="X360" s="33"/>
      <c r="Y360" s="33"/>
      <c r="Z360" s="33"/>
      <c r="AA360" s="33"/>
      <c r="AB360" s="33"/>
      <c r="AC360" s="33"/>
      <c r="AD360" s="33"/>
      <c r="AE360" s="33"/>
      <c r="AF360" s="33"/>
      <c r="AG360" s="33"/>
      <c r="AH360" s="33"/>
      <c r="AI360" s="33"/>
      <c r="AK360" s="33"/>
      <c r="AL360" s="33"/>
      <c r="AM360" s="22">
        <f t="shared" si="11"/>
        <v>0</v>
      </c>
    </row>
    <row r="361" spans="1:39" x14ac:dyDescent="0.25">
      <c r="A361" s="20" t="s">
        <v>55</v>
      </c>
      <c r="B361" s="41"/>
      <c r="C361" s="41"/>
      <c r="D361" s="20"/>
      <c r="E361" s="20"/>
      <c r="F361" s="20" t="s">
        <v>1013</v>
      </c>
      <c r="G361" s="39"/>
      <c r="H361" s="40"/>
      <c r="I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M361" s="22">
        <f t="shared" si="11"/>
        <v>0</v>
      </c>
    </row>
    <row r="362" spans="1:39" x14ac:dyDescent="0.25">
      <c r="A362" s="20" t="s">
        <v>55</v>
      </c>
      <c r="B362" s="41"/>
      <c r="C362" s="41"/>
      <c r="D362" s="20"/>
      <c r="E362" s="20"/>
      <c r="F362" s="20" t="s">
        <v>1013</v>
      </c>
      <c r="G362" s="39"/>
      <c r="H362" s="40"/>
      <c r="I362" s="22"/>
      <c r="L362" s="22"/>
      <c r="M362" s="22"/>
      <c r="O362" s="22"/>
      <c r="P362" s="22"/>
      <c r="Q362" s="22"/>
      <c r="R362" s="22"/>
      <c r="S362" s="22"/>
      <c r="T362" s="22"/>
      <c r="U362" s="22"/>
      <c r="W362" s="22"/>
      <c r="X362" s="22"/>
      <c r="Y362" s="22"/>
      <c r="Z362" s="22"/>
      <c r="AB362" s="22"/>
      <c r="AC362" s="22"/>
      <c r="AD362" s="22"/>
      <c r="AE362" s="22"/>
      <c r="AF362" s="22"/>
      <c r="AG362" s="22"/>
      <c r="AH362" s="22"/>
      <c r="AM362" s="22">
        <f t="shared" si="11"/>
        <v>0</v>
      </c>
    </row>
    <row r="363" spans="1:39" x14ac:dyDescent="0.25">
      <c r="A363" s="20" t="s">
        <v>55</v>
      </c>
      <c r="B363" s="41"/>
      <c r="C363" s="41"/>
      <c r="D363" s="20"/>
      <c r="E363" s="20"/>
      <c r="F363" s="20" t="s">
        <v>1013</v>
      </c>
      <c r="G363" s="39"/>
      <c r="H363" s="40"/>
      <c r="I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M363" s="22">
        <f t="shared" si="11"/>
        <v>0</v>
      </c>
    </row>
    <row r="364" spans="1:39" x14ac:dyDescent="0.25">
      <c r="A364" s="20" t="s">
        <v>55</v>
      </c>
      <c r="B364" s="41"/>
      <c r="C364" s="41"/>
      <c r="D364" s="20"/>
      <c r="E364" s="20"/>
      <c r="F364" s="20" t="s">
        <v>1013</v>
      </c>
      <c r="G364" s="39"/>
      <c r="H364" s="40"/>
      <c r="I364" s="22"/>
      <c r="L364" s="22"/>
      <c r="M364" s="22"/>
      <c r="O364" s="22"/>
      <c r="P364" s="22"/>
      <c r="Q364" s="22"/>
      <c r="R364" s="22"/>
      <c r="S364" s="22"/>
      <c r="T364" s="22"/>
      <c r="U364" s="22"/>
      <c r="V364" s="22"/>
      <c r="W364" s="22"/>
      <c r="X364" s="22"/>
      <c r="Y364" s="22"/>
      <c r="Z364" s="22"/>
      <c r="AA364" s="22"/>
      <c r="AB364" s="22"/>
      <c r="AD364" s="22"/>
      <c r="AE364" s="22"/>
      <c r="AF364" s="22"/>
      <c r="AG364" s="22"/>
      <c r="AH364" s="22"/>
      <c r="AM364" s="22">
        <f t="shared" si="11"/>
        <v>0</v>
      </c>
    </row>
    <row r="365" spans="1:39" x14ac:dyDescent="0.25">
      <c r="A365" s="20" t="s">
        <v>55</v>
      </c>
      <c r="B365" s="41"/>
      <c r="C365" s="41"/>
      <c r="D365" s="20"/>
      <c r="E365" s="20"/>
      <c r="F365" s="20" t="s">
        <v>1013</v>
      </c>
      <c r="G365" s="39"/>
      <c r="H365" s="40"/>
      <c r="I365" s="22"/>
      <c r="M365" s="22"/>
      <c r="O365" s="22"/>
      <c r="P365" s="22"/>
      <c r="Q365" s="22"/>
      <c r="R365" s="22"/>
      <c r="S365" s="22"/>
      <c r="T365" s="22"/>
      <c r="U365" s="22"/>
      <c r="W365" s="22"/>
      <c r="X365" s="22"/>
      <c r="Y365" s="22"/>
      <c r="Z365" s="22"/>
      <c r="AA365" s="22"/>
      <c r="AB365" s="22"/>
      <c r="AC365" s="22"/>
      <c r="AD365" s="22"/>
      <c r="AE365" s="22"/>
      <c r="AF365" s="22"/>
      <c r="AG365" s="22"/>
      <c r="AH365" s="22"/>
      <c r="AM365" s="22">
        <f t="shared" si="11"/>
        <v>0</v>
      </c>
    </row>
    <row r="366" spans="1:39" x14ac:dyDescent="0.25">
      <c r="A366" s="20" t="s">
        <v>55</v>
      </c>
      <c r="B366" s="41"/>
      <c r="C366" s="41"/>
      <c r="D366" s="20"/>
      <c r="E366" s="20"/>
      <c r="F366" s="20" t="s">
        <v>1013</v>
      </c>
      <c r="G366" s="39"/>
      <c r="H366" s="40"/>
      <c r="I366" s="22"/>
      <c r="L366" s="22"/>
      <c r="M366" s="22"/>
      <c r="O366" s="22"/>
      <c r="P366" s="22"/>
      <c r="Q366" s="22"/>
      <c r="R366" s="22"/>
      <c r="S366" s="22"/>
      <c r="T366" s="22"/>
      <c r="U366" s="22"/>
      <c r="V366" s="22"/>
      <c r="W366" s="22"/>
      <c r="X366" s="22"/>
      <c r="Y366" s="22"/>
      <c r="Z366" s="22"/>
      <c r="AA366" s="22"/>
      <c r="AB366" s="22"/>
      <c r="AC366" s="22"/>
      <c r="AD366" s="22"/>
      <c r="AE366" s="22"/>
      <c r="AF366" s="22"/>
      <c r="AG366" s="22"/>
      <c r="AH366" s="22"/>
      <c r="AM366" s="22">
        <f t="shared" si="11"/>
        <v>0</v>
      </c>
    </row>
    <row r="367" spans="1:39" x14ac:dyDescent="0.25">
      <c r="A367" s="20" t="s">
        <v>55</v>
      </c>
      <c r="B367" s="41"/>
      <c r="C367" s="41"/>
      <c r="D367" s="20"/>
      <c r="E367" s="20"/>
      <c r="F367" s="20" t="s">
        <v>1013</v>
      </c>
      <c r="G367" s="39"/>
      <c r="H367" s="40"/>
      <c r="I367" s="22"/>
      <c r="L367" s="22"/>
      <c r="M367" s="22"/>
      <c r="O367" s="22"/>
      <c r="P367" s="22"/>
      <c r="Q367" s="22"/>
      <c r="R367" s="22"/>
      <c r="S367" s="22"/>
      <c r="T367" s="22"/>
      <c r="U367" s="22"/>
      <c r="V367" s="22"/>
      <c r="W367" s="22"/>
      <c r="X367" s="22"/>
      <c r="Y367" s="22"/>
      <c r="Z367" s="22"/>
      <c r="AA367" s="22"/>
      <c r="AB367" s="22"/>
      <c r="AC367" s="22"/>
      <c r="AD367" s="22"/>
      <c r="AE367" s="22"/>
      <c r="AF367" s="22"/>
      <c r="AG367" s="22"/>
      <c r="AH367" s="22"/>
      <c r="AM367" s="22">
        <f t="shared" si="11"/>
        <v>0</v>
      </c>
    </row>
    <row r="368" spans="1:39" x14ac:dyDescent="0.25">
      <c r="A368" s="20" t="s">
        <v>55</v>
      </c>
      <c r="B368" s="41"/>
      <c r="C368" s="41"/>
      <c r="D368" s="20"/>
      <c r="E368" s="20"/>
      <c r="F368" s="20" t="s">
        <v>1013</v>
      </c>
      <c r="G368" s="39"/>
      <c r="H368" s="40"/>
      <c r="I368" s="22"/>
      <c r="L368" s="22"/>
      <c r="M368" s="22"/>
      <c r="O368" s="22"/>
      <c r="P368" s="22"/>
      <c r="Q368" s="22"/>
      <c r="R368" s="22"/>
      <c r="S368" s="22"/>
      <c r="T368" s="22"/>
      <c r="U368" s="22"/>
      <c r="V368" s="22"/>
      <c r="W368" s="22"/>
      <c r="X368" s="22"/>
      <c r="Y368" s="22"/>
      <c r="Z368" s="22"/>
      <c r="AA368" s="22"/>
      <c r="AB368" s="22"/>
      <c r="AC368" s="22"/>
      <c r="AD368" s="22"/>
      <c r="AE368" s="22"/>
      <c r="AF368" s="22"/>
      <c r="AG368" s="22"/>
      <c r="AH368" s="22"/>
      <c r="AM368" s="22">
        <f t="shared" si="11"/>
        <v>0</v>
      </c>
    </row>
    <row r="369" spans="1:39" x14ac:dyDescent="0.25">
      <c r="A369" s="20" t="s">
        <v>55</v>
      </c>
      <c r="B369" s="41"/>
      <c r="C369" s="42"/>
      <c r="D369" s="20"/>
      <c r="E369" s="20"/>
      <c r="F369" s="20" t="s">
        <v>1013</v>
      </c>
      <c r="G369" s="39"/>
      <c r="H369" s="40"/>
      <c r="I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K369" s="33"/>
      <c r="AL369" s="33"/>
      <c r="AM369" s="22">
        <f t="shared" si="11"/>
        <v>0</v>
      </c>
    </row>
    <row r="370" spans="1:39" x14ac:dyDescent="0.25">
      <c r="A370" s="20" t="s">
        <v>55</v>
      </c>
      <c r="B370" s="38"/>
      <c r="C370" s="42"/>
      <c r="D370" s="20"/>
      <c r="E370" s="20"/>
      <c r="F370" s="20" t="s">
        <v>1013</v>
      </c>
      <c r="G370" s="39"/>
      <c r="H370" s="40"/>
      <c r="I370" s="22"/>
      <c r="M370" s="22"/>
      <c r="O370" s="22"/>
      <c r="P370" s="22"/>
      <c r="Q370" s="22"/>
      <c r="R370" s="22"/>
      <c r="S370" s="22"/>
      <c r="T370" s="22"/>
      <c r="U370" s="22"/>
      <c r="V370" s="22"/>
      <c r="W370" s="22"/>
      <c r="X370" s="22"/>
      <c r="Y370" s="22"/>
      <c r="Z370" s="22"/>
      <c r="AA370" s="22"/>
      <c r="AB370" s="22"/>
      <c r="AC370" s="22"/>
      <c r="AD370" s="22"/>
      <c r="AE370" s="22"/>
      <c r="AF370" s="22"/>
      <c r="AG370" s="22"/>
      <c r="AH370" s="22"/>
      <c r="AM370" s="22">
        <f t="shared" si="11"/>
        <v>0</v>
      </c>
    </row>
    <row r="371" spans="1:39" x14ac:dyDescent="0.25">
      <c r="A371" s="20" t="s">
        <v>55</v>
      </c>
      <c r="B371" s="38"/>
      <c r="C371" s="42"/>
      <c r="D371" s="43"/>
      <c r="E371" s="43"/>
      <c r="F371" s="20" t="s">
        <v>1013</v>
      </c>
      <c r="G371" s="39"/>
      <c r="H371" s="40"/>
      <c r="I371" s="22"/>
      <c r="L371" s="22"/>
      <c r="M371" s="22"/>
      <c r="O371" s="22"/>
      <c r="R371" s="22"/>
      <c r="S371" s="22"/>
      <c r="T371" s="22"/>
      <c r="U371" s="22"/>
      <c r="V371" s="22"/>
      <c r="W371" s="22"/>
      <c r="X371" s="22"/>
      <c r="Y371" s="22"/>
      <c r="Z371" s="22"/>
      <c r="AA371" s="22"/>
      <c r="AB371" s="22"/>
      <c r="AC371" s="22"/>
      <c r="AD371" s="22"/>
      <c r="AE371" s="22"/>
      <c r="AF371" s="22"/>
      <c r="AG371" s="22"/>
      <c r="AH371" s="22"/>
      <c r="AM371" s="22">
        <f t="shared" si="11"/>
        <v>0</v>
      </c>
    </row>
    <row r="372" spans="1:39" x14ac:dyDescent="0.25">
      <c r="A372" s="20" t="s">
        <v>55</v>
      </c>
      <c r="B372" s="38"/>
      <c r="C372" s="42"/>
      <c r="D372" s="44"/>
      <c r="E372" s="44"/>
      <c r="F372" s="20" t="s">
        <v>1013</v>
      </c>
      <c r="G372" s="39"/>
      <c r="H372" s="40"/>
      <c r="I372" s="22"/>
      <c r="M372" s="22"/>
      <c r="P372" s="22"/>
      <c r="Q372" s="22"/>
      <c r="R372" s="22"/>
      <c r="S372" s="22"/>
      <c r="T372" s="22"/>
      <c r="W372" s="22"/>
      <c r="X372" s="22"/>
      <c r="Y372" s="22"/>
      <c r="Z372" s="22"/>
      <c r="AA372" s="22"/>
      <c r="AB372" s="22"/>
      <c r="AC372" s="22"/>
      <c r="AD372" s="22"/>
      <c r="AE372" s="22"/>
      <c r="AF372" s="22"/>
      <c r="AG372" s="22"/>
      <c r="AM372" s="22">
        <f t="shared" si="11"/>
        <v>0</v>
      </c>
    </row>
    <row r="373" spans="1:39" x14ac:dyDescent="0.25">
      <c r="A373" s="20" t="s">
        <v>55</v>
      </c>
      <c r="B373" s="38"/>
      <c r="C373" s="42"/>
      <c r="D373" s="20"/>
      <c r="E373" s="20"/>
      <c r="F373" s="20" t="s">
        <v>1013</v>
      </c>
      <c r="G373" s="39"/>
      <c r="H373" s="40"/>
      <c r="I373" s="22"/>
      <c r="L373" s="22"/>
      <c r="M373" s="22"/>
      <c r="O373" s="22"/>
      <c r="P373" s="22"/>
      <c r="Q373" s="22"/>
      <c r="R373" s="22"/>
      <c r="S373" s="22"/>
      <c r="T373" s="22"/>
      <c r="U373" s="22"/>
      <c r="V373" s="22"/>
      <c r="W373" s="22"/>
      <c r="X373" s="22"/>
      <c r="Y373" s="22"/>
      <c r="Z373" s="22"/>
      <c r="AA373" s="22"/>
      <c r="AB373" s="22"/>
      <c r="AC373" s="22"/>
      <c r="AD373" s="22"/>
      <c r="AE373" s="22"/>
      <c r="AF373" s="22"/>
      <c r="AG373" s="22"/>
      <c r="AH373" s="22"/>
      <c r="AM373" s="22">
        <f t="shared" si="11"/>
        <v>0</v>
      </c>
    </row>
    <row r="374" spans="1:39" x14ac:dyDescent="0.25">
      <c r="A374" s="20" t="s">
        <v>55</v>
      </c>
      <c r="B374" s="38"/>
      <c r="C374" s="42"/>
      <c r="D374" s="20"/>
      <c r="E374" s="20"/>
      <c r="F374" s="20" t="s">
        <v>1013</v>
      </c>
      <c r="G374" s="39"/>
      <c r="H374" s="40"/>
      <c r="I374" s="22"/>
      <c r="L374" s="22"/>
      <c r="M374" s="22"/>
      <c r="O374" s="22"/>
      <c r="P374" s="22"/>
      <c r="Q374" s="22"/>
      <c r="R374" s="22"/>
      <c r="S374" s="22"/>
      <c r="T374" s="22"/>
      <c r="U374" s="22"/>
      <c r="V374" s="22"/>
      <c r="W374" s="22"/>
      <c r="X374" s="22"/>
      <c r="Y374" s="22"/>
      <c r="Z374" s="22"/>
      <c r="AA374" s="22"/>
      <c r="AB374" s="22"/>
      <c r="AD374" s="22"/>
      <c r="AE374" s="22"/>
      <c r="AF374" s="22"/>
      <c r="AG374" s="22"/>
      <c r="AH374" s="22"/>
      <c r="AM374" s="22">
        <f t="shared" si="11"/>
        <v>0</v>
      </c>
    </row>
    <row r="375" spans="1:39" x14ac:dyDescent="0.25">
      <c r="A375" s="20" t="s">
        <v>55</v>
      </c>
      <c r="B375" s="38"/>
      <c r="C375" s="42"/>
      <c r="D375" s="43"/>
      <c r="E375" s="43"/>
      <c r="F375" s="20" t="s">
        <v>1013</v>
      </c>
      <c r="G375" s="39"/>
      <c r="H375" s="40"/>
      <c r="I375" s="22"/>
      <c r="L375" s="22"/>
      <c r="M375" s="22"/>
      <c r="O375" s="22"/>
      <c r="P375" s="22"/>
      <c r="Q375" s="22"/>
      <c r="R375" s="22"/>
      <c r="S375" s="22"/>
      <c r="T375" s="22"/>
      <c r="U375" s="22"/>
      <c r="V375" s="22"/>
      <c r="W375" s="22"/>
      <c r="X375" s="22"/>
      <c r="Y375" s="22"/>
      <c r="Z375" s="22"/>
      <c r="AA375" s="22"/>
      <c r="AB375" s="22"/>
      <c r="AC375" s="22"/>
      <c r="AD375" s="22"/>
      <c r="AE375" s="22"/>
      <c r="AF375" s="22"/>
      <c r="AG375" s="22"/>
      <c r="AH375" s="22"/>
      <c r="AM375" s="22">
        <f t="shared" si="11"/>
        <v>0</v>
      </c>
    </row>
    <row r="376" spans="1:39" x14ac:dyDescent="0.25">
      <c r="A376" s="20" t="s">
        <v>786</v>
      </c>
      <c r="B376" s="38"/>
      <c r="C376" s="42"/>
      <c r="D376" s="20"/>
      <c r="E376" s="20"/>
      <c r="F376" s="20" t="s">
        <v>1013</v>
      </c>
      <c r="G376" s="39"/>
      <c r="H376" s="40"/>
      <c r="I376" s="31"/>
      <c r="M376" s="31"/>
      <c r="Q376" s="31"/>
      <c r="R376" s="31"/>
      <c r="S376" s="31"/>
      <c r="T376" s="31"/>
      <c r="U376" s="22"/>
      <c r="V376" s="22"/>
      <c r="W376" s="31"/>
      <c r="X376" s="31"/>
      <c r="Y376" s="31"/>
      <c r="Z376" s="31"/>
      <c r="AA376" s="31"/>
      <c r="AB376" s="22"/>
      <c r="AC376" s="22"/>
      <c r="AD376" s="31"/>
      <c r="AE376" s="31"/>
      <c r="AF376" s="22"/>
      <c r="AG376" s="31"/>
      <c r="AH376" s="31"/>
      <c r="AK376" s="31"/>
      <c r="AM376" s="22">
        <f t="shared" si="11"/>
        <v>0</v>
      </c>
    </row>
    <row r="377" spans="1:39" x14ac:dyDescent="0.25">
      <c r="A377" s="20" t="s">
        <v>55</v>
      </c>
      <c r="B377" s="41"/>
      <c r="C377" s="41"/>
      <c r="D377" s="20"/>
      <c r="E377" s="20"/>
      <c r="F377" s="20" t="s">
        <v>1013</v>
      </c>
      <c r="G377" s="39"/>
      <c r="H377" s="40"/>
      <c r="R377" s="22"/>
      <c r="T377" s="22"/>
      <c r="U377" s="22"/>
      <c r="AM377" s="22">
        <f t="shared" si="11"/>
        <v>0</v>
      </c>
    </row>
    <row r="378" spans="1:39" x14ac:dyDescent="0.25">
      <c r="A378" s="20" t="s">
        <v>55</v>
      </c>
      <c r="B378" s="41"/>
      <c r="C378" s="41"/>
      <c r="D378" s="20"/>
      <c r="E378" s="20"/>
      <c r="F378" s="20" t="s">
        <v>1013</v>
      </c>
      <c r="G378" s="39"/>
      <c r="H378" s="40"/>
      <c r="I378" s="22"/>
      <c r="L378" s="22"/>
      <c r="M378" s="22"/>
      <c r="O378" s="22"/>
      <c r="R378" s="22"/>
      <c r="S378" s="22"/>
      <c r="T378" s="22"/>
      <c r="U378" s="22"/>
      <c r="V378" s="22"/>
      <c r="W378" s="22"/>
      <c r="X378" s="22"/>
      <c r="Y378" s="22"/>
      <c r="Z378" s="22"/>
      <c r="AA378" s="22"/>
      <c r="AB378" s="22"/>
      <c r="AC378" s="22"/>
      <c r="AD378" s="22"/>
      <c r="AE378" s="22"/>
      <c r="AF378" s="22"/>
      <c r="AG378" s="22"/>
      <c r="AH378" s="22"/>
      <c r="AM378" s="22">
        <f t="shared" si="11"/>
        <v>0</v>
      </c>
    </row>
    <row r="379" spans="1:39" x14ac:dyDescent="0.25">
      <c r="A379" s="20" t="s">
        <v>786</v>
      </c>
      <c r="B379" s="38"/>
      <c r="C379" s="42"/>
      <c r="D379" s="20"/>
      <c r="E379" s="20"/>
      <c r="F379" s="20" t="s">
        <v>1013</v>
      </c>
      <c r="G379" s="39"/>
      <c r="H379" s="40"/>
      <c r="I379" s="22"/>
      <c r="L379" s="22"/>
      <c r="M379" s="22"/>
      <c r="O379" s="22"/>
      <c r="P379" s="22"/>
      <c r="Q379" s="22"/>
      <c r="R379" s="22"/>
      <c r="S379" s="22"/>
      <c r="T379" s="22"/>
      <c r="U379" s="22"/>
      <c r="V379" s="22"/>
      <c r="W379" s="31"/>
      <c r="X379" s="31"/>
      <c r="Y379" s="31"/>
      <c r="Z379" s="31"/>
      <c r="AA379" s="31"/>
      <c r="AB379" s="22"/>
      <c r="AC379" s="22"/>
      <c r="AD379" s="31"/>
      <c r="AE379" s="31"/>
      <c r="AF379" s="22"/>
      <c r="AG379" s="31"/>
      <c r="AH379" s="31"/>
      <c r="AK379" s="31"/>
      <c r="AM379" s="22">
        <f t="shared" si="11"/>
        <v>0</v>
      </c>
    </row>
    <row r="380" spans="1:39" x14ac:dyDescent="0.25">
      <c r="A380" s="20" t="s">
        <v>55</v>
      </c>
      <c r="B380" s="38"/>
      <c r="C380" s="42"/>
      <c r="D380" s="42"/>
      <c r="E380" s="42"/>
      <c r="F380" s="20" t="s">
        <v>1013</v>
      </c>
      <c r="G380" s="39"/>
      <c r="H380" s="40"/>
      <c r="I380" s="22"/>
      <c r="L380" s="22"/>
      <c r="M380" s="22"/>
      <c r="O380" s="22"/>
      <c r="P380" s="22"/>
      <c r="Q380" s="22"/>
      <c r="R380" s="22"/>
      <c r="S380" s="22"/>
      <c r="T380" s="22"/>
      <c r="U380" s="22"/>
      <c r="W380" s="22"/>
      <c r="X380" s="22"/>
      <c r="Y380" s="22"/>
      <c r="Z380" s="22"/>
      <c r="AA380" s="22"/>
      <c r="AB380" s="22"/>
      <c r="AD380" s="22"/>
      <c r="AE380" s="22"/>
      <c r="AF380" s="22"/>
      <c r="AG380" s="22"/>
      <c r="AH380" s="22"/>
      <c r="AM380" s="22">
        <f t="shared" si="11"/>
        <v>0</v>
      </c>
    </row>
    <row r="381" spans="1:39" x14ac:dyDescent="0.25">
      <c r="A381" s="20" t="s">
        <v>55</v>
      </c>
      <c r="B381" s="38"/>
      <c r="C381" s="42"/>
      <c r="D381" s="42"/>
      <c r="E381" s="42"/>
      <c r="F381" s="20" t="s">
        <v>1013</v>
      </c>
      <c r="G381" s="39"/>
      <c r="H381" s="40"/>
      <c r="I381" s="22"/>
      <c r="L381" s="22"/>
      <c r="M381" s="22"/>
      <c r="O381" s="22"/>
      <c r="P381" s="22"/>
      <c r="Q381" s="22"/>
      <c r="R381" s="22"/>
      <c r="S381" s="22"/>
      <c r="T381" s="22"/>
      <c r="W381" s="22"/>
      <c r="X381" s="22"/>
      <c r="Y381" s="22"/>
      <c r="Z381" s="22"/>
      <c r="AA381" s="22"/>
      <c r="AB381" s="22"/>
      <c r="AC381" s="22"/>
      <c r="AD381" s="22"/>
      <c r="AE381" s="22"/>
      <c r="AF381" s="22"/>
      <c r="AG381" s="22"/>
      <c r="AH381" s="22"/>
      <c r="AM381" s="22">
        <f t="shared" si="11"/>
        <v>0</v>
      </c>
    </row>
    <row r="382" spans="1:39" x14ac:dyDescent="0.25">
      <c r="A382" s="20" t="s">
        <v>55</v>
      </c>
      <c r="B382" s="38"/>
      <c r="C382" s="42"/>
      <c r="D382" s="42"/>
      <c r="E382" s="42"/>
      <c r="F382" s="20" t="s">
        <v>1013</v>
      </c>
      <c r="G382" s="39"/>
      <c r="H382" s="40"/>
      <c r="I382" s="22"/>
      <c r="M382" s="22"/>
      <c r="O382" s="22"/>
      <c r="P382" s="22"/>
      <c r="Q382" s="22"/>
      <c r="R382" s="22"/>
      <c r="S382" s="22"/>
      <c r="T382" s="22"/>
      <c r="U382" s="22"/>
      <c r="V382" s="22"/>
      <c r="W382" s="22"/>
      <c r="X382" s="22"/>
      <c r="Y382" s="22"/>
      <c r="Z382" s="22"/>
      <c r="AA382" s="22"/>
      <c r="AB382" s="22"/>
      <c r="AC382" s="22"/>
      <c r="AD382" s="22"/>
      <c r="AE382" s="22"/>
      <c r="AF382" s="22"/>
      <c r="AG382" s="22"/>
      <c r="AH382" s="22"/>
      <c r="AM382" s="22">
        <f t="shared" si="11"/>
        <v>0</v>
      </c>
    </row>
    <row r="383" spans="1:39" x14ac:dyDescent="0.25">
      <c r="A383" s="20" t="s">
        <v>55</v>
      </c>
      <c r="B383" s="38"/>
      <c r="C383" s="42"/>
      <c r="D383" s="42"/>
      <c r="E383" s="42"/>
      <c r="F383" s="20" t="s">
        <v>1013</v>
      </c>
      <c r="G383" s="39"/>
      <c r="H383" s="40"/>
      <c r="I383" s="22"/>
      <c r="L383" s="22"/>
      <c r="M383" s="22"/>
      <c r="O383" s="22"/>
      <c r="P383" s="22"/>
      <c r="Q383" s="22"/>
      <c r="R383" s="22"/>
      <c r="S383" s="22"/>
      <c r="T383" s="22"/>
      <c r="V383" s="22"/>
      <c r="W383" s="22"/>
      <c r="X383" s="22"/>
      <c r="Y383" s="22"/>
      <c r="Z383" s="22"/>
      <c r="AA383" s="22"/>
      <c r="AB383" s="22"/>
      <c r="AC383" s="22"/>
      <c r="AD383" s="22"/>
      <c r="AE383" s="22"/>
      <c r="AF383" s="22"/>
      <c r="AG383" s="22"/>
      <c r="AH383" s="22"/>
      <c r="AM383" s="22">
        <f t="shared" si="11"/>
        <v>0</v>
      </c>
    </row>
    <row r="384" spans="1:39" x14ac:dyDescent="0.25">
      <c r="A384" s="20" t="s">
        <v>55</v>
      </c>
      <c r="B384" s="38"/>
      <c r="C384" s="42"/>
      <c r="D384" s="42"/>
      <c r="E384" s="42"/>
      <c r="F384" s="20" t="s">
        <v>1013</v>
      </c>
      <c r="G384" s="39"/>
      <c r="H384" s="40"/>
      <c r="I384" s="22"/>
      <c r="L384" s="22"/>
      <c r="M384" s="22"/>
      <c r="O384" s="22"/>
      <c r="P384" s="22"/>
      <c r="Q384" s="22"/>
      <c r="R384" s="22"/>
      <c r="S384" s="22"/>
      <c r="T384" s="22"/>
      <c r="V384" s="22"/>
      <c r="W384" s="22"/>
      <c r="X384" s="22"/>
      <c r="Y384" s="22"/>
      <c r="Z384" s="22"/>
      <c r="AA384" s="22"/>
      <c r="AB384" s="22"/>
      <c r="AC384" s="22"/>
      <c r="AD384" s="22"/>
      <c r="AE384" s="22"/>
      <c r="AF384" s="22"/>
      <c r="AG384" s="22"/>
      <c r="AH384" s="22"/>
      <c r="AM384" s="22">
        <f t="shared" si="11"/>
        <v>0</v>
      </c>
    </row>
    <row r="385" spans="1:39 16351:16373" x14ac:dyDescent="0.25">
      <c r="A385" s="20" t="s">
        <v>55</v>
      </c>
      <c r="B385" s="38"/>
      <c r="C385" s="42"/>
      <c r="D385" s="42"/>
      <c r="E385" s="42"/>
      <c r="F385" s="20" t="s">
        <v>1013</v>
      </c>
      <c r="G385" s="39"/>
      <c r="H385" s="40"/>
      <c r="I385" s="22"/>
      <c r="L385" s="22"/>
      <c r="M385" s="22"/>
      <c r="O385" s="22"/>
      <c r="S385" s="22"/>
      <c r="T385" s="22"/>
      <c r="V385" s="22"/>
      <c r="W385" s="22"/>
      <c r="X385" s="22"/>
      <c r="Y385" s="22"/>
      <c r="Z385" s="22"/>
      <c r="AA385" s="22"/>
      <c r="AB385" s="22"/>
      <c r="AC385" s="22"/>
      <c r="AD385" s="22"/>
      <c r="AE385" s="22"/>
      <c r="AF385" s="22"/>
      <c r="AG385" s="22"/>
      <c r="AH385" s="22"/>
      <c r="AM385" s="22">
        <f t="shared" si="11"/>
        <v>0</v>
      </c>
    </row>
    <row r="386" spans="1:39 16351:16373" x14ac:dyDescent="0.25">
      <c r="A386" s="20" t="s">
        <v>55</v>
      </c>
      <c r="B386" s="38"/>
      <c r="C386" s="42"/>
      <c r="D386" s="42"/>
      <c r="E386" s="42"/>
      <c r="F386" s="20" t="s">
        <v>1013</v>
      </c>
      <c r="G386" s="39"/>
      <c r="H386" s="40"/>
      <c r="I386" s="22"/>
      <c r="L386" s="22"/>
      <c r="M386" s="22"/>
      <c r="O386" s="22"/>
      <c r="P386" s="22"/>
      <c r="Q386" s="22"/>
      <c r="R386" s="22"/>
      <c r="T386" s="22"/>
      <c r="V386" s="22"/>
      <c r="W386" s="22"/>
      <c r="X386" s="22"/>
      <c r="Y386" s="22"/>
      <c r="Z386" s="22"/>
      <c r="AA386" s="22"/>
      <c r="AB386" s="22"/>
      <c r="AC386" s="22"/>
      <c r="AD386" s="22"/>
      <c r="AE386" s="22"/>
      <c r="AF386" s="22"/>
      <c r="AG386" s="22"/>
      <c r="AH386" s="22"/>
      <c r="AM386" s="22">
        <f t="shared" si="11"/>
        <v>0</v>
      </c>
    </row>
    <row r="387" spans="1:39 16351:16373" x14ac:dyDescent="0.25">
      <c r="A387" s="20" t="s">
        <v>55</v>
      </c>
      <c r="B387" s="38"/>
      <c r="C387" s="42"/>
      <c r="D387" s="42"/>
      <c r="E387" s="42"/>
      <c r="F387" s="20" t="s">
        <v>1013</v>
      </c>
      <c r="G387" s="39"/>
      <c r="H387" s="40"/>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M387" s="22">
        <f t="shared" si="11"/>
        <v>0</v>
      </c>
      <c r="XDW387" s="20"/>
      <c r="XDX387" s="38"/>
      <c r="XDY387" s="42"/>
      <c r="XDZ387" s="42"/>
      <c r="XEA387" s="42"/>
      <c r="XEB387" s="20"/>
      <c r="XEC387" s="39"/>
      <c r="XED387" s="39"/>
      <c r="XEL387" s="20"/>
      <c r="XEM387" s="38"/>
      <c r="XEN387" s="42"/>
      <c r="XEO387" s="42"/>
      <c r="XEP387" s="42"/>
      <c r="XEQ387" s="20"/>
      <c r="XER387" s="39"/>
      <c r="XES387" s="39"/>
    </row>
    <row r="388" spans="1:39 16351:16373" x14ac:dyDescent="0.25">
      <c r="A388" s="20" t="s">
        <v>55</v>
      </c>
      <c r="B388" s="38"/>
      <c r="C388" s="20"/>
      <c r="D388" s="20"/>
      <c r="E388" s="20"/>
      <c r="F388" s="20" t="s">
        <v>1013</v>
      </c>
      <c r="G388" s="39"/>
      <c r="H388" s="40"/>
      <c r="I388" s="22"/>
      <c r="L388" s="22"/>
      <c r="M388" s="22"/>
      <c r="O388" s="22"/>
      <c r="P388" s="22"/>
      <c r="Q388" s="22"/>
      <c r="R388" s="22"/>
      <c r="S388" s="22"/>
      <c r="T388" s="22"/>
      <c r="V388" s="22"/>
      <c r="W388" s="22"/>
      <c r="X388" s="22"/>
      <c r="Y388" s="22"/>
      <c r="Z388" s="22"/>
      <c r="AA388" s="22"/>
      <c r="AB388" s="22"/>
      <c r="AC388" s="22"/>
      <c r="AD388" s="22"/>
      <c r="AE388" s="22"/>
      <c r="AF388" s="22"/>
      <c r="AG388" s="22"/>
      <c r="AH388" s="22"/>
      <c r="AM388" s="22">
        <f t="shared" si="11"/>
        <v>0</v>
      </c>
    </row>
    <row r="389" spans="1:39 16351:16373" x14ac:dyDescent="0.25">
      <c r="A389" s="20" t="s">
        <v>55</v>
      </c>
      <c r="B389" s="38"/>
      <c r="C389" s="20"/>
      <c r="D389" s="20"/>
      <c r="E389" s="20"/>
      <c r="F389" s="20" t="s">
        <v>1013</v>
      </c>
      <c r="G389" s="39"/>
      <c r="H389" s="40"/>
      <c r="I389" s="22"/>
      <c r="L389" s="22"/>
      <c r="O389" s="22"/>
      <c r="P389" s="22"/>
      <c r="Q389" s="22"/>
      <c r="R389" s="22"/>
      <c r="S389" s="22"/>
      <c r="T389" s="22"/>
      <c r="V389" s="22"/>
      <c r="W389" s="22"/>
      <c r="X389" s="22"/>
      <c r="Y389" s="22"/>
      <c r="Z389" s="22"/>
      <c r="AA389" s="22"/>
      <c r="AB389" s="22"/>
      <c r="AC389" s="22"/>
      <c r="AD389" s="22"/>
      <c r="AE389" s="22"/>
      <c r="AF389" s="22"/>
      <c r="AG389" s="22"/>
      <c r="AH389" s="22"/>
      <c r="AM389" s="22">
        <f t="shared" si="11"/>
        <v>0</v>
      </c>
    </row>
    <row r="390" spans="1:39 16351:16373" x14ac:dyDescent="0.25">
      <c r="A390" s="20" t="s">
        <v>55</v>
      </c>
      <c r="B390" s="38"/>
      <c r="C390" s="20"/>
      <c r="D390" s="20"/>
      <c r="E390" s="20"/>
      <c r="F390" s="20" t="s">
        <v>1013</v>
      </c>
      <c r="G390" s="39"/>
      <c r="H390" s="40"/>
      <c r="I390" s="22"/>
      <c r="L390" s="22"/>
      <c r="M390" s="22"/>
      <c r="P390" s="22"/>
      <c r="Q390" s="22"/>
      <c r="R390" s="22"/>
      <c r="S390" s="22"/>
      <c r="W390" s="22"/>
      <c r="X390" s="22"/>
      <c r="Y390" s="22"/>
      <c r="Z390" s="22"/>
      <c r="AA390" s="22"/>
      <c r="AB390" s="22"/>
      <c r="AC390" s="22"/>
      <c r="AD390" s="22"/>
      <c r="AE390" s="22"/>
      <c r="AF390" s="22"/>
      <c r="AG390" s="22"/>
      <c r="AH390" s="22"/>
      <c r="AM390" s="22">
        <f t="shared" si="11"/>
        <v>0</v>
      </c>
    </row>
    <row r="391" spans="1:39 16351:16373" x14ac:dyDescent="0.25">
      <c r="A391" s="20" t="s">
        <v>55</v>
      </c>
      <c r="B391" s="38"/>
      <c r="C391" s="20"/>
      <c r="D391" s="20"/>
      <c r="E391" s="20"/>
      <c r="F391" s="20" t="s">
        <v>1013</v>
      </c>
      <c r="G391" s="39"/>
      <c r="H391" s="40"/>
      <c r="I391" s="22"/>
      <c r="L391" s="22"/>
      <c r="M391" s="22"/>
      <c r="O391" s="22"/>
      <c r="P391" s="22"/>
      <c r="Q391" s="22"/>
      <c r="R391" s="22"/>
      <c r="S391" s="22"/>
      <c r="V391" s="22"/>
      <c r="W391" s="22"/>
      <c r="X391" s="22"/>
      <c r="Y391" s="22"/>
      <c r="Z391" s="22"/>
      <c r="AA391" s="22"/>
      <c r="AB391" s="22"/>
      <c r="AC391" s="22"/>
      <c r="AD391" s="22"/>
      <c r="AE391" s="22"/>
      <c r="AF391" s="22"/>
      <c r="AG391" s="22"/>
      <c r="AH391" s="22"/>
      <c r="AM391" s="22">
        <f t="shared" si="11"/>
        <v>0</v>
      </c>
    </row>
    <row r="392" spans="1:39 16351:16373" x14ac:dyDescent="0.25">
      <c r="A392" s="20" t="s">
        <v>55</v>
      </c>
      <c r="B392" s="38"/>
      <c r="C392" s="20"/>
      <c r="D392" s="20"/>
      <c r="E392" s="20"/>
      <c r="F392" s="20" t="s">
        <v>1013</v>
      </c>
      <c r="G392" s="39"/>
      <c r="H392" s="40"/>
      <c r="I392" s="22"/>
      <c r="L392" s="22"/>
      <c r="M392" s="22"/>
      <c r="N392" s="22"/>
      <c r="O392" s="22"/>
      <c r="P392" s="22"/>
      <c r="Q392" s="22"/>
      <c r="R392" s="22"/>
      <c r="S392" s="22"/>
      <c r="T392" s="22"/>
      <c r="V392" s="22"/>
      <c r="W392" s="22"/>
      <c r="X392" s="22"/>
      <c r="Y392" s="22"/>
      <c r="Z392" s="22"/>
      <c r="AA392" s="22"/>
      <c r="AB392" s="22"/>
      <c r="AD392" s="22"/>
      <c r="AE392" s="22"/>
      <c r="AF392" s="22"/>
      <c r="AG392" s="22"/>
      <c r="AH392" s="22"/>
      <c r="AM392" s="22">
        <f t="shared" si="11"/>
        <v>0</v>
      </c>
    </row>
    <row r="393" spans="1:39 16351:16373" x14ac:dyDescent="0.25">
      <c r="A393" s="20" t="s">
        <v>55</v>
      </c>
      <c r="B393" s="38"/>
      <c r="C393" s="20"/>
      <c r="D393" s="20"/>
      <c r="E393" s="20"/>
      <c r="F393" s="20" t="s">
        <v>1013</v>
      </c>
      <c r="G393" s="39"/>
      <c r="H393" s="40"/>
      <c r="I393" s="22"/>
      <c r="M393" s="22"/>
      <c r="N393" s="22"/>
      <c r="O393" s="22"/>
      <c r="P393" s="22"/>
      <c r="Q393" s="22"/>
      <c r="R393" s="22"/>
      <c r="S393" s="22"/>
      <c r="T393" s="22"/>
      <c r="V393" s="22"/>
      <c r="W393" s="22"/>
      <c r="X393" s="22"/>
      <c r="Y393" s="22"/>
      <c r="Z393" s="22"/>
      <c r="AA393" s="22"/>
      <c r="AB393" s="22"/>
      <c r="AC393" s="22"/>
      <c r="AD393" s="22"/>
      <c r="AE393" s="22"/>
      <c r="AF393" s="22"/>
      <c r="AG393" s="22"/>
      <c r="AH393" s="22"/>
      <c r="AM393" s="22">
        <f t="shared" si="11"/>
        <v>0</v>
      </c>
    </row>
    <row r="394" spans="1:39 16351:16373" x14ac:dyDescent="0.25">
      <c r="A394" s="20" t="s">
        <v>55</v>
      </c>
      <c r="B394" s="38"/>
      <c r="C394" s="20"/>
      <c r="D394" s="20"/>
      <c r="E394" s="20"/>
      <c r="F394" s="20" t="s">
        <v>1013</v>
      </c>
      <c r="G394" s="39"/>
      <c r="H394" s="40"/>
      <c r="I394" s="22"/>
      <c r="L394" s="22"/>
      <c r="N394" s="22"/>
      <c r="O394" s="22"/>
      <c r="P394" s="22"/>
      <c r="Q394" s="22"/>
      <c r="R394" s="22"/>
      <c r="S394" s="22"/>
      <c r="T394" s="22"/>
      <c r="U394" s="22"/>
      <c r="V394" s="22"/>
      <c r="W394" s="22"/>
      <c r="X394" s="22"/>
      <c r="Y394" s="22"/>
      <c r="Z394" s="22"/>
      <c r="AA394" s="22"/>
      <c r="AB394" s="22"/>
      <c r="AC394" s="22"/>
      <c r="AD394" s="22"/>
      <c r="AE394" s="22"/>
      <c r="AF394" s="22"/>
      <c r="AG394" s="22"/>
      <c r="AH394" s="22"/>
      <c r="AM394" s="22">
        <f t="shared" si="11"/>
        <v>0</v>
      </c>
      <c r="XEJ394" s="20"/>
      <c r="XEK394" s="38"/>
      <c r="XEL394" s="20"/>
      <c r="XEM394" s="20"/>
      <c r="XEN394" s="20"/>
      <c r="XEO394" s="20"/>
      <c r="XEP394" s="39"/>
      <c r="XEQ394" s="40"/>
    </row>
    <row r="395" spans="1:39 16351:16373" x14ac:dyDescent="0.25">
      <c r="A395" s="20" t="s">
        <v>55</v>
      </c>
      <c r="B395" s="38"/>
      <c r="C395" s="20"/>
      <c r="D395" s="20"/>
      <c r="E395" s="20"/>
      <c r="F395" s="20" t="s">
        <v>1013</v>
      </c>
      <c r="G395" s="39"/>
      <c r="H395" s="40"/>
      <c r="I395" s="33"/>
      <c r="L395" s="33"/>
      <c r="M395" s="33"/>
      <c r="O395" s="33"/>
      <c r="P395" s="33"/>
      <c r="Q395" s="33"/>
      <c r="R395" s="33"/>
      <c r="T395" s="33"/>
      <c r="V395" s="33"/>
      <c r="W395" s="33"/>
      <c r="X395" s="33"/>
      <c r="Y395" s="31"/>
      <c r="Z395" s="33"/>
      <c r="AA395" s="33"/>
      <c r="AB395" s="22"/>
      <c r="AC395" s="33"/>
      <c r="AD395" s="33"/>
      <c r="AE395" s="33"/>
      <c r="AF395" s="22"/>
      <c r="AG395" s="31"/>
      <c r="AH395" s="22"/>
      <c r="AI395" s="33"/>
      <c r="AK395" s="33"/>
      <c r="AL395" s="33"/>
      <c r="AM395" s="22">
        <f t="shared" si="11"/>
        <v>0</v>
      </c>
    </row>
    <row r="396" spans="1:39 16351:16373" x14ac:dyDescent="0.25">
      <c r="A396" s="20" t="s">
        <v>55</v>
      </c>
      <c r="B396" s="38"/>
      <c r="C396" s="20"/>
      <c r="D396" s="45"/>
      <c r="E396" s="45"/>
      <c r="F396" s="20" t="s">
        <v>1013</v>
      </c>
      <c r="G396" s="39"/>
      <c r="H396" s="40"/>
      <c r="I396" s="22"/>
      <c r="L396" s="22"/>
      <c r="M396" s="22"/>
      <c r="O396" s="22"/>
      <c r="P396" s="22"/>
      <c r="Q396" s="22"/>
      <c r="R396" s="22"/>
      <c r="V396" s="22"/>
      <c r="W396" s="22"/>
      <c r="X396" s="22"/>
      <c r="Z396" s="22"/>
      <c r="AA396" s="22"/>
      <c r="AB396" s="22"/>
      <c r="AC396" s="22"/>
      <c r="AD396" s="22"/>
      <c r="AE396" s="22"/>
      <c r="AF396" s="22"/>
      <c r="AG396" s="22"/>
      <c r="AH396" s="22"/>
      <c r="AM396" s="22">
        <f t="shared" si="11"/>
        <v>0</v>
      </c>
    </row>
    <row r="397" spans="1:39 16351:16373" x14ac:dyDescent="0.25">
      <c r="A397" s="20" t="s">
        <v>55</v>
      </c>
      <c r="B397" s="38"/>
      <c r="C397" s="20"/>
      <c r="D397" s="20"/>
      <c r="E397" s="20"/>
      <c r="F397" s="20" t="s">
        <v>1013</v>
      </c>
      <c r="G397" s="39"/>
      <c r="H397" s="40"/>
      <c r="I397" s="22"/>
      <c r="L397" s="22"/>
      <c r="M397" s="22"/>
      <c r="O397" s="22"/>
      <c r="P397" s="22"/>
      <c r="Q397" s="22"/>
      <c r="R397" s="22"/>
      <c r="S397" s="22"/>
      <c r="T397" s="22"/>
      <c r="V397" s="22"/>
      <c r="W397" s="22"/>
      <c r="X397" s="22"/>
      <c r="Y397" s="22"/>
      <c r="Z397" s="22"/>
      <c r="AA397" s="22"/>
      <c r="AB397" s="22"/>
      <c r="AC397" s="22"/>
      <c r="AD397" s="22"/>
      <c r="AE397" s="22"/>
      <c r="AF397" s="22"/>
      <c r="AG397" s="22"/>
      <c r="AH397" s="22"/>
      <c r="AM397" s="22">
        <f t="shared" si="11"/>
        <v>0</v>
      </c>
    </row>
    <row r="398" spans="1:39 16351:16373" x14ac:dyDescent="0.25">
      <c r="A398" s="48" t="s">
        <v>55</v>
      </c>
      <c r="B398" s="49"/>
      <c r="C398" s="48"/>
      <c r="D398" s="48"/>
      <c r="E398" s="48"/>
      <c r="F398" s="20" t="s">
        <v>1013</v>
      </c>
      <c r="G398" s="50"/>
      <c r="H398" s="51"/>
      <c r="I398" s="22"/>
      <c r="L398" s="22"/>
      <c r="M398" s="22"/>
      <c r="O398" s="22"/>
      <c r="P398" s="22"/>
      <c r="Q398" s="22"/>
      <c r="R398" s="22"/>
      <c r="S398" s="22"/>
      <c r="T398" s="22"/>
      <c r="V398" s="22"/>
      <c r="W398" s="22"/>
      <c r="X398" s="22"/>
      <c r="Y398" s="22"/>
      <c r="Z398" s="22"/>
      <c r="AA398" s="22"/>
      <c r="AB398" s="22"/>
      <c r="AC398" s="22"/>
      <c r="AD398" s="22"/>
      <c r="AE398" s="22"/>
      <c r="AF398" s="22"/>
      <c r="AG398" s="22"/>
      <c r="AH398" s="22"/>
      <c r="AM398" s="22">
        <f t="shared" ref="AM398:AM460" si="12">COUNTA(I398:AL398)-COUNTIF(I398:AL398,"CT")</f>
        <v>0</v>
      </c>
    </row>
    <row r="399" spans="1:39 16351:16373" x14ac:dyDescent="0.25">
      <c r="A399" s="20" t="s">
        <v>55</v>
      </c>
      <c r="B399" s="38"/>
      <c r="C399" s="20"/>
      <c r="D399" s="20"/>
      <c r="E399" s="20"/>
      <c r="F399" s="20" t="s">
        <v>1013</v>
      </c>
      <c r="G399" s="39"/>
      <c r="H399" s="40"/>
      <c r="I399" s="39"/>
      <c r="L399" s="22"/>
      <c r="P399" s="22"/>
      <c r="Q399" s="22"/>
      <c r="R399" s="22"/>
      <c r="S399" s="22"/>
      <c r="T399" s="22"/>
      <c r="V399" s="22"/>
      <c r="W399" s="22"/>
      <c r="X399" s="22"/>
      <c r="Y399" s="22"/>
      <c r="Z399" s="22"/>
      <c r="AA399" s="22"/>
      <c r="AB399" s="22"/>
      <c r="AC399" s="22"/>
      <c r="AD399" s="22"/>
      <c r="AE399" s="22"/>
      <c r="AF399" s="22"/>
      <c r="AG399" s="22"/>
      <c r="AH399" s="22"/>
      <c r="AM399" s="22">
        <f t="shared" si="12"/>
        <v>0</v>
      </c>
    </row>
    <row r="400" spans="1:39 16351:16373" x14ac:dyDescent="0.25">
      <c r="A400" s="20" t="s">
        <v>55</v>
      </c>
      <c r="B400" s="38"/>
      <c r="C400" s="20"/>
      <c r="D400" s="20"/>
      <c r="E400" s="20"/>
      <c r="F400" s="20" t="s">
        <v>1013</v>
      </c>
      <c r="G400" s="39"/>
      <c r="H400" s="40"/>
      <c r="I400" s="22"/>
      <c r="L400" s="31"/>
      <c r="O400" s="31"/>
      <c r="P400" s="31"/>
      <c r="Q400" s="31"/>
      <c r="X400" s="31"/>
      <c r="AB400" s="22"/>
      <c r="AD400" s="22"/>
      <c r="AM400" s="22">
        <f t="shared" si="12"/>
        <v>0</v>
      </c>
    </row>
    <row r="401" spans="1:39" x14ac:dyDescent="0.25">
      <c r="A401" s="20" t="s">
        <v>55</v>
      </c>
      <c r="B401" s="38"/>
      <c r="C401" s="20"/>
      <c r="D401" s="20"/>
      <c r="E401" s="20"/>
      <c r="F401" s="20" t="s">
        <v>1013</v>
      </c>
      <c r="G401" s="39"/>
      <c r="H401" s="40"/>
      <c r="I401" s="39"/>
      <c r="L401" s="22"/>
      <c r="M401" s="22"/>
      <c r="O401" s="22"/>
      <c r="P401" s="22"/>
      <c r="Q401" s="22"/>
      <c r="R401" s="22"/>
      <c r="S401" s="22"/>
      <c r="T401" s="22"/>
      <c r="V401" s="22"/>
      <c r="W401" s="22"/>
      <c r="X401" s="22"/>
      <c r="Y401" s="22"/>
      <c r="Z401" s="22"/>
      <c r="AA401" s="22"/>
      <c r="AB401" s="22"/>
      <c r="AC401" s="22"/>
      <c r="AD401" s="22"/>
      <c r="AE401" s="22"/>
      <c r="AF401" s="22"/>
      <c r="AG401" s="22"/>
      <c r="AH401" s="22"/>
      <c r="AM401" s="22">
        <f t="shared" si="12"/>
        <v>0</v>
      </c>
    </row>
    <row r="402" spans="1:39" x14ac:dyDescent="0.25">
      <c r="A402" s="20" t="s">
        <v>55</v>
      </c>
      <c r="B402" s="38"/>
      <c r="C402" s="20"/>
      <c r="D402" s="20"/>
      <c r="E402" s="20"/>
      <c r="F402" s="20" t="s">
        <v>1013</v>
      </c>
      <c r="G402" s="39"/>
      <c r="H402" s="40"/>
      <c r="I402" s="39"/>
      <c r="L402" s="22"/>
      <c r="M402" s="22"/>
      <c r="N402" s="22"/>
      <c r="O402" s="22"/>
      <c r="P402" s="22"/>
      <c r="Q402" s="22"/>
      <c r="R402" s="22"/>
      <c r="S402" s="22"/>
      <c r="T402" s="22"/>
      <c r="V402" s="22"/>
      <c r="W402" s="22"/>
      <c r="X402" s="22"/>
      <c r="Y402" s="22"/>
      <c r="Z402" s="22"/>
      <c r="AA402" s="22"/>
      <c r="AB402" s="22"/>
      <c r="AC402" s="22"/>
      <c r="AD402" s="22"/>
      <c r="AE402" s="22"/>
      <c r="AF402" s="22"/>
      <c r="AG402" s="22"/>
      <c r="AH402" s="22"/>
      <c r="AM402" s="22">
        <f t="shared" si="12"/>
        <v>0</v>
      </c>
    </row>
    <row r="403" spans="1:39" x14ac:dyDescent="0.25">
      <c r="A403" s="20" t="s">
        <v>55</v>
      </c>
      <c r="B403" s="38"/>
      <c r="C403" s="20"/>
      <c r="D403" s="20"/>
      <c r="E403" s="20"/>
      <c r="F403" s="20" t="s">
        <v>1013</v>
      </c>
      <c r="G403" s="39"/>
      <c r="H403" s="40"/>
      <c r="I403" s="39"/>
      <c r="L403" s="22"/>
      <c r="M403" s="22"/>
      <c r="O403" s="22"/>
      <c r="P403" s="22"/>
      <c r="Q403" s="22"/>
      <c r="R403" s="22"/>
      <c r="S403" s="22"/>
      <c r="T403" s="22"/>
      <c r="V403" s="22"/>
      <c r="W403" s="22"/>
      <c r="X403" s="22"/>
      <c r="Y403" s="22"/>
      <c r="Z403" s="22"/>
      <c r="AA403" s="22"/>
      <c r="AB403" s="22"/>
      <c r="AC403" s="22"/>
      <c r="AD403" s="22"/>
      <c r="AE403" s="22"/>
      <c r="AF403" s="22"/>
      <c r="AG403" s="22"/>
      <c r="AH403" s="22"/>
      <c r="AM403" s="22">
        <f t="shared" si="12"/>
        <v>0</v>
      </c>
    </row>
    <row r="404" spans="1:39" x14ac:dyDescent="0.25">
      <c r="A404" s="20" t="s">
        <v>55</v>
      </c>
      <c r="B404" s="38"/>
      <c r="C404" s="20"/>
      <c r="D404" s="20"/>
      <c r="E404" s="20"/>
      <c r="F404" s="20" t="s">
        <v>1013</v>
      </c>
      <c r="G404" s="39"/>
      <c r="H404" s="40"/>
      <c r="I404" s="22"/>
      <c r="L404" s="22"/>
      <c r="M404" s="22"/>
      <c r="O404" s="22"/>
      <c r="P404" s="22"/>
      <c r="Q404" s="22"/>
      <c r="R404" s="22"/>
      <c r="S404" s="22"/>
      <c r="T404" s="22"/>
      <c r="V404" s="22"/>
      <c r="W404" s="22"/>
      <c r="X404" s="22"/>
      <c r="Y404" s="22"/>
      <c r="Z404" s="22"/>
      <c r="AA404" s="22"/>
      <c r="AC404" s="22"/>
      <c r="AD404" s="22"/>
      <c r="AE404" s="22"/>
      <c r="AF404" s="22"/>
      <c r="AG404" s="22"/>
      <c r="AH404" s="22"/>
      <c r="AM404" s="22">
        <f t="shared" si="12"/>
        <v>0</v>
      </c>
    </row>
    <row r="405" spans="1:39" x14ac:dyDescent="0.25">
      <c r="A405" s="20" t="s">
        <v>55</v>
      </c>
      <c r="B405" s="38"/>
      <c r="C405" s="20"/>
      <c r="D405" s="20"/>
      <c r="E405" s="20"/>
      <c r="F405" s="20" t="s">
        <v>1013</v>
      </c>
      <c r="G405" s="39"/>
      <c r="H405" s="40"/>
      <c r="I405" s="22"/>
      <c r="L405" s="22"/>
      <c r="M405" s="22"/>
      <c r="O405" s="22"/>
      <c r="P405" s="22"/>
      <c r="Q405" s="22"/>
      <c r="R405" s="22"/>
      <c r="S405" s="22"/>
      <c r="T405" s="22"/>
      <c r="V405" s="22"/>
      <c r="W405" s="22"/>
      <c r="X405" s="22"/>
      <c r="Y405" s="22"/>
      <c r="Z405" s="22"/>
      <c r="AA405" s="22"/>
      <c r="AB405" s="22"/>
      <c r="AC405" s="22"/>
      <c r="AD405" s="22"/>
      <c r="AE405" s="22"/>
      <c r="AF405" s="22"/>
      <c r="AG405" s="22"/>
      <c r="AH405" s="22"/>
      <c r="AM405" s="22">
        <f t="shared" si="12"/>
        <v>0</v>
      </c>
    </row>
    <row r="406" spans="1:39" x14ac:dyDescent="0.25">
      <c r="A406" s="20" t="s">
        <v>55</v>
      </c>
      <c r="B406" s="38"/>
      <c r="C406" s="20"/>
      <c r="D406" s="20"/>
      <c r="E406" s="20"/>
      <c r="F406" s="20" t="s">
        <v>1013</v>
      </c>
      <c r="G406" s="39"/>
      <c r="H406" s="40"/>
      <c r="I406" s="22"/>
      <c r="L406" s="22"/>
      <c r="M406" s="22"/>
      <c r="O406" s="22"/>
      <c r="S406" s="22"/>
      <c r="T406" s="22"/>
      <c r="V406" s="22"/>
      <c r="W406" s="22"/>
      <c r="Y406" s="22"/>
      <c r="Z406" s="22"/>
      <c r="AA406" s="22"/>
      <c r="AB406" s="22"/>
      <c r="AC406" s="22"/>
      <c r="AD406" s="22"/>
      <c r="AE406" s="22"/>
      <c r="AF406" s="22"/>
      <c r="AG406" s="22"/>
      <c r="AH406" s="22"/>
      <c r="AM406" s="22">
        <f t="shared" si="12"/>
        <v>0</v>
      </c>
    </row>
    <row r="407" spans="1:39" x14ac:dyDescent="0.25">
      <c r="A407" s="20" t="s">
        <v>55</v>
      </c>
      <c r="B407" s="38"/>
      <c r="C407" s="20"/>
      <c r="D407" s="20"/>
      <c r="E407" s="20"/>
      <c r="F407" s="20" t="s">
        <v>1013</v>
      </c>
      <c r="G407" s="39"/>
      <c r="H407" s="40"/>
      <c r="I407" s="22"/>
      <c r="L407" s="22"/>
      <c r="M407" s="22"/>
      <c r="O407" s="22"/>
      <c r="P407" s="22"/>
      <c r="Q407" s="22"/>
      <c r="R407" s="22"/>
      <c r="S407" s="22"/>
      <c r="T407" s="22"/>
      <c r="V407" s="22"/>
      <c r="W407" s="22"/>
      <c r="X407" s="22"/>
      <c r="Y407" s="22"/>
      <c r="Z407" s="22"/>
      <c r="AA407" s="22"/>
      <c r="AB407" s="22"/>
      <c r="AC407" s="22"/>
      <c r="AD407" s="22"/>
      <c r="AE407" s="22"/>
      <c r="AF407" s="22"/>
      <c r="AG407" s="22"/>
      <c r="AM407" s="22">
        <f t="shared" si="12"/>
        <v>0</v>
      </c>
    </row>
    <row r="408" spans="1:39" x14ac:dyDescent="0.25">
      <c r="A408" s="20" t="s">
        <v>55</v>
      </c>
      <c r="B408" s="38"/>
      <c r="C408" s="20"/>
      <c r="D408" s="20"/>
      <c r="E408" s="20"/>
      <c r="F408" s="20" t="s">
        <v>1013</v>
      </c>
      <c r="G408" s="39"/>
      <c r="H408" s="40"/>
      <c r="I408" s="22"/>
      <c r="L408" s="22"/>
      <c r="M408" s="22"/>
      <c r="O408" s="22"/>
      <c r="P408" s="22"/>
      <c r="Q408" s="22"/>
      <c r="S408" s="22"/>
      <c r="T408" s="22"/>
      <c r="V408" s="22"/>
      <c r="W408" s="22"/>
      <c r="X408" s="22"/>
      <c r="Y408" s="22"/>
      <c r="Z408" s="22"/>
      <c r="AA408" s="22"/>
      <c r="AB408" s="22"/>
      <c r="AC408" s="22"/>
      <c r="AD408" s="22"/>
      <c r="AF408" s="22"/>
      <c r="AG408" s="22"/>
      <c r="AH408" s="22"/>
      <c r="AM408" s="22">
        <f t="shared" si="12"/>
        <v>0</v>
      </c>
    </row>
    <row r="409" spans="1:39" x14ac:dyDescent="0.25">
      <c r="A409" s="20" t="s">
        <v>55</v>
      </c>
      <c r="B409" s="38"/>
      <c r="C409" s="20"/>
      <c r="D409" s="20"/>
      <c r="E409" s="20"/>
      <c r="F409" s="20" t="s">
        <v>1013</v>
      </c>
      <c r="G409" s="39"/>
      <c r="H409" s="40"/>
      <c r="I409" s="22"/>
      <c r="L409" s="22"/>
      <c r="M409" s="22"/>
      <c r="N409" s="22"/>
      <c r="O409" s="22"/>
      <c r="P409" s="22"/>
      <c r="Q409" s="22"/>
      <c r="R409" s="22"/>
      <c r="S409" s="22"/>
      <c r="T409" s="22"/>
      <c r="V409" s="22"/>
      <c r="W409" s="22"/>
      <c r="X409" s="22"/>
      <c r="Y409" s="22"/>
      <c r="Z409" s="22"/>
      <c r="AA409" s="22"/>
      <c r="AB409" s="22"/>
      <c r="AC409" s="22"/>
      <c r="AD409" s="22"/>
      <c r="AE409" s="22"/>
      <c r="AF409" s="22"/>
      <c r="AG409" s="22"/>
      <c r="AH409" s="22"/>
      <c r="AM409" s="22">
        <f t="shared" si="12"/>
        <v>0</v>
      </c>
    </row>
    <row r="410" spans="1:39" x14ac:dyDescent="0.25">
      <c r="A410" s="20" t="s">
        <v>55</v>
      </c>
      <c r="B410" s="38"/>
      <c r="C410" s="20"/>
      <c r="D410" s="20"/>
      <c r="E410" s="20"/>
      <c r="F410" s="20" t="s">
        <v>1013</v>
      </c>
      <c r="G410" s="39"/>
      <c r="H410" s="40"/>
      <c r="I410" s="22"/>
      <c r="L410" s="22"/>
      <c r="M410" s="22"/>
      <c r="O410" s="22"/>
      <c r="P410" s="22"/>
      <c r="Q410" s="22"/>
      <c r="R410" s="22"/>
      <c r="S410" s="22"/>
      <c r="T410" s="22"/>
      <c r="V410" s="22"/>
      <c r="W410" s="22"/>
      <c r="X410" s="22"/>
      <c r="Y410" s="22"/>
      <c r="Z410" s="22"/>
      <c r="AA410" s="22"/>
      <c r="AB410" s="22"/>
      <c r="AC410" s="22"/>
      <c r="AD410" s="22"/>
      <c r="AE410" s="22"/>
      <c r="AF410" s="22"/>
      <c r="AG410" s="22"/>
      <c r="AH410" s="22"/>
      <c r="AM410" s="22">
        <f t="shared" si="12"/>
        <v>0</v>
      </c>
    </row>
    <row r="411" spans="1:39" x14ac:dyDescent="0.25">
      <c r="A411" s="20" t="s">
        <v>55</v>
      </c>
      <c r="B411" s="38"/>
      <c r="C411" s="20"/>
      <c r="D411" s="20"/>
      <c r="E411" s="20"/>
      <c r="F411" s="20" t="s">
        <v>1013</v>
      </c>
      <c r="G411" s="39"/>
      <c r="H411" s="40"/>
      <c r="I411" s="22"/>
      <c r="L411" s="22"/>
      <c r="M411" s="22"/>
      <c r="N411" s="22"/>
      <c r="O411" s="22"/>
      <c r="P411" s="22"/>
      <c r="Q411" s="22"/>
      <c r="R411" s="22"/>
      <c r="S411" s="22"/>
      <c r="T411" s="22"/>
      <c r="V411" s="22"/>
      <c r="W411" s="22"/>
      <c r="X411" s="22"/>
      <c r="Y411" s="22"/>
      <c r="Z411" s="22"/>
      <c r="AA411" s="22"/>
      <c r="AB411" s="22"/>
      <c r="AD411" s="22"/>
      <c r="AE411" s="22"/>
      <c r="AF411" s="22"/>
      <c r="AG411" s="22"/>
      <c r="AH411" s="22"/>
      <c r="AM411" s="22">
        <f t="shared" si="12"/>
        <v>0</v>
      </c>
    </row>
    <row r="412" spans="1:39" x14ac:dyDescent="0.25">
      <c r="A412" s="20" t="s">
        <v>55</v>
      </c>
      <c r="B412" s="38"/>
      <c r="C412" s="20"/>
      <c r="D412" s="20"/>
      <c r="E412" s="20"/>
      <c r="F412" s="20" t="s">
        <v>1013</v>
      </c>
      <c r="G412" s="39"/>
      <c r="H412" s="40"/>
      <c r="I412" s="22"/>
      <c r="M412" s="31"/>
      <c r="Q412" s="31"/>
      <c r="R412" s="31"/>
      <c r="S412" s="31"/>
      <c r="T412" s="31"/>
      <c r="V412" s="22"/>
      <c r="W412" s="31"/>
      <c r="X412" s="31"/>
      <c r="Y412" s="31"/>
      <c r="Z412" s="31"/>
      <c r="AA412" s="31"/>
      <c r="AB412" s="22"/>
      <c r="AC412" s="22"/>
      <c r="AD412" s="31"/>
      <c r="AE412" s="31"/>
      <c r="AF412" s="22"/>
      <c r="AG412" s="31"/>
      <c r="AH412" s="31"/>
      <c r="AK412" s="31"/>
      <c r="AM412" s="22">
        <f t="shared" si="12"/>
        <v>0</v>
      </c>
    </row>
    <row r="413" spans="1:39" x14ac:dyDescent="0.25">
      <c r="A413" s="20" t="s">
        <v>55</v>
      </c>
      <c r="B413" s="38"/>
      <c r="C413" s="20"/>
      <c r="D413" s="20"/>
      <c r="E413" s="20"/>
      <c r="F413" s="20" t="s">
        <v>1013</v>
      </c>
      <c r="G413" s="39"/>
      <c r="H413" s="40"/>
      <c r="I413" s="22"/>
      <c r="L413" s="22"/>
      <c r="M413" s="22"/>
      <c r="O413" s="22"/>
      <c r="P413" s="22"/>
      <c r="Q413" s="22"/>
      <c r="R413" s="22"/>
      <c r="V413" s="22"/>
      <c r="W413" s="22"/>
      <c r="X413" s="22"/>
      <c r="Y413" s="22"/>
      <c r="Z413" s="22"/>
      <c r="AA413" s="22"/>
      <c r="AB413" s="22"/>
      <c r="AC413" s="22"/>
      <c r="AD413" s="22"/>
      <c r="AE413" s="22"/>
      <c r="AF413" s="22"/>
      <c r="AG413" s="22"/>
      <c r="AH413" s="22"/>
      <c r="AM413" s="22">
        <f t="shared" si="12"/>
        <v>0</v>
      </c>
    </row>
    <row r="414" spans="1:39" x14ac:dyDescent="0.25">
      <c r="A414" s="20" t="s">
        <v>55</v>
      </c>
      <c r="B414" s="38"/>
      <c r="C414" s="20"/>
      <c r="D414" s="20"/>
      <c r="E414" s="20"/>
      <c r="F414" s="20" t="s">
        <v>1013</v>
      </c>
      <c r="G414" s="39"/>
      <c r="H414" s="40"/>
      <c r="I414" s="22"/>
      <c r="L414" s="22"/>
      <c r="M414" s="22"/>
      <c r="O414" s="22"/>
      <c r="P414" s="22"/>
      <c r="Q414" s="22"/>
      <c r="R414" s="22"/>
      <c r="W414" s="22"/>
      <c r="X414" s="22"/>
      <c r="Y414" s="22"/>
      <c r="Z414" s="22"/>
      <c r="AA414" s="22"/>
      <c r="AB414" s="22"/>
      <c r="AC414" s="22"/>
      <c r="AD414" s="22"/>
      <c r="AE414" s="22"/>
      <c r="AF414" s="22"/>
      <c r="AG414" s="22"/>
      <c r="AH414" s="22"/>
      <c r="AM414" s="22">
        <f t="shared" si="12"/>
        <v>0</v>
      </c>
    </row>
    <row r="415" spans="1:39" x14ac:dyDescent="0.25">
      <c r="A415" s="20" t="s">
        <v>55</v>
      </c>
      <c r="B415" s="38"/>
      <c r="C415" s="20"/>
      <c r="D415" s="20"/>
      <c r="E415" s="20"/>
      <c r="F415" s="20" t="s">
        <v>1013</v>
      </c>
      <c r="G415" s="39"/>
      <c r="H415" s="40"/>
      <c r="I415" s="22"/>
      <c r="L415" s="22"/>
      <c r="M415" s="22"/>
      <c r="O415" s="22"/>
      <c r="P415" s="22"/>
      <c r="Q415" s="22"/>
      <c r="R415" s="22"/>
      <c r="S415" s="22"/>
      <c r="T415" s="22"/>
      <c r="V415" s="22"/>
      <c r="W415" s="22"/>
      <c r="X415" s="22"/>
      <c r="Y415" s="22"/>
      <c r="Z415" s="22"/>
      <c r="AA415" s="22"/>
      <c r="AB415" s="22"/>
      <c r="AC415" s="22"/>
      <c r="AD415" s="22"/>
      <c r="AE415" s="22"/>
      <c r="AF415" s="22"/>
      <c r="AG415" s="22"/>
      <c r="AH415" s="22"/>
      <c r="AM415" s="22">
        <f t="shared" si="12"/>
        <v>0</v>
      </c>
    </row>
    <row r="416" spans="1:39" x14ac:dyDescent="0.25">
      <c r="A416" s="20" t="s">
        <v>55</v>
      </c>
      <c r="B416" s="38"/>
      <c r="C416" s="20"/>
      <c r="D416" s="20"/>
      <c r="E416" s="20"/>
      <c r="F416" s="20" t="s">
        <v>1013</v>
      </c>
      <c r="G416" s="39"/>
      <c r="H416" s="40"/>
      <c r="I416" s="22"/>
      <c r="L416" s="22"/>
      <c r="M416" s="22"/>
      <c r="N416" s="22"/>
      <c r="O416" s="22"/>
      <c r="P416" s="22"/>
      <c r="Q416" s="22"/>
      <c r="R416" s="22"/>
      <c r="S416" s="22"/>
      <c r="T416" s="22"/>
      <c r="V416" s="22"/>
      <c r="W416" s="22"/>
      <c r="X416" s="22"/>
      <c r="Y416" s="22"/>
      <c r="Z416" s="22"/>
      <c r="AA416" s="22"/>
      <c r="AB416" s="22"/>
      <c r="AC416" s="22"/>
      <c r="AD416" s="22"/>
      <c r="AE416" s="22"/>
      <c r="AF416" s="22"/>
      <c r="AG416" s="22"/>
      <c r="AH416" s="22"/>
      <c r="AM416" s="22">
        <f t="shared" si="12"/>
        <v>0</v>
      </c>
    </row>
    <row r="417" spans="1:39" x14ac:dyDescent="0.25">
      <c r="A417" s="20" t="s">
        <v>55</v>
      </c>
      <c r="B417" s="38"/>
      <c r="C417" s="20"/>
      <c r="D417" s="20"/>
      <c r="E417" s="20"/>
      <c r="F417" s="20" t="s">
        <v>1013</v>
      </c>
      <c r="G417" s="39"/>
      <c r="H417" s="40"/>
      <c r="I417" s="31"/>
      <c r="L417" s="22"/>
      <c r="M417" s="22"/>
      <c r="Y417" s="22"/>
      <c r="AA417" s="22"/>
      <c r="AF417" s="22"/>
      <c r="AG417" s="22"/>
      <c r="AH417" s="22"/>
      <c r="AM417" s="22">
        <f t="shared" si="12"/>
        <v>0</v>
      </c>
    </row>
    <row r="418" spans="1:39" x14ac:dyDescent="0.25">
      <c r="A418" s="20" t="s">
        <v>55</v>
      </c>
      <c r="B418" s="38"/>
      <c r="C418" s="20"/>
      <c r="D418" s="20"/>
      <c r="E418" s="20"/>
      <c r="F418" s="20" t="s">
        <v>1013</v>
      </c>
      <c r="G418" s="39"/>
      <c r="H418" s="40"/>
      <c r="I418" s="22"/>
      <c r="L418" s="22"/>
      <c r="W418" s="22"/>
      <c r="X418" s="22"/>
      <c r="Y418" s="22"/>
      <c r="Z418" s="22"/>
      <c r="AA418" s="22"/>
      <c r="AB418" s="22"/>
      <c r="AC418" s="22"/>
      <c r="AD418" s="22"/>
      <c r="AE418" s="22"/>
      <c r="AF418" s="22"/>
      <c r="AG418" s="22"/>
      <c r="AH418" s="22"/>
      <c r="AM418" s="22">
        <f t="shared" si="12"/>
        <v>0</v>
      </c>
    </row>
    <row r="419" spans="1:39" x14ac:dyDescent="0.25">
      <c r="A419" s="20" t="s">
        <v>55</v>
      </c>
      <c r="B419" s="38"/>
      <c r="C419" s="20"/>
      <c r="D419" s="20"/>
      <c r="E419" s="20"/>
      <c r="F419" s="20" t="s">
        <v>1013</v>
      </c>
      <c r="G419" s="39"/>
      <c r="H419" s="40"/>
      <c r="I419" s="22"/>
      <c r="L419" s="22"/>
      <c r="M419" s="22"/>
      <c r="P419" s="22"/>
      <c r="AB419" s="22"/>
      <c r="AC419" s="22"/>
      <c r="AD419" s="22"/>
      <c r="AE419" s="22"/>
      <c r="AF419" s="22"/>
      <c r="AG419" s="22"/>
      <c r="AH419" s="22"/>
      <c r="AM419" s="22">
        <f t="shared" si="12"/>
        <v>0</v>
      </c>
    </row>
    <row r="420" spans="1:39" x14ac:dyDescent="0.25">
      <c r="A420" s="20" t="s">
        <v>55</v>
      </c>
      <c r="B420" s="38"/>
      <c r="C420" s="20"/>
      <c r="D420" s="20"/>
      <c r="E420" s="20"/>
      <c r="F420" s="20" t="s">
        <v>1013</v>
      </c>
      <c r="G420" s="39"/>
      <c r="H420" s="40"/>
      <c r="I420" s="22"/>
      <c r="L420" s="22"/>
      <c r="M420" s="22"/>
      <c r="N420" s="22"/>
      <c r="O420" s="22"/>
      <c r="P420" s="22"/>
      <c r="Q420" s="22"/>
      <c r="R420" s="22"/>
      <c r="S420" s="22"/>
      <c r="T420" s="22"/>
      <c r="V420" s="22"/>
      <c r="W420" s="22"/>
      <c r="X420" s="22"/>
      <c r="Y420" s="22"/>
      <c r="Z420" s="22"/>
      <c r="AA420" s="22"/>
      <c r="AB420" s="22"/>
      <c r="AC420" s="22"/>
      <c r="AD420" s="22"/>
      <c r="AE420" s="22"/>
      <c r="AF420" s="22"/>
      <c r="AG420" s="22"/>
      <c r="AH420" s="22"/>
      <c r="AM420" s="22">
        <f t="shared" si="12"/>
        <v>0</v>
      </c>
    </row>
    <row r="421" spans="1:39" x14ac:dyDescent="0.25">
      <c r="A421" s="20" t="s">
        <v>55</v>
      </c>
      <c r="B421" s="38"/>
      <c r="C421" s="20"/>
      <c r="D421" s="20"/>
      <c r="E421" s="20"/>
      <c r="F421" s="20" t="s">
        <v>1013</v>
      </c>
      <c r="G421" s="39"/>
      <c r="H421" s="40"/>
      <c r="I421" s="22"/>
      <c r="L421" s="22"/>
      <c r="M421" s="22"/>
      <c r="O421" s="22"/>
      <c r="P421" s="22"/>
      <c r="Q421" s="22"/>
      <c r="R421" s="22"/>
      <c r="S421" s="22"/>
      <c r="T421" s="22"/>
      <c r="V421" s="22"/>
      <c r="W421" s="22"/>
      <c r="X421" s="22"/>
      <c r="Y421" s="22"/>
      <c r="Z421" s="22"/>
      <c r="AA421" s="22"/>
      <c r="AB421" s="22"/>
      <c r="AC421" s="22"/>
      <c r="AD421" s="22"/>
      <c r="AE421" s="22"/>
      <c r="AF421" s="22"/>
      <c r="AG421" s="22"/>
      <c r="AH421" s="22"/>
      <c r="AM421" s="22">
        <f t="shared" si="12"/>
        <v>0</v>
      </c>
    </row>
    <row r="422" spans="1:39" x14ac:dyDescent="0.25">
      <c r="A422" s="20" t="s">
        <v>55</v>
      </c>
      <c r="B422" s="38"/>
      <c r="C422" s="20"/>
      <c r="D422" s="20"/>
      <c r="E422" s="20"/>
      <c r="F422" s="20" t="s">
        <v>1013</v>
      </c>
      <c r="G422" s="39"/>
      <c r="H422" s="40"/>
      <c r="I422" s="22"/>
      <c r="L422" s="22"/>
      <c r="M422" s="22"/>
      <c r="O422" s="22"/>
      <c r="P422" s="22"/>
      <c r="Q422" s="22"/>
      <c r="R422" s="22"/>
      <c r="S422" s="22"/>
      <c r="T422" s="22"/>
      <c r="V422" s="22"/>
      <c r="W422" s="22"/>
      <c r="X422" s="22"/>
      <c r="Y422" s="22"/>
      <c r="Z422" s="22"/>
      <c r="AA422" s="22"/>
      <c r="AB422" s="22"/>
      <c r="AC422" s="22"/>
      <c r="AD422" s="22"/>
      <c r="AE422" s="22"/>
      <c r="AF422" s="22"/>
      <c r="AG422" s="22"/>
      <c r="AH422" s="22"/>
      <c r="AM422" s="22">
        <f t="shared" si="12"/>
        <v>0</v>
      </c>
    </row>
    <row r="423" spans="1:39" x14ac:dyDescent="0.25">
      <c r="A423" s="20" t="s">
        <v>55</v>
      </c>
      <c r="B423" s="38"/>
      <c r="C423" s="20"/>
      <c r="D423" s="20"/>
      <c r="E423" s="20"/>
      <c r="F423" s="20" t="s">
        <v>1013</v>
      </c>
      <c r="G423" s="39"/>
      <c r="H423" s="40"/>
      <c r="I423" s="22"/>
      <c r="L423" s="22"/>
      <c r="M423" s="22"/>
      <c r="O423" s="22"/>
      <c r="P423" s="22"/>
      <c r="Q423" s="22"/>
      <c r="R423" s="22"/>
      <c r="V423" s="22"/>
      <c r="W423" s="22"/>
      <c r="X423" s="22"/>
      <c r="Y423" s="22"/>
      <c r="Z423" s="22"/>
      <c r="AA423" s="22"/>
      <c r="AB423" s="22"/>
      <c r="AC423" s="22"/>
      <c r="AD423" s="22"/>
      <c r="AE423" s="22"/>
      <c r="AF423" s="22"/>
      <c r="AG423" s="22"/>
      <c r="AH423" s="22"/>
      <c r="AM423" s="22">
        <f t="shared" si="12"/>
        <v>0</v>
      </c>
    </row>
    <row r="424" spans="1:39" x14ac:dyDescent="0.25">
      <c r="A424" s="20" t="s">
        <v>55</v>
      </c>
      <c r="B424" s="38"/>
      <c r="C424" s="20"/>
      <c r="D424" s="20"/>
      <c r="E424" s="20"/>
      <c r="F424" s="20" t="s">
        <v>1013</v>
      </c>
      <c r="G424" s="39"/>
      <c r="H424" s="40"/>
      <c r="I424" s="22"/>
      <c r="L424" s="22"/>
      <c r="M424" s="22"/>
      <c r="O424" s="22"/>
      <c r="P424" s="22"/>
      <c r="Q424" s="22"/>
      <c r="R424" s="22"/>
      <c r="V424" s="22"/>
      <c r="W424" s="22"/>
      <c r="X424" s="22"/>
      <c r="Y424" s="22"/>
      <c r="Z424" s="22"/>
      <c r="AA424" s="22"/>
      <c r="AB424" s="22"/>
      <c r="AC424" s="22"/>
      <c r="AD424" s="22"/>
      <c r="AE424" s="22"/>
      <c r="AF424" s="22"/>
      <c r="AG424" s="22"/>
      <c r="AH424" s="22"/>
      <c r="AM424" s="22">
        <f t="shared" si="12"/>
        <v>0</v>
      </c>
    </row>
    <row r="425" spans="1:39" x14ac:dyDescent="0.25">
      <c r="A425" s="20" t="s">
        <v>55</v>
      </c>
      <c r="B425" s="38"/>
      <c r="C425" s="20"/>
      <c r="D425" s="20"/>
      <c r="E425" s="20"/>
      <c r="F425" s="20" t="s">
        <v>1013</v>
      </c>
      <c r="G425" s="39"/>
      <c r="H425" s="40"/>
      <c r="I425" s="22"/>
      <c r="L425" s="22"/>
      <c r="M425" s="22"/>
      <c r="O425" s="22"/>
      <c r="P425" s="22"/>
      <c r="Q425" s="22"/>
      <c r="R425" s="22"/>
      <c r="V425" s="22"/>
      <c r="W425" s="22"/>
      <c r="X425" s="22"/>
      <c r="Y425" s="22"/>
      <c r="Z425" s="22"/>
      <c r="AA425" s="22"/>
      <c r="AB425" s="22"/>
      <c r="AC425" s="22"/>
      <c r="AD425" s="22"/>
      <c r="AE425" s="22"/>
      <c r="AF425" s="22"/>
      <c r="AG425" s="22"/>
      <c r="AH425" s="22"/>
      <c r="AM425" s="22">
        <f t="shared" si="12"/>
        <v>0</v>
      </c>
    </row>
    <row r="426" spans="1:39" x14ac:dyDescent="0.25">
      <c r="A426" s="20" t="s">
        <v>55</v>
      </c>
      <c r="B426" s="38"/>
      <c r="C426" s="20"/>
      <c r="D426" s="20"/>
      <c r="E426" s="20"/>
      <c r="F426" s="20" t="s">
        <v>1013</v>
      </c>
      <c r="G426" s="39"/>
      <c r="H426" s="40"/>
      <c r="I426" s="22"/>
      <c r="L426" s="22"/>
      <c r="O426" s="22"/>
      <c r="S426" s="22"/>
      <c r="T426" s="22"/>
      <c r="V426" s="22"/>
      <c r="W426" s="22"/>
      <c r="X426" s="22"/>
      <c r="Y426" s="22"/>
      <c r="Z426" s="22"/>
      <c r="AA426" s="22"/>
      <c r="AB426" s="22"/>
      <c r="AC426" s="22"/>
      <c r="AD426" s="22"/>
      <c r="AE426" s="22"/>
      <c r="AF426" s="22"/>
      <c r="AG426" s="22"/>
      <c r="AH426" s="22"/>
      <c r="AM426" s="22">
        <f t="shared" si="12"/>
        <v>0</v>
      </c>
    </row>
    <row r="427" spans="1:39" x14ac:dyDescent="0.25">
      <c r="A427" s="20" t="s">
        <v>55</v>
      </c>
      <c r="B427" s="38"/>
      <c r="C427" s="20"/>
      <c r="D427" s="20"/>
      <c r="E427" s="20"/>
      <c r="F427" s="20" t="s">
        <v>1013</v>
      </c>
      <c r="G427" s="39"/>
      <c r="H427" s="40"/>
      <c r="I427" s="22"/>
      <c r="L427" s="22"/>
      <c r="AB427" s="22"/>
      <c r="AD427" s="22"/>
      <c r="AE427" s="22"/>
      <c r="AF427" s="22"/>
      <c r="AG427" s="22"/>
      <c r="AM427" s="22">
        <f t="shared" si="12"/>
        <v>0</v>
      </c>
    </row>
    <row r="428" spans="1:39" x14ac:dyDescent="0.25">
      <c r="A428" s="20" t="s">
        <v>55</v>
      </c>
      <c r="B428" s="38"/>
      <c r="C428" s="20"/>
      <c r="D428" s="20"/>
      <c r="E428" s="20"/>
      <c r="F428" s="20" t="s">
        <v>1013</v>
      </c>
      <c r="G428" s="39"/>
      <c r="H428" s="40"/>
      <c r="I428" s="22"/>
      <c r="L428" s="22"/>
      <c r="M428" s="22"/>
      <c r="N428" s="22"/>
      <c r="O428" s="22"/>
      <c r="Q428" s="22"/>
      <c r="R428" s="22"/>
      <c r="S428" s="22"/>
      <c r="T428" s="22"/>
      <c r="V428" s="22"/>
      <c r="W428" s="22"/>
      <c r="X428" s="22"/>
      <c r="Y428" s="22"/>
      <c r="Z428" s="22"/>
      <c r="AA428" s="22"/>
      <c r="AB428" s="22"/>
      <c r="AC428" s="22"/>
      <c r="AD428" s="22"/>
      <c r="AE428" s="22"/>
      <c r="AF428" s="22"/>
      <c r="AG428" s="22"/>
      <c r="AH428" s="22"/>
      <c r="AM428" s="22">
        <f t="shared" si="12"/>
        <v>0</v>
      </c>
    </row>
    <row r="429" spans="1:39" x14ac:dyDescent="0.25">
      <c r="A429" s="20" t="s">
        <v>55</v>
      </c>
      <c r="B429" s="38"/>
      <c r="C429" s="20"/>
      <c r="D429" s="20"/>
      <c r="E429" s="20"/>
      <c r="F429" s="20" t="s">
        <v>1013</v>
      </c>
      <c r="G429" s="39"/>
      <c r="H429" s="40"/>
      <c r="I429" s="22"/>
      <c r="L429" s="22"/>
      <c r="M429" s="22"/>
      <c r="AB429" s="22"/>
      <c r="AD429" s="22"/>
      <c r="AM429" s="22">
        <f t="shared" si="12"/>
        <v>0</v>
      </c>
    </row>
    <row r="430" spans="1:39" x14ac:dyDescent="0.25">
      <c r="A430" s="20" t="s">
        <v>55</v>
      </c>
      <c r="B430" s="38"/>
      <c r="C430" s="20"/>
      <c r="D430" s="20"/>
      <c r="E430" s="20"/>
      <c r="F430" s="20" t="s">
        <v>1013</v>
      </c>
      <c r="G430" s="39"/>
      <c r="H430" s="40"/>
      <c r="I430" s="22"/>
      <c r="L430" s="22"/>
      <c r="M430" s="22"/>
      <c r="N430" s="22"/>
      <c r="O430" s="22"/>
      <c r="P430" s="22"/>
      <c r="Q430" s="22"/>
      <c r="R430" s="22"/>
      <c r="AB430" s="22"/>
      <c r="AD430" s="22"/>
      <c r="AM430" s="22">
        <f t="shared" si="12"/>
        <v>0</v>
      </c>
    </row>
    <row r="431" spans="1:39" x14ac:dyDescent="0.25">
      <c r="A431" s="20" t="s">
        <v>55</v>
      </c>
      <c r="B431" s="38"/>
      <c r="C431" s="20"/>
      <c r="D431" s="20"/>
      <c r="E431" s="20"/>
      <c r="F431" s="20" t="s">
        <v>1013</v>
      </c>
      <c r="G431" s="39"/>
      <c r="H431" s="40"/>
      <c r="I431" s="22"/>
      <c r="L431" s="22"/>
      <c r="M431" s="22"/>
      <c r="O431" s="22"/>
      <c r="P431" s="22"/>
      <c r="Q431" s="22"/>
      <c r="R431" s="22"/>
      <c r="S431" s="22"/>
      <c r="T431" s="22"/>
      <c r="V431" s="22"/>
      <c r="W431" s="22"/>
      <c r="X431" s="22"/>
      <c r="Y431" s="22"/>
      <c r="Z431" s="22"/>
      <c r="AA431" s="22"/>
      <c r="AB431" s="22"/>
      <c r="AC431" s="22"/>
      <c r="AD431" s="22"/>
      <c r="AE431" s="22"/>
      <c r="AF431" s="22"/>
      <c r="AG431" s="22"/>
      <c r="AH431" s="22"/>
      <c r="AM431" s="22">
        <f t="shared" si="12"/>
        <v>0</v>
      </c>
    </row>
    <row r="432" spans="1:39" x14ac:dyDescent="0.25">
      <c r="A432" s="20" t="s">
        <v>55</v>
      </c>
      <c r="B432" s="38"/>
      <c r="C432" s="20"/>
      <c r="D432" s="20"/>
      <c r="E432" s="20"/>
      <c r="F432" s="20" t="s">
        <v>1013</v>
      </c>
      <c r="G432" s="39"/>
      <c r="H432" s="40"/>
      <c r="I432" s="22"/>
      <c r="L432" s="22"/>
      <c r="M432" s="22"/>
      <c r="O432" s="22"/>
      <c r="P432" s="22"/>
      <c r="Q432" s="22"/>
      <c r="R432" s="22"/>
      <c r="S432" s="22"/>
      <c r="T432" s="22"/>
      <c r="V432" s="22"/>
      <c r="W432" s="22"/>
      <c r="X432" s="22"/>
      <c r="Y432" s="22"/>
      <c r="Z432" s="22"/>
      <c r="AA432" s="22"/>
      <c r="AB432" s="22"/>
      <c r="AC432" s="22"/>
      <c r="AD432" s="22"/>
      <c r="AE432" s="22"/>
      <c r="AF432" s="22"/>
      <c r="AG432" s="22"/>
      <c r="AH432" s="22"/>
      <c r="AM432" s="22">
        <f t="shared" si="12"/>
        <v>0</v>
      </c>
    </row>
    <row r="433" spans="1:39" x14ac:dyDescent="0.25">
      <c r="A433" s="20" t="s">
        <v>55</v>
      </c>
      <c r="B433" s="38"/>
      <c r="C433" s="20"/>
      <c r="D433" s="20"/>
      <c r="E433" s="20"/>
      <c r="F433" s="20" t="s">
        <v>1013</v>
      </c>
      <c r="G433" s="39"/>
      <c r="H433" s="40"/>
      <c r="I433" s="22"/>
      <c r="L433" s="22"/>
      <c r="M433" s="22"/>
      <c r="O433" s="22"/>
      <c r="P433" s="22"/>
      <c r="Q433" s="22"/>
      <c r="R433" s="22"/>
      <c r="S433" s="22"/>
      <c r="T433" s="22"/>
      <c r="V433" s="22"/>
      <c r="W433" s="22"/>
      <c r="X433" s="22"/>
      <c r="Y433" s="22"/>
      <c r="Z433" s="22"/>
      <c r="AA433" s="22"/>
      <c r="AB433" s="22"/>
      <c r="AC433" s="22"/>
      <c r="AD433" s="22"/>
      <c r="AE433" s="22"/>
      <c r="AF433" s="22"/>
      <c r="AG433" s="22"/>
      <c r="AH433" s="22"/>
      <c r="AM433" s="22">
        <f t="shared" si="12"/>
        <v>0</v>
      </c>
    </row>
    <row r="434" spans="1:39" x14ac:dyDescent="0.25">
      <c r="A434" s="20" t="s">
        <v>55</v>
      </c>
      <c r="B434" s="38"/>
      <c r="C434" s="20"/>
      <c r="D434" s="20"/>
      <c r="E434" s="20"/>
      <c r="F434" s="20" t="s">
        <v>1013</v>
      </c>
      <c r="G434" s="39"/>
      <c r="H434" s="40"/>
      <c r="I434" s="22"/>
      <c r="L434" s="22"/>
      <c r="M434" s="22"/>
      <c r="O434" s="22"/>
      <c r="P434" s="22"/>
      <c r="Q434" s="22"/>
      <c r="R434" s="22"/>
      <c r="S434" s="22"/>
      <c r="T434" s="22"/>
      <c r="V434" s="22"/>
      <c r="W434" s="22"/>
      <c r="X434" s="22"/>
      <c r="Y434" s="22"/>
      <c r="Z434" s="22"/>
      <c r="AA434" s="22"/>
      <c r="AB434" s="22"/>
      <c r="AD434" s="22"/>
      <c r="AM434" s="22">
        <f t="shared" si="12"/>
        <v>0</v>
      </c>
    </row>
    <row r="435" spans="1:39" x14ac:dyDescent="0.25">
      <c r="A435" s="20" t="s">
        <v>55</v>
      </c>
      <c r="B435" s="38"/>
      <c r="C435" s="20"/>
      <c r="D435" s="20"/>
      <c r="E435" s="20"/>
      <c r="F435" s="20" t="s">
        <v>1013</v>
      </c>
      <c r="G435" s="39"/>
      <c r="H435" s="40"/>
      <c r="I435" s="22"/>
      <c r="L435" s="22"/>
      <c r="M435" s="22"/>
      <c r="O435" s="22"/>
      <c r="P435" s="22"/>
      <c r="Q435" s="22"/>
      <c r="S435" s="22"/>
      <c r="V435" s="22"/>
      <c r="W435" s="22"/>
      <c r="X435" s="22"/>
      <c r="Y435" s="22"/>
      <c r="Z435" s="22"/>
      <c r="AA435" s="22"/>
      <c r="AB435" s="22"/>
      <c r="AC435" s="22"/>
      <c r="AD435" s="22"/>
      <c r="AE435" s="22"/>
      <c r="AF435" s="22"/>
      <c r="AG435" s="22"/>
      <c r="AM435" s="22">
        <f t="shared" si="12"/>
        <v>0</v>
      </c>
    </row>
    <row r="436" spans="1:39" x14ac:dyDescent="0.25">
      <c r="A436" s="20" t="s">
        <v>55</v>
      </c>
      <c r="B436" s="38"/>
      <c r="C436" s="20"/>
      <c r="D436" s="20"/>
      <c r="E436" s="20"/>
      <c r="F436" s="20" t="s">
        <v>1013</v>
      </c>
      <c r="G436" s="39"/>
      <c r="H436" s="40"/>
      <c r="I436" s="22"/>
      <c r="L436" s="22"/>
      <c r="M436" s="22"/>
      <c r="O436" s="22"/>
      <c r="P436" s="22"/>
      <c r="Q436" s="22"/>
      <c r="R436" s="22"/>
      <c r="S436" s="22"/>
      <c r="T436" s="22"/>
      <c r="V436" s="22"/>
      <c r="W436" s="22"/>
      <c r="X436" s="22"/>
      <c r="Y436" s="22"/>
      <c r="Z436" s="22"/>
      <c r="AA436" s="22"/>
      <c r="AB436" s="22"/>
      <c r="AC436" s="22"/>
      <c r="AD436" s="22"/>
      <c r="AE436" s="22"/>
      <c r="AF436" s="22"/>
      <c r="AG436" s="22"/>
      <c r="AH436" s="22"/>
      <c r="AM436" s="22">
        <f t="shared" si="12"/>
        <v>0</v>
      </c>
    </row>
    <row r="437" spans="1:39" x14ac:dyDescent="0.25">
      <c r="A437" s="20" t="s">
        <v>55</v>
      </c>
      <c r="B437" s="38"/>
      <c r="C437" s="20"/>
      <c r="D437" s="20"/>
      <c r="E437" s="20"/>
      <c r="F437" s="20" t="s">
        <v>1013</v>
      </c>
      <c r="G437" s="39"/>
      <c r="H437" s="40"/>
      <c r="I437" s="22"/>
      <c r="L437" s="22"/>
      <c r="M437" s="22"/>
      <c r="O437" s="22"/>
      <c r="P437" s="22"/>
      <c r="Q437" s="22"/>
      <c r="R437" s="22"/>
      <c r="S437" s="22"/>
      <c r="T437" s="22"/>
      <c r="V437" s="22"/>
      <c r="W437" s="22"/>
      <c r="X437" s="22"/>
      <c r="Y437" s="22"/>
      <c r="Z437" s="22"/>
      <c r="AA437" s="22"/>
      <c r="AB437" s="22"/>
      <c r="AD437" s="22"/>
      <c r="AM437" s="22">
        <f t="shared" si="12"/>
        <v>0</v>
      </c>
    </row>
    <row r="438" spans="1:39" x14ac:dyDescent="0.25">
      <c r="A438" s="20" t="s">
        <v>55</v>
      </c>
      <c r="B438" s="38"/>
      <c r="C438" s="20"/>
      <c r="D438" s="20"/>
      <c r="E438" s="20"/>
      <c r="F438" s="20" t="s">
        <v>1013</v>
      </c>
      <c r="G438" s="39"/>
      <c r="H438" s="40"/>
      <c r="I438" s="22"/>
      <c r="L438" s="22"/>
      <c r="M438" s="22"/>
      <c r="O438" s="22"/>
      <c r="P438" s="22"/>
      <c r="Q438" s="22"/>
      <c r="R438" s="22"/>
      <c r="S438" s="22"/>
      <c r="T438" s="22"/>
      <c r="V438" s="22"/>
      <c r="W438" s="22"/>
      <c r="X438" s="22"/>
      <c r="Y438" s="22"/>
      <c r="Z438" s="22"/>
      <c r="AA438" s="22"/>
      <c r="AB438" s="22"/>
      <c r="AC438" s="22"/>
      <c r="AD438" s="22"/>
      <c r="AE438" s="22"/>
      <c r="AF438" s="22"/>
      <c r="AG438" s="22"/>
      <c r="AH438" s="22"/>
      <c r="AM438" s="22">
        <f t="shared" si="12"/>
        <v>0</v>
      </c>
    </row>
    <row r="439" spans="1:39" x14ac:dyDescent="0.25">
      <c r="A439" s="20" t="s">
        <v>55</v>
      </c>
      <c r="B439" s="38"/>
      <c r="C439" s="20"/>
      <c r="D439" s="20"/>
      <c r="E439" s="20"/>
      <c r="F439" s="20" t="s">
        <v>1013</v>
      </c>
      <c r="G439" s="39"/>
      <c r="H439" s="40"/>
      <c r="I439" s="22"/>
      <c r="L439" s="22"/>
      <c r="M439" s="22"/>
      <c r="O439" s="22"/>
      <c r="P439" s="22"/>
      <c r="Q439" s="22"/>
      <c r="R439" s="22"/>
      <c r="S439" s="22"/>
      <c r="T439" s="22"/>
      <c r="V439" s="22"/>
      <c r="W439" s="22"/>
      <c r="X439" s="22"/>
      <c r="Y439" s="22"/>
      <c r="Z439" s="22"/>
      <c r="AA439" s="22"/>
      <c r="AB439" s="22"/>
      <c r="AC439" s="22"/>
      <c r="AD439" s="22"/>
      <c r="AE439" s="22"/>
      <c r="AF439" s="22"/>
      <c r="AG439" s="22"/>
      <c r="AH439" s="22"/>
      <c r="AM439" s="22">
        <f t="shared" si="12"/>
        <v>0</v>
      </c>
    </row>
    <row r="440" spans="1:39" x14ac:dyDescent="0.25">
      <c r="A440" s="20" t="s">
        <v>55</v>
      </c>
      <c r="B440" s="38"/>
      <c r="C440" s="20"/>
      <c r="D440" s="20"/>
      <c r="E440" s="20"/>
      <c r="F440" s="20" t="s">
        <v>1013</v>
      </c>
      <c r="G440" s="39"/>
      <c r="H440" s="40"/>
      <c r="I440" s="22"/>
      <c r="L440" s="22"/>
      <c r="M440" s="22"/>
      <c r="O440" s="22"/>
      <c r="P440" s="22"/>
      <c r="Q440" s="31"/>
      <c r="R440" s="22"/>
      <c r="S440" s="31"/>
      <c r="T440" s="31"/>
      <c r="V440" s="22"/>
      <c r="W440" s="31"/>
      <c r="X440" s="31"/>
      <c r="Y440" s="31"/>
      <c r="Z440" s="31"/>
      <c r="AA440" s="31"/>
      <c r="AB440" s="22"/>
      <c r="AC440" s="22"/>
      <c r="AD440" s="31"/>
      <c r="AE440" s="31"/>
      <c r="AM440" s="22">
        <f t="shared" si="12"/>
        <v>0</v>
      </c>
    </row>
    <row r="441" spans="1:39" x14ac:dyDescent="0.25">
      <c r="A441" s="20" t="s">
        <v>55</v>
      </c>
      <c r="B441" s="38"/>
      <c r="C441" s="20"/>
      <c r="D441" s="20"/>
      <c r="E441" s="20"/>
      <c r="F441" s="20" t="s">
        <v>1013</v>
      </c>
      <c r="G441" s="39"/>
      <c r="H441" s="40"/>
      <c r="I441" s="22"/>
      <c r="L441" s="22"/>
      <c r="M441" s="22"/>
      <c r="O441" s="22"/>
      <c r="P441" s="22"/>
      <c r="Q441" s="31"/>
      <c r="R441" s="22"/>
      <c r="S441" s="31"/>
      <c r="T441" s="31"/>
      <c r="V441" s="22"/>
      <c r="W441" s="31"/>
      <c r="X441" s="31"/>
      <c r="Y441" s="31"/>
      <c r="Z441" s="31"/>
      <c r="AA441" s="31"/>
      <c r="AB441" s="22"/>
      <c r="AC441" s="22"/>
      <c r="AD441" s="31"/>
      <c r="AE441" s="31"/>
      <c r="AM441" s="22">
        <f t="shared" si="12"/>
        <v>0</v>
      </c>
    </row>
    <row r="442" spans="1:39" x14ac:dyDescent="0.25">
      <c r="A442" s="20" t="s">
        <v>55</v>
      </c>
      <c r="B442" s="38"/>
      <c r="C442" s="20"/>
      <c r="D442" s="20"/>
      <c r="E442" s="20"/>
      <c r="F442" s="20" t="s">
        <v>1013</v>
      </c>
      <c r="G442" s="39"/>
      <c r="H442" s="40"/>
      <c r="I442" s="22"/>
      <c r="L442" s="22"/>
      <c r="M442" s="22"/>
      <c r="O442" s="22"/>
      <c r="P442" s="22"/>
      <c r="Q442" s="31"/>
      <c r="S442" s="31"/>
      <c r="AB442" s="22"/>
      <c r="AD442" s="22"/>
      <c r="AM442" s="22">
        <f t="shared" si="12"/>
        <v>0</v>
      </c>
    </row>
    <row r="443" spans="1:39" x14ac:dyDescent="0.25">
      <c r="A443" s="20" t="s">
        <v>55</v>
      </c>
      <c r="B443" s="38"/>
      <c r="C443" s="20"/>
      <c r="D443" s="20"/>
      <c r="E443" s="20"/>
      <c r="F443" s="20" t="s">
        <v>1013</v>
      </c>
      <c r="G443" s="39"/>
      <c r="H443" s="40"/>
      <c r="I443" s="22"/>
      <c r="L443" s="22"/>
      <c r="M443" s="22"/>
      <c r="O443" s="22"/>
      <c r="P443" s="22"/>
      <c r="Q443" s="22"/>
      <c r="R443" s="22"/>
      <c r="W443" s="22"/>
      <c r="X443" s="22"/>
      <c r="Y443" s="22"/>
      <c r="Z443" s="22"/>
      <c r="AA443" s="22"/>
      <c r="AB443" s="22"/>
      <c r="AC443" s="22"/>
      <c r="AD443" s="22"/>
      <c r="AE443" s="22"/>
      <c r="AF443" s="22"/>
      <c r="AG443" s="22"/>
      <c r="AH443" s="22"/>
      <c r="AM443" s="22">
        <f t="shared" si="12"/>
        <v>0</v>
      </c>
    </row>
    <row r="444" spans="1:39" x14ac:dyDescent="0.25">
      <c r="A444" s="20" t="s">
        <v>55</v>
      </c>
      <c r="B444" s="38"/>
      <c r="C444" s="20"/>
      <c r="D444" s="20"/>
      <c r="E444" s="20"/>
      <c r="F444" s="20" t="s">
        <v>1013</v>
      </c>
      <c r="G444" s="39"/>
      <c r="H444" s="40"/>
      <c r="I444" s="22"/>
      <c r="L444" s="22"/>
      <c r="M444" s="22"/>
      <c r="O444" s="22"/>
      <c r="P444" s="22"/>
      <c r="Q444" s="22"/>
      <c r="R444" s="22"/>
      <c r="W444" s="22"/>
      <c r="X444" s="22"/>
      <c r="Y444" s="22"/>
      <c r="Z444" s="22"/>
      <c r="AA444" s="22"/>
      <c r="AB444" s="22"/>
      <c r="AD444" s="22"/>
      <c r="AE444" s="22"/>
      <c r="AF444" s="22"/>
      <c r="AG444" s="22"/>
      <c r="AH444" s="22"/>
      <c r="AM444" s="22">
        <f t="shared" si="12"/>
        <v>0</v>
      </c>
    </row>
    <row r="445" spans="1:39" x14ac:dyDescent="0.25">
      <c r="A445" s="20" t="s">
        <v>55</v>
      </c>
      <c r="B445" s="38"/>
      <c r="C445" s="20"/>
      <c r="D445" s="20"/>
      <c r="E445" s="20"/>
      <c r="F445" s="20" t="s">
        <v>1013</v>
      </c>
      <c r="G445" s="39"/>
      <c r="H445" s="40"/>
      <c r="I445" s="22"/>
      <c r="L445" s="22"/>
      <c r="M445" s="22"/>
      <c r="O445" s="22"/>
      <c r="P445" s="22"/>
      <c r="Q445" s="22"/>
      <c r="R445" s="22"/>
      <c r="V445" s="22"/>
      <c r="W445" s="22"/>
      <c r="X445" s="22"/>
      <c r="Y445" s="22"/>
      <c r="Z445" s="22"/>
      <c r="AA445" s="22"/>
      <c r="AB445" s="22"/>
      <c r="AD445" s="22"/>
      <c r="AM445" s="22">
        <f t="shared" si="12"/>
        <v>0</v>
      </c>
    </row>
    <row r="446" spans="1:39" x14ac:dyDescent="0.25">
      <c r="A446" s="20" t="s">
        <v>55</v>
      </c>
      <c r="B446" s="38"/>
      <c r="C446" s="20"/>
      <c r="D446" s="44"/>
      <c r="E446" s="44"/>
      <c r="F446" s="20" t="s">
        <v>1013</v>
      </c>
      <c r="G446" s="39"/>
      <c r="H446" s="40"/>
      <c r="I446" s="22"/>
      <c r="L446" s="22"/>
      <c r="M446" s="22"/>
      <c r="O446" s="22"/>
      <c r="P446" s="22"/>
      <c r="Q446" s="22"/>
      <c r="R446" s="22"/>
      <c r="V446" s="22"/>
      <c r="W446" s="22"/>
      <c r="X446" s="22"/>
      <c r="Y446" s="22"/>
      <c r="Z446" s="22"/>
      <c r="AA446" s="22"/>
      <c r="AB446" s="22"/>
      <c r="AD446" s="22"/>
      <c r="AE446" s="22"/>
      <c r="AG446" s="22"/>
      <c r="AH446" s="22"/>
      <c r="AM446" s="22">
        <f t="shared" si="12"/>
        <v>0</v>
      </c>
    </row>
    <row r="447" spans="1:39" x14ac:dyDescent="0.25">
      <c r="A447" s="20" t="s">
        <v>55</v>
      </c>
      <c r="B447" s="38"/>
      <c r="C447" s="20"/>
      <c r="D447" s="20"/>
      <c r="E447" s="20"/>
      <c r="F447" s="20" t="s">
        <v>1013</v>
      </c>
      <c r="G447" s="39"/>
      <c r="H447" s="40"/>
      <c r="I447" s="22"/>
      <c r="L447" s="22"/>
      <c r="M447" s="22"/>
      <c r="O447" s="22"/>
      <c r="P447" s="22"/>
      <c r="Q447" s="22"/>
      <c r="R447" s="22"/>
      <c r="V447" s="22"/>
      <c r="W447" s="22"/>
      <c r="X447" s="22"/>
      <c r="Y447" s="22"/>
      <c r="Z447" s="22"/>
      <c r="AA447" s="22"/>
      <c r="AB447" s="22"/>
      <c r="AC447" s="22"/>
      <c r="AD447" s="22"/>
      <c r="AE447" s="22"/>
      <c r="AF447" s="22"/>
      <c r="AG447" s="22"/>
      <c r="AH447" s="22"/>
      <c r="AM447" s="22">
        <f t="shared" si="12"/>
        <v>0</v>
      </c>
    </row>
    <row r="448" spans="1:39" x14ac:dyDescent="0.25">
      <c r="A448" s="20" t="s">
        <v>55</v>
      </c>
      <c r="B448" s="38"/>
      <c r="C448" s="20"/>
      <c r="D448" s="20"/>
      <c r="E448" s="20"/>
      <c r="F448" s="20" t="s">
        <v>1013</v>
      </c>
      <c r="G448" s="39"/>
      <c r="H448" s="40"/>
      <c r="I448" s="22"/>
      <c r="L448" s="22"/>
      <c r="M448" s="22"/>
      <c r="O448" s="22"/>
      <c r="P448" s="22"/>
      <c r="Q448" s="22"/>
      <c r="R448" s="22"/>
      <c r="V448" s="22"/>
      <c r="W448" s="22"/>
      <c r="X448" s="22"/>
      <c r="Y448" s="22"/>
      <c r="Z448" s="22"/>
      <c r="AA448" s="22"/>
      <c r="AB448" s="22"/>
      <c r="AC448" s="22"/>
      <c r="AD448" s="22"/>
      <c r="AE448" s="22"/>
      <c r="AF448" s="22"/>
      <c r="AG448" s="22"/>
      <c r="AH448" s="22"/>
      <c r="AM448" s="22">
        <f t="shared" si="12"/>
        <v>0</v>
      </c>
    </row>
    <row r="449" spans="1:39 16370:16377" x14ac:dyDescent="0.25">
      <c r="A449" s="20" t="s">
        <v>55</v>
      </c>
      <c r="B449" s="38"/>
      <c r="C449" s="20"/>
      <c r="D449" s="20"/>
      <c r="E449" s="20"/>
      <c r="F449" s="20" t="s">
        <v>1013</v>
      </c>
      <c r="G449" s="39"/>
      <c r="H449" s="40"/>
      <c r="I449" s="22"/>
      <c r="L449" s="22"/>
      <c r="M449" s="22"/>
      <c r="O449" s="22"/>
      <c r="P449" s="22"/>
      <c r="Q449" s="22"/>
      <c r="R449" s="22"/>
      <c r="V449" s="22"/>
      <c r="W449" s="22"/>
      <c r="X449" s="22"/>
      <c r="Y449" s="22"/>
      <c r="Z449" s="22"/>
      <c r="AA449" s="22"/>
      <c r="AB449" s="22"/>
      <c r="AC449" s="22"/>
      <c r="AD449" s="22"/>
      <c r="AE449" s="22"/>
      <c r="AF449" s="22"/>
      <c r="AG449" s="22"/>
      <c r="AH449" s="22"/>
      <c r="AM449" s="22">
        <f t="shared" si="12"/>
        <v>0</v>
      </c>
    </row>
    <row r="450" spans="1:39 16370:16377" x14ac:dyDescent="0.25">
      <c r="A450" s="20" t="s">
        <v>55</v>
      </c>
      <c r="B450" s="38"/>
      <c r="C450" s="20"/>
      <c r="D450" s="20"/>
      <c r="E450" s="20"/>
      <c r="F450" s="20" t="s">
        <v>1013</v>
      </c>
      <c r="G450" s="39"/>
      <c r="H450" s="40"/>
      <c r="I450" s="22"/>
      <c r="L450" s="22"/>
      <c r="M450" s="22"/>
      <c r="O450" s="22"/>
      <c r="P450" s="22"/>
      <c r="Q450" s="22"/>
      <c r="R450" s="22"/>
      <c r="V450" s="22"/>
      <c r="W450" s="22"/>
      <c r="X450" s="22"/>
      <c r="Y450" s="22"/>
      <c r="Z450" s="22"/>
      <c r="AA450" s="22"/>
      <c r="AB450" s="22"/>
      <c r="AD450" s="22"/>
      <c r="AM450" s="22">
        <f t="shared" si="12"/>
        <v>0</v>
      </c>
    </row>
    <row r="451" spans="1:39 16370:16377" x14ac:dyDescent="0.25">
      <c r="A451" s="20" t="s">
        <v>55</v>
      </c>
      <c r="B451" s="38"/>
      <c r="C451" s="20"/>
      <c r="D451" s="20"/>
      <c r="E451" s="20"/>
      <c r="F451" s="20" t="s">
        <v>1013</v>
      </c>
      <c r="G451" s="39"/>
      <c r="H451" s="40"/>
      <c r="I451" s="22"/>
      <c r="L451" s="22"/>
      <c r="M451" s="22"/>
      <c r="O451" s="22"/>
      <c r="P451" s="22"/>
      <c r="Q451" s="22"/>
      <c r="R451" s="22"/>
      <c r="V451" s="22"/>
      <c r="W451" s="31"/>
      <c r="X451" s="31"/>
      <c r="Y451" s="31"/>
      <c r="Z451" s="31"/>
      <c r="AA451" s="31"/>
      <c r="AB451" s="22"/>
      <c r="AC451" s="22"/>
      <c r="AD451" s="31"/>
      <c r="AE451" s="31"/>
      <c r="AF451" s="22"/>
      <c r="AG451" s="31"/>
      <c r="AH451" s="31"/>
      <c r="AK451" s="31"/>
      <c r="AM451" s="22">
        <f t="shared" si="12"/>
        <v>0</v>
      </c>
    </row>
    <row r="452" spans="1:39 16370:16377" x14ac:dyDescent="0.25">
      <c r="A452" s="20" t="s">
        <v>55</v>
      </c>
      <c r="B452" s="38"/>
      <c r="C452" s="20"/>
      <c r="D452" s="20"/>
      <c r="E452" s="20"/>
      <c r="F452" s="20" t="s">
        <v>1013</v>
      </c>
      <c r="G452" s="39"/>
      <c r="H452" s="40"/>
      <c r="I452" s="31"/>
      <c r="M452" s="22"/>
      <c r="O452" s="22"/>
      <c r="T452" s="22"/>
      <c r="U452" s="22"/>
      <c r="V452" s="22"/>
      <c r="W452" s="22"/>
      <c r="X452" s="22"/>
      <c r="Y452" s="22"/>
      <c r="Z452" s="22"/>
      <c r="AA452" s="22"/>
      <c r="AB452" s="22"/>
      <c r="AC452" s="22"/>
      <c r="AD452" s="22"/>
      <c r="AE452" s="22"/>
      <c r="AF452" s="22"/>
      <c r="AG452" s="22"/>
      <c r="AH452" s="22"/>
      <c r="AM452" s="22">
        <f t="shared" si="12"/>
        <v>0</v>
      </c>
      <c r="XEP452" s="20"/>
      <c r="XEQ452" s="38"/>
      <c r="XER452" s="20"/>
      <c r="XES452" s="20"/>
      <c r="XET452" s="20"/>
      <c r="XEU452" s="20"/>
      <c r="XEV452" s="39"/>
      <c r="XEW452" s="40"/>
    </row>
    <row r="453" spans="1:39 16370:16377" x14ac:dyDescent="0.25">
      <c r="A453" s="20" t="s">
        <v>55</v>
      </c>
      <c r="B453" s="38"/>
      <c r="C453" s="20"/>
      <c r="D453" s="20"/>
      <c r="E453" s="20"/>
      <c r="F453" s="20" t="s">
        <v>1013</v>
      </c>
      <c r="G453" s="39"/>
      <c r="H453" s="40"/>
      <c r="I453" s="22"/>
      <c r="L453" s="22"/>
      <c r="M453" s="22"/>
      <c r="O453" s="22"/>
      <c r="P453" s="22"/>
      <c r="Q453" s="22"/>
      <c r="R453" s="22"/>
      <c r="V453" s="22"/>
      <c r="W453" s="31"/>
      <c r="X453" s="22"/>
      <c r="Y453" s="22"/>
      <c r="Z453" s="22"/>
      <c r="AA453" s="22"/>
      <c r="AB453" s="22"/>
      <c r="AC453" s="22"/>
      <c r="AD453" s="22"/>
      <c r="AE453" s="22"/>
      <c r="AF453" s="22"/>
      <c r="AG453" s="22"/>
      <c r="AH453" s="22"/>
      <c r="AM453" s="22">
        <f t="shared" si="12"/>
        <v>0</v>
      </c>
    </row>
    <row r="454" spans="1:39 16370:16377" x14ac:dyDescent="0.25">
      <c r="A454" s="20" t="s">
        <v>55</v>
      </c>
      <c r="B454" s="38"/>
      <c r="C454" s="20"/>
      <c r="D454" s="20"/>
      <c r="E454" s="20"/>
      <c r="F454" s="20" t="s">
        <v>1013</v>
      </c>
      <c r="G454" s="39"/>
      <c r="H454" s="40"/>
      <c r="I454" s="22"/>
      <c r="L454" s="22"/>
      <c r="M454" s="22"/>
      <c r="O454" s="22"/>
      <c r="P454" s="22"/>
      <c r="Q454" s="22"/>
      <c r="R454" s="22"/>
      <c r="V454" s="22"/>
      <c r="W454" s="31"/>
      <c r="X454" s="22"/>
      <c r="Y454" s="22"/>
      <c r="Z454" s="22"/>
      <c r="AA454" s="22"/>
      <c r="AB454" s="22"/>
      <c r="AC454" s="22"/>
      <c r="AD454" s="22"/>
      <c r="AE454" s="22"/>
      <c r="AF454" s="22"/>
      <c r="AG454" s="22"/>
      <c r="AH454" s="22"/>
      <c r="AM454" s="22">
        <f t="shared" si="12"/>
        <v>0</v>
      </c>
    </row>
    <row r="455" spans="1:39 16370:16377" x14ac:dyDescent="0.25">
      <c r="A455" s="20" t="s">
        <v>55</v>
      </c>
      <c r="B455" s="38"/>
      <c r="C455" s="20"/>
      <c r="D455" s="20"/>
      <c r="E455" s="20"/>
      <c r="F455" s="20" t="s">
        <v>1013</v>
      </c>
      <c r="G455" s="39"/>
      <c r="H455" s="40"/>
      <c r="I455" s="22"/>
      <c r="L455" s="22"/>
      <c r="M455" s="22"/>
      <c r="O455" s="22"/>
      <c r="P455" s="22"/>
      <c r="Q455" s="22"/>
      <c r="R455" s="22"/>
      <c r="V455" s="22"/>
      <c r="W455" s="31"/>
      <c r="X455" s="22"/>
      <c r="Y455" s="22"/>
      <c r="Z455" s="22"/>
      <c r="AA455" s="22"/>
      <c r="AB455" s="22"/>
      <c r="AC455" s="22"/>
      <c r="AD455" s="22"/>
      <c r="AE455" s="22"/>
      <c r="AF455" s="22"/>
      <c r="AG455" s="22"/>
      <c r="AH455" s="22"/>
      <c r="AM455" s="22">
        <f t="shared" si="12"/>
        <v>0</v>
      </c>
    </row>
    <row r="456" spans="1:39 16370:16377" x14ac:dyDescent="0.25">
      <c r="A456" s="20" t="s">
        <v>55</v>
      </c>
      <c r="B456" s="38"/>
      <c r="C456" s="20"/>
      <c r="D456" s="20"/>
      <c r="E456" s="20"/>
      <c r="F456" s="20" t="s">
        <v>1013</v>
      </c>
      <c r="G456" s="39"/>
      <c r="H456" s="40"/>
      <c r="I456" s="22"/>
      <c r="L456" s="22"/>
      <c r="M456" s="22"/>
      <c r="O456" s="22"/>
      <c r="P456" s="22"/>
      <c r="Q456" s="22"/>
      <c r="R456" s="22"/>
      <c r="V456" s="22"/>
      <c r="W456" s="31"/>
      <c r="X456" s="22"/>
      <c r="Y456" s="22"/>
      <c r="Z456" s="22"/>
      <c r="AA456" s="22"/>
      <c r="AB456" s="22"/>
      <c r="AC456" s="22"/>
      <c r="AD456" s="22"/>
      <c r="AE456" s="22"/>
      <c r="AF456" s="22"/>
      <c r="AG456" s="22"/>
      <c r="AH456" s="22"/>
      <c r="AM456" s="22">
        <f t="shared" si="12"/>
        <v>0</v>
      </c>
    </row>
    <row r="457" spans="1:39 16370:16377" x14ac:dyDescent="0.25">
      <c r="A457" s="20" t="s">
        <v>55</v>
      </c>
      <c r="B457" s="38"/>
      <c r="C457" s="20"/>
      <c r="D457" s="20"/>
      <c r="E457" s="20"/>
      <c r="F457" s="20" t="s">
        <v>1013</v>
      </c>
      <c r="G457" s="39"/>
      <c r="H457" s="40"/>
      <c r="I457" s="22"/>
      <c r="L457" s="22"/>
      <c r="M457" s="22"/>
      <c r="O457" s="22"/>
      <c r="P457" s="22"/>
      <c r="Q457" s="22"/>
      <c r="R457" s="22"/>
      <c r="V457" s="22"/>
      <c r="W457" s="31"/>
      <c r="X457" s="31"/>
      <c r="AB457" s="22"/>
      <c r="AC457" s="22"/>
      <c r="AD457" s="22"/>
      <c r="AE457" s="22"/>
      <c r="AF457" s="22"/>
      <c r="AG457" s="31"/>
      <c r="AH457" s="22"/>
      <c r="AM457" s="22">
        <f t="shared" si="12"/>
        <v>0</v>
      </c>
    </row>
    <row r="458" spans="1:39 16370:16377" x14ac:dyDescent="0.25">
      <c r="A458" s="20" t="s">
        <v>55</v>
      </c>
      <c r="B458" s="38"/>
      <c r="C458" s="20"/>
      <c r="D458" s="20"/>
      <c r="E458" s="20"/>
      <c r="F458" s="20" t="s">
        <v>1013</v>
      </c>
      <c r="G458" s="39"/>
      <c r="H458" s="40"/>
      <c r="I458" s="22"/>
      <c r="L458" s="22"/>
      <c r="M458" s="22"/>
      <c r="O458" s="22"/>
      <c r="P458" s="22"/>
      <c r="Q458" s="22"/>
      <c r="R458" s="22"/>
      <c r="V458" s="22"/>
      <c r="W458" s="31"/>
      <c r="X458" s="31"/>
      <c r="AB458" s="22"/>
      <c r="AD458" s="22"/>
      <c r="AE458" s="22"/>
      <c r="AF458" s="22"/>
      <c r="AG458" s="22"/>
      <c r="AH458" s="22"/>
      <c r="AM458" s="22">
        <f t="shared" si="12"/>
        <v>0</v>
      </c>
    </row>
    <row r="459" spans="1:39 16370:16377" x14ac:dyDescent="0.25">
      <c r="A459" s="20" t="s">
        <v>55</v>
      </c>
      <c r="B459" s="38"/>
      <c r="C459" s="20"/>
      <c r="D459" s="20"/>
      <c r="E459" s="20"/>
      <c r="F459" s="20" t="s">
        <v>1013</v>
      </c>
      <c r="G459" s="39"/>
      <c r="H459" s="40"/>
      <c r="I459" s="22"/>
      <c r="L459" s="22"/>
      <c r="M459" s="22"/>
      <c r="O459" s="22"/>
      <c r="P459" s="22"/>
      <c r="Q459" s="22"/>
      <c r="R459" s="22"/>
      <c r="V459" s="22"/>
      <c r="W459" s="31"/>
      <c r="X459" s="31"/>
      <c r="AB459" s="22"/>
      <c r="AD459" s="22"/>
      <c r="AE459" s="22"/>
      <c r="AF459" s="22"/>
      <c r="AG459" s="22"/>
      <c r="AH459" s="22"/>
      <c r="AM459" s="22">
        <f t="shared" si="12"/>
        <v>0</v>
      </c>
    </row>
    <row r="460" spans="1:39 16370:16377" x14ac:dyDescent="0.25">
      <c r="A460" s="20" t="s">
        <v>55</v>
      </c>
      <c r="B460" s="38"/>
      <c r="C460" s="20"/>
      <c r="D460" s="20"/>
      <c r="E460" s="20"/>
      <c r="F460" s="20" t="s">
        <v>1013</v>
      </c>
      <c r="G460" s="39"/>
      <c r="H460" s="40"/>
      <c r="I460" s="22"/>
      <c r="L460" s="22"/>
      <c r="M460" s="22"/>
      <c r="O460" s="22"/>
      <c r="P460" s="22"/>
      <c r="Q460" s="22"/>
      <c r="R460" s="22"/>
      <c r="V460" s="22"/>
      <c r="W460" s="31"/>
      <c r="X460" s="31"/>
      <c r="AB460" s="22"/>
      <c r="AD460" s="22"/>
      <c r="AE460" s="22"/>
      <c r="AF460" s="22"/>
      <c r="AH460" s="22"/>
      <c r="AM460" s="22">
        <f t="shared" si="12"/>
        <v>0</v>
      </c>
    </row>
  </sheetData>
  <autoFilter ref="A11:XEW460" xr:uid="{00000000-0001-0000-0100-000000000000}"/>
  <conditionalFormatting sqref="B1:B1048576">
    <cfRule type="duplicateValues" dxfId="511" priority="21"/>
    <cfRule type="duplicateValues" dxfId="510" priority="22"/>
    <cfRule type="duplicateValues" dxfId="509" priority="23"/>
    <cfRule type="duplicateValues" dxfId="508" priority="24"/>
  </conditionalFormatting>
  <conditionalFormatting sqref="C1:C62 C67:C1048576">
    <cfRule type="duplicateValues" dxfId="507" priority="1"/>
  </conditionalFormatting>
  <conditionalFormatting sqref="XDX387">
    <cfRule type="duplicateValues" dxfId="506" priority="14"/>
    <cfRule type="duplicateValues" dxfId="505" priority="15"/>
    <cfRule type="duplicateValues" dxfId="504" priority="16"/>
  </conditionalFormatting>
  <conditionalFormatting sqref="XEK394">
    <cfRule type="duplicateValues" dxfId="503" priority="10"/>
    <cfRule type="duplicateValues" dxfId="502" priority="11"/>
    <cfRule type="duplicateValues" dxfId="501" priority="12"/>
    <cfRule type="duplicateValues" dxfId="500" priority="13"/>
  </conditionalFormatting>
  <conditionalFormatting sqref="XEM387">
    <cfRule type="duplicateValues" dxfId="499" priority="6"/>
    <cfRule type="duplicateValues" dxfId="498" priority="7"/>
    <cfRule type="duplicateValues" dxfId="497" priority="8"/>
    <cfRule type="duplicateValues" dxfId="496" priority="9"/>
  </conditionalFormatting>
  <conditionalFormatting sqref="XEQ452">
    <cfRule type="duplicateValues" dxfId="495" priority="2"/>
    <cfRule type="duplicateValues" dxfId="494" priority="3"/>
    <cfRule type="duplicateValues" dxfId="493" priority="4"/>
    <cfRule type="duplicateValues" dxfId="492" priority="5"/>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EDE8-8919-4A72-9F55-8784BEA27F78}">
  <dimension ref="A1:XFD572"/>
  <sheetViews>
    <sheetView zoomScale="70" zoomScaleNormal="70" workbookViewId="0">
      <selection activeCell="AG74" sqref="AG74"/>
    </sheetView>
  </sheetViews>
  <sheetFormatPr defaultColWidth="9.125" defaultRowHeight="15" x14ac:dyDescent="0.2"/>
  <cols>
    <col min="1" max="1" width="8.75" customWidth="1"/>
    <col min="2" max="2" width="11" customWidth="1"/>
    <col min="3" max="3" width="23.25" style="4" customWidth="1"/>
    <col min="4" max="4" width="20.75" customWidth="1"/>
    <col min="5" max="5" width="15.625" customWidth="1"/>
    <col min="6" max="6" width="12.25" bestFit="1" customWidth="1"/>
    <col min="7" max="7" width="18.75" style="5" customWidth="1"/>
    <col min="8" max="8" width="17.5" style="5" bestFit="1" customWidth="1"/>
    <col min="9" max="9" width="13.75" style="6" hidden="1" customWidth="1"/>
    <col min="10" max="15" width="13.25" style="6" hidden="1" customWidth="1"/>
    <col min="16" max="16" width="13.75" style="6" hidden="1" customWidth="1"/>
    <col min="17" max="18" width="13.25" style="6" hidden="1" customWidth="1"/>
    <col min="19" max="19" width="15.625" style="6" hidden="1" customWidth="1"/>
    <col min="20" max="29" width="13.25" style="6" hidden="1" customWidth="1"/>
    <col min="30" max="31" width="13.25" style="6" customWidth="1"/>
    <col min="32" max="32" width="14.75" style="6" customWidth="1"/>
    <col min="33" max="35" width="13.25" style="6" customWidth="1"/>
    <col min="36" max="36" width="14.25" style="6" customWidth="1"/>
    <col min="37" max="38" width="13.25" style="6" customWidth="1"/>
    <col min="39" max="16384" width="9.125" style="5"/>
  </cols>
  <sheetData>
    <row r="1" spans="1:39" ht="15.75" x14ac:dyDescent="0.2">
      <c r="I1" s="7">
        <v>46266</v>
      </c>
      <c r="J1" s="7">
        <v>46267</v>
      </c>
      <c r="K1" s="7">
        <v>46268</v>
      </c>
      <c r="L1" s="7">
        <v>46269</v>
      </c>
      <c r="M1" s="7">
        <v>46270</v>
      </c>
      <c r="N1" s="7">
        <v>46271</v>
      </c>
      <c r="O1" s="7">
        <v>46272</v>
      </c>
      <c r="P1" s="7">
        <v>46273</v>
      </c>
      <c r="Q1" s="7">
        <v>46274</v>
      </c>
      <c r="R1" s="7">
        <v>46275</v>
      </c>
      <c r="S1" s="7">
        <v>46276</v>
      </c>
      <c r="T1" s="7">
        <v>46277</v>
      </c>
      <c r="U1" s="7">
        <v>46278</v>
      </c>
      <c r="V1" s="7">
        <v>46279</v>
      </c>
      <c r="W1" s="7">
        <v>46280</v>
      </c>
      <c r="X1" s="7">
        <v>46281</v>
      </c>
      <c r="Y1" s="7">
        <v>46282</v>
      </c>
      <c r="Z1" s="7">
        <v>46283</v>
      </c>
      <c r="AA1" s="7">
        <v>46284</v>
      </c>
      <c r="AB1" s="7">
        <v>46285</v>
      </c>
      <c r="AC1" s="7">
        <v>46286</v>
      </c>
      <c r="AD1" s="7">
        <v>46287</v>
      </c>
      <c r="AE1" s="7">
        <v>46288</v>
      </c>
      <c r="AF1" s="7">
        <v>46289</v>
      </c>
      <c r="AG1" s="7">
        <v>46290</v>
      </c>
      <c r="AH1" s="7">
        <v>46291</v>
      </c>
      <c r="AI1" s="7">
        <v>46292</v>
      </c>
      <c r="AJ1" s="7">
        <v>46293</v>
      </c>
      <c r="AK1" s="7">
        <v>46294</v>
      </c>
      <c r="AL1" s="7">
        <v>46295</v>
      </c>
    </row>
    <row r="2" spans="1:39" ht="15.75" hidden="1" x14ac:dyDescent="0.25">
      <c r="C2"/>
      <c r="G2" s="8"/>
      <c r="H2" s="8"/>
      <c r="I2" s="9"/>
      <c r="J2" s="9">
        <f t="shared" ref="J2:AK2" si="0">SUM(J3:J7)</f>
        <v>0</v>
      </c>
      <c r="K2" s="9">
        <f t="shared" si="0"/>
        <v>0</v>
      </c>
      <c r="L2" s="9">
        <f t="shared" si="0"/>
        <v>0</v>
      </c>
      <c r="M2" s="9"/>
      <c r="N2" s="9">
        <f>SUM(N3:N7)</f>
        <v>0</v>
      </c>
      <c r="O2" s="9">
        <f>SUM(O3:O7)</f>
        <v>0</v>
      </c>
      <c r="P2" s="9">
        <f>SUM(P3:P7)</f>
        <v>0</v>
      </c>
      <c r="Q2" s="9">
        <f>SUM(Q3:Q7)</f>
        <v>0</v>
      </c>
      <c r="R2" s="9">
        <f t="shared" si="0"/>
        <v>0</v>
      </c>
      <c r="S2" s="9">
        <f t="shared" si="0"/>
        <v>0</v>
      </c>
      <c r="T2" s="9">
        <f t="shared" si="0"/>
        <v>0</v>
      </c>
      <c r="U2" s="9">
        <f t="shared" si="0"/>
        <v>0</v>
      </c>
      <c r="V2" s="9">
        <f t="shared" si="0"/>
        <v>0</v>
      </c>
      <c r="W2" s="9">
        <f t="shared" si="0"/>
        <v>0</v>
      </c>
      <c r="X2" s="9">
        <f t="shared" si="0"/>
        <v>0</v>
      </c>
      <c r="Y2" s="9">
        <f t="shared" si="0"/>
        <v>0</v>
      </c>
      <c r="Z2" s="9">
        <f t="shared" si="0"/>
        <v>0</v>
      </c>
      <c r="AA2" s="9">
        <f t="shared" si="0"/>
        <v>0</v>
      </c>
      <c r="AB2" s="9">
        <f t="shared" si="0"/>
        <v>0</v>
      </c>
      <c r="AC2" s="9">
        <f t="shared" si="0"/>
        <v>0</v>
      </c>
      <c r="AD2" s="9">
        <f t="shared" si="0"/>
        <v>0</v>
      </c>
      <c r="AE2" s="9">
        <f t="shared" si="0"/>
        <v>0</v>
      </c>
      <c r="AF2" s="9">
        <f t="shared" si="0"/>
        <v>0</v>
      </c>
      <c r="AG2" s="9">
        <f t="shared" si="0"/>
        <v>0</v>
      </c>
      <c r="AH2" s="9">
        <f t="shared" si="0"/>
        <v>0</v>
      </c>
      <c r="AI2" s="9">
        <f t="shared" si="0"/>
        <v>0</v>
      </c>
      <c r="AJ2" s="9">
        <f t="shared" si="0"/>
        <v>0</v>
      </c>
      <c r="AK2" s="9">
        <f t="shared" si="0"/>
        <v>0</v>
      </c>
      <c r="AL2" s="9"/>
    </row>
    <row r="3" spans="1:39" hidden="1" x14ac:dyDescent="0.2">
      <c r="C3"/>
      <c r="I3" s="10">
        <f>COUNTIFS(I$15:I$102,$H3)</f>
        <v>0</v>
      </c>
      <c r="J3" s="10">
        <f>COUNTIFS(J$15:J$102,$H3)</f>
        <v>0</v>
      </c>
      <c r="K3" s="10">
        <f>COUNTIFS(K$15:K$102,$H3)</f>
        <v>0</v>
      </c>
      <c r="L3" s="10">
        <f>COUNTIFS(L$15:L$102,$H3)</f>
        <v>0</v>
      </c>
      <c r="M3" s="10"/>
      <c r="N3" s="10">
        <f t="shared" ref="N3:AK3" si="1">COUNTIFS(N$15:N$102,$H3)</f>
        <v>0</v>
      </c>
      <c r="O3" s="10">
        <f t="shared" si="1"/>
        <v>0</v>
      </c>
      <c r="P3" s="10">
        <f t="shared" si="1"/>
        <v>0</v>
      </c>
      <c r="Q3" s="10">
        <f t="shared" si="1"/>
        <v>0</v>
      </c>
      <c r="R3" s="10">
        <f t="shared" si="1"/>
        <v>0</v>
      </c>
      <c r="S3" s="10">
        <f t="shared" si="1"/>
        <v>0</v>
      </c>
      <c r="T3" s="10">
        <f t="shared" si="1"/>
        <v>0</v>
      </c>
      <c r="U3" s="10">
        <f t="shared" si="1"/>
        <v>0</v>
      </c>
      <c r="V3" s="10">
        <f t="shared" si="1"/>
        <v>0</v>
      </c>
      <c r="W3" s="10">
        <f t="shared" si="1"/>
        <v>0</v>
      </c>
      <c r="X3" s="10">
        <f t="shared" si="1"/>
        <v>0</v>
      </c>
      <c r="Y3" s="10">
        <f t="shared" si="1"/>
        <v>0</v>
      </c>
      <c r="Z3" s="10">
        <f t="shared" si="1"/>
        <v>0</v>
      </c>
      <c r="AA3" s="10">
        <f t="shared" si="1"/>
        <v>0</v>
      </c>
      <c r="AB3" s="10">
        <f t="shared" si="1"/>
        <v>0</v>
      </c>
      <c r="AC3" s="10">
        <f t="shared" si="1"/>
        <v>0</v>
      </c>
      <c r="AD3" s="10">
        <f t="shared" si="1"/>
        <v>0</v>
      </c>
      <c r="AE3" s="10">
        <f t="shared" si="1"/>
        <v>0</v>
      </c>
      <c r="AF3" s="10">
        <f t="shared" si="1"/>
        <v>0</v>
      </c>
      <c r="AG3" s="10">
        <f t="shared" si="1"/>
        <v>0</v>
      </c>
      <c r="AH3" s="10">
        <f t="shared" si="1"/>
        <v>0</v>
      </c>
      <c r="AI3" s="10">
        <f t="shared" si="1"/>
        <v>0</v>
      </c>
      <c r="AJ3" s="10">
        <f t="shared" si="1"/>
        <v>0</v>
      </c>
      <c r="AK3" s="10">
        <f t="shared" si="1"/>
        <v>0</v>
      </c>
      <c r="AL3" s="10"/>
    </row>
    <row r="4" spans="1:39" ht="15.75" hidden="1" x14ac:dyDescent="0.25">
      <c r="C4"/>
      <c r="G4" s="11"/>
      <c r="H4" s="11"/>
      <c r="I4" s="12">
        <f>COUNTIFS(I$15:I$102,$H4)-I5</f>
        <v>0</v>
      </c>
      <c r="J4" s="12">
        <f>COUNTIFS(J$15:J$102,$H4)-J5</f>
        <v>0</v>
      </c>
      <c r="K4" s="12">
        <f>COUNTIFS(K$15:K$102,$H4)-K5</f>
        <v>0</v>
      </c>
      <c r="L4" s="12">
        <f>COUNTIFS(L$15:L$102,$H4)-L5</f>
        <v>0</v>
      </c>
      <c r="M4" s="12"/>
      <c r="N4" s="12">
        <f t="shared" ref="N4:AK4" si="2">COUNTIFS(N$15:N$102,$H4)-N5</f>
        <v>0</v>
      </c>
      <c r="O4" s="12">
        <f t="shared" si="2"/>
        <v>0</v>
      </c>
      <c r="P4" s="12">
        <f t="shared" si="2"/>
        <v>0</v>
      </c>
      <c r="Q4" s="12">
        <f t="shared" si="2"/>
        <v>0</v>
      </c>
      <c r="R4" s="12">
        <f t="shared" si="2"/>
        <v>0</v>
      </c>
      <c r="S4" s="12">
        <f t="shared" si="2"/>
        <v>0</v>
      </c>
      <c r="T4" s="12">
        <f t="shared" si="2"/>
        <v>0</v>
      </c>
      <c r="U4" s="12">
        <f t="shared" si="2"/>
        <v>0</v>
      </c>
      <c r="V4" s="12">
        <f t="shared" si="2"/>
        <v>0</v>
      </c>
      <c r="W4" s="12">
        <f t="shared" si="2"/>
        <v>0</v>
      </c>
      <c r="X4" s="12">
        <f t="shared" si="2"/>
        <v>0</v>
      </c>
      <c r="Y4" s="12">
        <f t="shared" si="2"/>
        <v>0</v>
      </c>
      <c r="Z4" s="12">
        <f t="shared" si="2"/>
        <v>0</v>
      </c>
      <c r="AA4" s="12">
        <f t="shared" si="2"/>
        <v>0</v>
      </c>
      <c r="AB4" s="12">
        <f t="shared" si="2"/>
        <v>0</v>
      </c>
      <c r="AC4" s="12">
        <f t="shared" si="2"/>
        <v>0</v>
      </c>
      <c r="AD4" s="12">
        <f t="shared" si="2"/>
        <v>0</v>
      </c>
      <c r="AE4" s="12">
        <f t="shared" si="2"/>
        <v>0</v>
      </c>
      <c r="AF4" s="12">
        <f t="shared" si="2"/>
        <v>0</v>
      </c>
      <c r="AG4" s="12">
        <f t="shared" si="2"/>
        <v>0</v>
      </c>
      <c r="AH4" s="12">
        <f t="shared" si="2"/>
        <v>0</v>
      </c>
      <c r="AI4" s="12">
        <f t="shared" si="2"/>
        <v>0</v>
      </c>
      <c r="AJ4" s="12">
        <f t="shared" si="2"/>
        <v>0</v>
      </c>
      <c r="AK4" s="12">
        <f t="shared" si="2"/>
        <v>0</v>
      </c>
      <c r="AL4" s="12"/>
    </row>
    <row r="5" spans="1:39" ht="15.75" hidden="1" x14ac:dyDescent="0.25">
      <c r="C5"/>
      <c r="G5" s="11"/>
      <c r="H5" s="1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row>
    <row r="6" spans="1:39" ht="15.75" hidden="1" x14ac:dyDescent="0.25">
      <c r="C6"/>
      <c r="I6" s="10"/>
      <c r="J6" s="10"/>
      <c r="K6" s="10"/>
      <c r="L6" s="10"/>
      <c r="M6" s="13"/>
      <c r="N6" s="10"/>
      <c r="O6" s="10"/>
      <c r="P6" s="10"/>
      <c r="Q6" s="10"/>
      <c r="R6" s="10"/>
      <c r="S6" s="10"/>
      <c r="T6" s="10"/>
      <c r="U6" s="10"/>
      <c r="V6" s="10"/>
      <c r="W6" s="10"/>
      <c r="X6" s="10"/>
      <c r="Y6" s="10"/>
      <c r="Z6" s="10"/>
      <c r="AA6" s="10"/>
      <c r="AB6" s="10"/>
      <c r="AC6" s="10"/>
      <c r="AD6" s="10"/>
      <c r="AE6" s="10"/>
      <c r="AF6" s="10"/>
      <c r="AG6" s="10"/>
      <c r="AH6" s="10"/>
      <c r="AI6" s="10"/>
      <c r="AJ6" s="10"/>
      <c r="AK6" s="10"/>
      <c r="AL6" s="10"/>
    </row>
    <row r="7" spans="1:39" hidden="1" x14ac:dyDescent="0.2">
      <c r="C7"/>
      <c r="G7" s="5" t="s">
        <v>43</v>
      </c>
      <c r="H7" s="5" t="s">
        <v>868</v>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row>
    <row r="8" spans="1:39" ht="15.75" x14ac:dyDescent="0.25">
      <c r="B8" s="59"/>
      <c r="C8" s="80"/>
      <c r="E8" s="1"/>
      <c r="G8" s="8" t="s">
        <v>869</v>
      </c>
      <c r="H8" s="8" t="s">
        <v>870</v>
      </c>
      <c r="I8" s="9">
        <f>I9+I12</f>
        <v>0</v>
      </c>
      <c r="J8" s="9">
        <f>J9+J12</f>
        <v>0</v>
      </c>
      <c r="K8" s="9">
        <f>K9+K12</f>
        <v>0</v>
      </c>
      <c r="L8" s="9">
        <f t="shared" ref="L8:AK8" si="3">L9+L12</f>
        <v>0</v>
      </c>
      <c r="M8" s="9">
        <f t="shared" si="3"/>
        <v>0</v>
      </c>
      <c r="N8" s="9">
        <f t="shared" si="3"/>
        <v>0</v>
      </c>
      <c r="O8" s="9">
        <f t="shared" si="3"/>
        <v>0</v>
      </c>
      <c r="P8" s="9">
        <f t="shared" si="3"/>
        <v>0</v>
      </c>
      <c r="Q8" s="9">
        <f t="shared" si="3"/>
        <v>0</v>
      </c>
      <c r="R8" s="9">
        <f t="shared" si="3"/>
        <v>0</v>
      </c>
      <c r="S8" s="9">
        <f t="shared" si="3"/>
        <v>0</v>
      </c>
      <c r="T8" s="9">
        <f>T9+T12</f>
        <v>0</v>
      </c>
      <c r="U8" s="9">
        <f t="shared" si="3"/>
        <v>0</v>
      </c>
      <c r="V8" s="9">
        <f t="shared" si="3"/>
        <v>0</v>
      </c>
      <c r="W8" s="9">
        <f t="shared" si="3"/>
        <v>0</v>
      </c>
      <c r="X8" s="9">
        <f>X9+X12</f>
        <v>0</v>
      </c>
      <c r="Y8" s="9">
        <f t="shared" si="3"/>
        <v>0</v>
      </c>
      <c r="Z8" s="9">
        <f t="shared" si="3"/>
        <v>0</v>
      </c>
      <c r="AA8" s="9">
        <f t="shared" si="3"/>
        <v>0</v>
      </c>
      <c r="AB8" s="9">
        <f t="shared" si="3"/>
        <v>0</v>
      </c>
      <c r="AC8" s="9">
        <f t="shared" si="3"/>
        <v>0</v>
      </c>
      <c r="AD8" s="9">
        <f t="shared" si="3"/>
        <v>10</v>
      </c>
      <c r="AE8" s="9">
        <f t="shared" si="3"/>
        <v>23</v>
      </c>
      <c r="AF8" s="9">
        <f t="shared" si="3"/>
        <v>10</v>
      </c>
      <c r="AG8" s="9">
        <f t="shared" si="3"/>
        <v>0</v>
      </c>
      <c r="AH8" s="9">
        <f t="shared" si="3"/>
        <v>10</v>
      </c>
      <c r="AI8" s="9">
        <f t="shared" si="3"/>
        <v>4</v>
      </c>
      <c r="AJ8" s="9">
        <f t="shared" si="3"/>
        <v>30</v>
      </c>
      <c r="AK8" s="9">
        <f t="shared" si="3"/>
        <v>24</v>
      </c>
      <c r="AL8" s="9"/>
    </row>
    <row r="9" spans="1:39" x14ac:dyDescent="0.2">
      <c r="C9" s="80"/>
      <c r="E9" s="1"/>
      <c r="G9" s="5" t="s">
        <v>871</v>
      </c>
      <c r="H9" s="5" t="s">
        <v>872</v>
      </c>
      <c r="I9" s="10">
        <f>SUM(I10:I11)-I12</f>
        <v>0</v>
      </c>
      <c r="J9" s="10">
        <f t="shared" ref="J9:AL9" si="4">SUM(J10:J11)-J12</f>
        <v>0</v>
      </c>
      <c r="K9" s="10">
        <f t="shared" si="4"/>
        <v>0</v>
      </c>
      <c r="L9" s="10">
        <f t="shared" si="4"/>
        <v>0</v>
      </c>
      <c r="M9" s="10">
        <f t="shared" si="4"/>
        <v>0</v>
      </c>
      <c r="N9" s="10">
        <f t="shared" si="4"/>
        <v>0</v>
      </c>
      <c r="O9" s="10">
        <f t="shared" si="4"/>
        <v>0</v>
      </c>
      <c r="P9" s="10">
        <f t="shared" si="4"/>
        <v>0</v>
      </c>
      <c r="Q9" s="10">
        <f>SUM(Q10:Q11)-Q12</f>
        <v>0</v>
      </c>
      <c r="R9" s="10">
        <f t="shared" si="4"/>
        <v>0</v>
      </c>
      <c r="S9" s="10">
        <f t="shared" si="4"/>
        <v>0</v>
      </c>
      <c r="T9" s="10">
        <f t="shared" si="4"/>
        <v>0</v>
      </c>
      <c r="U9" s="10">
        <f t="shared" si="4"/>
        <v>0</v>
      </c>
      <c r="V9" s="10">
        <f t="shared" si="4"/>
        <v>0</v>
      </c>
      <c r="W9" s="10">
        <f t="shared" si="4"/>
        <v>0</v>
      </c>
      <c r="X9" s="10">
        <f>SUM(X10:X11)-X12</f>
        <v>0</v>
      </c>
      <c r="Y9" s="10">
        <f>SUM(Y10:Y11)-Y12</f>
        <v>0</v>
      </c>
      <c r="Z9" s="10">
        <f t="shared" si="4"/>
        <v>0</v>
      </c>
      <c r="AA9" s="10">
        <f>SUM(AA10:AA11)-AA12</f>
        <v>0</v>
      </c>
      <c r="AB9" s="10">
        <f t="shared" si="4"/>
        <v>0</v>
      </c>
      <c r="AC9" s="10">
        <f>SUM(AC10:AC11)-AC12</f>
        <v>0</v>
      </c>
      <c r="AD9" s="10">
        <f>SUM(AD10:AD11)-AD12</f>
        <v>10</v>
      </c>
      <c r="AE9" s="10">
        <f t="shared" si="4"/>
        <v>23</v>
      </c>
      <c r="AF9" s="10">
        <f>SUM(AF10:AF11)-AF12</f>
        <v>10</v>
      </c>
      <c r="AG9" s="10">
        <f>SUM(AG10:AG11)-AG12</f>
        <v>0</v>
      </c>
      <c r="AH9" s="10">
        <f t="shared" si="4"/>
        <v>10</v>
      </c>
      <c r="AI9" s="10">
        <f t="shared" si="4"/>
        <v>4</v>
      </c>
      <c r="AJ9" s="10">
        <f t="shared" si="4"/>
        <v>30</v>
      </c>
      <c r="AK9" s="10">
        <f t="shared" si="4"/>
        <v>24</v>
      </c>
      <c r="AL9" s="10">
        <f t="shared" si="4"/>
        <v>21</v>
      </c>
    </row>
    <row r="10" spans="1:39" x14ac:dyDescent="0.2">
      <c r="C10" s="1"/>
      <c r="E10" s="1">
        <v>45</v>
      </c>
      <c r="F10" s="1">
        <f>SUM(I10:AL10)</f>
        <v>67</v>
      </c>
      <c r="G10" s="5" t="s">
        <v>873</v>
      </c>
      <c r="H10" s="52" t="s">
        <v>1058</v>
      </c>
      <c r="I10" s="10">
        <f>COUNTIFS($I15:I$456,$H$10)</f>
        <v>0</v>
      </c>
      <c r="J10" s="10">
        <f>COUNTIFS(J16:J456,$H$10)</f>
        <v>0</v>
      </c>
      <c r="K10" s="10">
        <f>COUNTIFS(K16:K281,$H$10)</f>
        <v>0</v>
      </c>
      <c r="L10" s="10">
        <f>COUNTIFS(L16:L480,$H$10)</f>
        <v>0</v>
      </c>
      <c r="M10" s="10">
        <f>COUNTIFS(M16:M480,$H$10)</f>
        <v>0</v>
      </c>
      <c r="N10" s="10">
        <f>COUNTIFS(N16:N480,$H$10)</f>
        <v>0</v>
      </c>
      <c r="O10" s="10">
        <f>COUNTIFS(O16:O480,$H$10)</f>
        <v>0</v>
      </c>
      <c r="P10" s="10">
        <f>COUNTIFS(P16:P480,$H$10)</f>
        <v>0</v>
      </c>
      <c r="Q10" s="10">
        <f>COUNTIFS(Q16:Q553,$H$10)</f>
        <v>0</v>
      </c>
      <c r="R10" s="10">
        <f t="shared" ref="R10:AL10" si="5">COUNTIFS(R16:R480,$H$10)</f>
        <v>0</v>
      </c>
      <c r="S10" s="10">
        <f t="shared" si="5"/>
        <v>0</v>
      </c>
      <c r="T10" s="10">
        <f t="shared" si="5"/>
        <v>0</v>
      </c>
      <c r="U10" s="10">
        <f t="shared" si="5"/>
        <v>0</v>
      </c>
      <c r="V10" s="10">
        <f t="shared" si="5"/>
        <v>0</v>
      </c>
      <c r="W10" s="10">
        <f t="shared" si="5"/>
        <v>0</v>
      </c>
      <c r="X10" s="10">
        <f t="shared" si="5"/>
        <v>0</v>
      </c>
      <c r="Y10" s="10">
        <f t="shared" si="5"/>
        <v>0</v>
      </c>
      <c r="Z10" s="10">
        <f t="shared" si="5"/>
        <v>0</v>
      </c>
      <c r="AA10" s="10">
        <f t="shared" si="5"/>
        <v>0</v>
      </c>
      <c r="AB10" s="10">
        <f t="shared" si="5"/>
        <v>0</v>
      </c>
      <c r="AC10" s="10">
        <f t="shared" si="5"/>
        <v>0</v>
      </c>
      <c r="AD10" s="10">
        <f t="shared" si="5"/>
        <v>10</v>
      </c>
      <c r="AE10" s="10">
        <f t="shared" si="5"/>
        <v>10</v>
      </c>
      <c r="AF10" s="10">
        <f t="shared" si="5"/>
        <v>10</v>
      </c>
      <c r="AG10" s="10">
        <f t="shared" si="5"/>
        <v>0</v>
      </c>
      <c r="AH10" s="10">
        <f t="shared" si="5"/>
        <v>10</v>
      </c>
      <c r="AI10" s="10">
        <f t="shared" si="5"/>
        <v>4</v>
      </c>
      <c r="AJ10" s="10">
        <f t="shared" si="5"/>
        <v>10</v>
      </c>
      <c r="AK10" s="10">
        <f t="shared" si="5"/>
        <v>8</v>
      </c>
      <c r="AL10" s="10">
        <f t="shared" si="5"/>
        <v>5</v>
      </c>
    </row>
    <row r="11" spans="1:39" x14ac:dyDescent="0.2">
      <c r="C11"/>
      <c r="E11" s="1"/>
      <c r="F11" s="1">
        <f>SUM(I11:AL11)</f>
        <v>65</v>
      </c>
      <c r="G11" s="5" t="s">
        <v>873</v>
      </c>
      <c r="H11" s="52" t="s">
        <v>875</v>
      </c>
      <c r="I11" s="10">
        <f>COUNTIFS(I16:I456,$H$11)</f>
        <v>0</v>
      </c>
      <c r="J11" s="10">
        <f>COUNTIFS(J16:J281,$H$11)</f>
        <v>0</v>
      </c>
      <c r="K11" s="10">
        <f>COUNTIFS(K16:K281,$H$11)</f>
        <v>0</v>
      </c>
      <c r="L11" s="10">
        <f>COUNTIFS(L16:L480,$H$11)</f>
        <v>0</v>
      </c>
      <c r="M11" s="10">
        <f>COUNTIFS(M16:M480,$H$11)</f>
        <v>0</v>
      </c>
      <c r="N11" s="10">
        <f>COUNTIFS(N16:N480,$H$11)</f>
        <v>0</v>
      </c>
      <c r="O11" s="10">
        <f>COUNTIFS(O16:O480,$H$11)</f>
        <v>0</v>
      </c>
      <c r="P11" s="10">
        <f>COUNTIFS(P16:P480,$H$11)</f>
        <v>0</v>
      </c>
      <c r="Q11" s="10">
        <f>COUNTIFS(Q16:Q553,$H$11)</f>
        <v>0</v>
      </c>
      <c r="R11" s="10">
        <f t="shared" ref="R11:AL11" si="6">COUNTIFS(R16:R480,$H$11)</f>
        <v>0</v>
      </c>
      <c r="S11" s="10">
        <f t="shared" si="6"/>
        <v>0</v>
      </c>
      <c r="T11" s="10">
        <f t="shared" si="6"/>
        <v>0</v>
      </c>
      <c r="U11" s="10">
        <f t="shared" si="6"/>
        <v>0</v>
      </c>
      <c r="V11" s="10">
        <f t="shared" si="6"/>
        <v>0</v>
      </c>
      <c r="W11" s="10">
        <f t="shared" si="6"/>
        <v>0</v>
      </c>
      <c r="X11" s="10">
        <f t="shared" si="6"/>
        <v>0</v>
      </c>
      <c r="Y11" s="10">
        <f t="shared" si="6"/>
        <v>0</v>
      </c>
      <c r="Z11" s="10">
        <f t="shared" si="6"/>
        <v>0</v>
      </c>
      <c r="AA11" s="10">
        <f t="shared" si="6"/>
        <v>0</v>
      </c>
      <c r="AB11" s="10">
        <f t="shared" si="6"/>
        <v>0</v>
      </c>
      <c r="AC11" s="10">
        <f t="shared" si="6"/>
        <v>0</v>
      </c>
      <c r="AD11" s="10">
        <f t="shared" si="6"/>
        <v>0</v>
      </c>
      <c r="AE11" s="10">
        <f t="shared" si="6"/>
        <v>13</v>
      </c>
      <c r="AF11" s="10">
        <f t="shared" si="6"/>
        <v>0</v>
      </c>
      <c r="AG11" s="10">
        <f t="shared" si="6"/>
        <v>0</v>
      </c>
      <c r="AH11" s="10">
        <f t="shared" si="6"/>
        <v>0</v>
      </c>
      <c r="AI11" s="10">
        <f t="shared" si="6"/>
        <v>0</v>
      </c>
      <c r="AJ11" s="10">
        <f t="shared" si="6"/>
        <v>20</v>
      </c>
      <c r="AK11" s="10">
        <f t="shared" si="6"/>
        <v>16</v>
      </c>
      <c r="AL11" s="10">
        <f t="shared" si="6"/>
        <v>16</v>
      </c>
    </row>
    <row r="12" spans="1:39" x14ac:dyDescent="0.2">
      <c r="C12"/>
      <c r="G12" s="5" t="s">
        <v>876</v>
      </c>
      <c r="H12" s="5" t="s">
        <v>877</v>
      </c>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row>
    <row r="13" spans="1:39" ht="15.75" x14ac:dyDescent="0.25">
      <c r="C13"/>
      <c r="F13" s="1">
        <f>SUM(I13:AL13)</f>
        <v>132</v>
      </c>
      <c r="G13" s="8" t="s">
        <v>878</v>
      </c>
      <c r="H13" s="8" t="s">
        <v>878</v>
      </c>
      <c r="I13" s="9">
        <f>I9+I12</f>
        <v>0</v>
      </c>
      <c r="J13" s="9">
        <f t="shared" ref="J13:AL13" si="7">J9+J12</f>
        <v>0</v>
      </c>
      <c r="K13" s="9">
        <f t="shared" si="7"/>
        <v>0</v>
      </c>
      <c r="L13" s="9">
        <f t="shared" si="7"/>
        <v>0</v>
      </c>
      <c r="M13" s="9">
        <f t="shared" si="7"/>
        <v>0</v>
      </c>
      <c r="N13" s="9">
        <f t="shared" si="7"/>
        <v>0</v>
      </c>
      <c r="O13" s="9">
        <f t="shared" si="7"/>
        <v>0</v>
      </c>
      <c r="P13" s="9">
        <f t="shared" si="7"/>
        <v>0</v>
      </c>
      <c r="Q13" s="9">
        <f t="shared" si="7"/>
        <v>0</v>
      </c>
      <c r="R13" s="9">
        <f t="shared" si="7"/>
        <v>0</v>
      </c>
      <c r="S13" s="9">
        <f t="shared" si="7"/>
        <v>0</v>
      </c>
      <c r="T13" s="9">
        <f t="shared" si="7"/>
        <v>0</v>
      </c>
      <c r="U13" s="9">
        <f t="shared" si="7"/>
        <v>0</v>
      </c>
      <c r="V13" s="9">
        <f t="shared" si="7"/>
        <v>0</v>
      </c>
      <c r="W13" s="9">
        <f t="shared" si="7"/>
        <v>0</v>
      </c>
      <c r="X13" s="9">
        <f t="shared" si="7"/>
        <v>0</v>
      </c>
      <c r="Y13" s="9">
        <f t="shared" si="7"/>
        <v>0</v>
      </c>
      <c r="Z13" s="9">
        <f t="shared" si="7"/>
        <v>0</v>
      </c>
      <c r="AA13" s="9">
        <f t="shared" si="7"/>
        <v>0</v>
      </c>
      <c r="AB13" s="9">
        <f t="shared" si="7"/>
        <v>0</v>
      </c>
      <c r="AC13" s="9">
        <f t="shared" si="7"/>
        <v>0</v>
      </c>
      <c r="AD13" s="9">
        <f t="shared" si="7"/>
        <v>10</v>
      </c>
      <c r="AE13" s="9">
        <f t="shared" si="7"/>
        <v>23</v>
      </c>
      <c r="AF13" s="9">
        <f t="shared" si="7"/>
        <v>10</v>
      </c>
      <c r="AG13" s="9">
        <f t="shared" si="7"/>
        <v>0</v>
      </c>
      <c r="AH13" s="9">
        <f t="shared" si="7"/>
        <v>10</v>
      </c>
      <c r="AI13" s="9">
        <f t="shared" si="7"/>
        <v>4</v>
      </c>
      <c r="AJ13" s="9">
        <f t="shared" si="7"/>
        <v>30</v>
      </c>
      <c r="AK13" s="9">
        <f t="shared" si="7"/>
        <v>24</v>
      </c>
      <c r="AL13" s="9">
        <f t="shared" si="7"/>
        <v>21</v>
      </c>
      <c r="AM13" s="2">
        <f>SUM(I13:AL13)</f>
        <v>132</v>
      </c>
    </row>
    <row r="15" spans="1:39" s="3" customFormat="1" ht="15.75" x14ac:dyDescent="0.2">
      <c r="A15" s="14" t="s">
        <v>47</v>
      </c>
      <c r="B15" s="14" t="s">
        <v>48</v>
      </c>
      <c r="C15" s="15" t="s">
        <v>49</v>
      </c>
      <c r="D15" s="14" t="s">
        <v>50</v>
      </c>
      <c r="E15" s="14" t="s">
        <v>51</v>
      </c>
      <c r="F15" s="14" t="s">
        <v>52</v>
      </c>
      <c r="G15" s="16"/>
      <c r="H15" s="17"/>
      <c r="I15" s="18">
        <v>34</v>
      </c>
      <c r="J15" s="18">
        <v>35</v>
      </c>
      <c r="K15" s="18">
        <v>36</v>
      </c>
      <c r="L15" s="18">
        <v>37</v>
      </c>
      <c r="M15" s="18"/>
      <c r="N15" s="18">
        <v>40</v>
      </c>
      <c r="O15" s="18">
        <v>41</v>
      </c>
      <c r="P15" s="18">
        <v>42</v>
      </c>
      <c r="Q15" s="18">
        <v>43</v>
      </c>
      <c r="R15" s="18">
        <v>43</v>
      </c>
      <c r="S15" s="18">
        <v>44</v>
      </c>
      <c r="T15" s="18">
        <v>45</v>
      </c>
      <c r="U15" s="18">
        <v>46</v>
      </c>
      <c r="V15" s="18">
        <v>47</v>
      </c>
      <c r="W15" s="18">
        <v>48</v>
      </c>
      <c r="X15" s="18">
        <v>49</v>
      </c>
      <c r="Y15" s="18">
        <v>50</v>
      </c>
      <c r="Z15" s="18">
        <v>51</v>
      </c>
      <c r="AA15" s="18">
        <v>52</v>
      </c>
      <c r="AB15" s="18">
        <v>53</v>
      </c>
      <c r="AC15" s="18">
        <v>54</v>
      </c>
      <c r="AD15" s="18">
        <v>55</v>
      </c>
      <c r="AE15" s="18">
        <v>56</v>
      </c>
      <c r="AF15" s="18">
        <v>57</v>
      </c>
      <c r="AG15" s="18">
        <v>58</v>
      </c>
      <c r="AH15" s="18">
        <v>59</v>
      </c>
      <c r="AI15" s="18">
        <v>60</v>
      </c>
      <c r="AJ15" s="18">
        <v>61</v>
      </c>
      <c r="AK15" s="18">
        <v>62</v>
      </c>
      <c r="AL15" s="18"/>
      <c r="AM15" s="3" t="s">
        <v>54</v>
      </c>
    </row>
    <row r="16" spans="1:39" ht="15.75" x14ac:dyDescent="0.25">
      <c r="A16" s="19" t="s">
        <v>55</v>
      </c>
      <c r="B16" s="38">
        <v>26000</v>
      </c>
      <c r="C16" s="20" t="s">
        <v>1014</v>
      </c>
      <c r="D16" s="20" t="s">
        <v>1044</v>
      </c>
      <c r="E16" s="20"/>
      <c r="F16" s="20" t="s">
        <v>1013</v>
      </c>
      <c r="G16" s="21"/>
      <c r="H16" s="21"/>
      <c r="I16" s="5"/>
      <c r="J16" s="5"/>
      <c r="K16" s="5"/>
      <c r="L16" s="52"/>
      <c r="M16" s="5"/>
      <c r="O16" s="5"/>
      <c r="P16" s="54"/>
      <c r="Q16" s="5"/>
      <c r="R16" s="5"/>
      <c r="S16" s="5"/>
      <c r="T16" s="5"/>
      <c r="U16" s="5"/>
      <c r="V16" s="5"/>
      <c r="W16" s="5"/>
      <c r="X16" s="5"/>
      <c r="Y16" s="5"/>
      <c r="AA16" s="5"/>
      <c r="AD16" s="5"/>
      <c r="AE16" s="53" t="s">
        <v>914</v>
      </c>
      <c r="AH16" s="5"/>
      <c r="AJ16" s="53" t="s">
        <v>914</v>
      </c>
      <c r="AK16" s="53" t="s">
        <v>914</v>
      </c>
      <c r="AL16" s="52" t="s">
        <v>875</v>
      </c>
      <c r="AM16" s="22">
        <f>COUNTA(I16:AL16)</f>
        <v>4</v>
      </c>
    </row>
    <row r="17" spans="1:39" ht="15.75" x14ac:dyDescent="0.25">
      <c r="A17" s="19" t="s">
        <v>55</v>
      </c>
      <c r="B17" s="38">
        <v>26001</v>
      </c>
      <c r="C17" s="20" t="s">
        <v>1015</v>
      </c>
      <c r="D17" s="20" t="s">
        <v>1044</v>
      </c>
      <c r="E17" s="20"/>
      <c r="F17" s="20" t="s">
        <v>1013</v>
      </c>
      <c r="G17" s="21"/>
      <c r="H17" s="21"/>
      <c r="I17" s="5"/>
      <c r="J17" s="5"/>
      <c r="K17" s="5"/>
      <c r="L17" s="5"/>
      <c r="M17" s="5"/>
      <c r="O17" s="5"/>
      <c r="P17" s="54"/>
      <c r="Q17" s="5"/>
      <c r="R17" s="5"/>
      <c r="S17" s="5"/>
      <c r="T17" s="5"/>
      <c r="U17" s="5"/>
      <c r="V17" s="5"/>
      <c r="W17" s="5"/>
      <c r="X17" s="5"/>
      <c r="Y17" s="5"/>
      <c r="AH17" s="52"/>
      <c r="AJ17" s="53" t="s">
        <v>914</v>
      </c>
      <c r="AK17" s="53" t="s">
        <v>914</v>
      </c>
      <c r="AL17" s="52" t="s">
        <v>875</v>
      </c>
      <c r="AM17" s="22">
        <f t="shared" ref="AM17:AM81" si="8">COUNTA(I17:AL17)</f>
        <v>3</v>
      </c>
    </row>
    <row r="18" spans="1:39" ht="15.75" x14ac:dyDescent="0.25">
      <c r="A18" s="19" t="s">
        <v>55</v>
      </c>
      <c r="B18" s="38">
        <v>26004</v>
      </c>
      <c r="C18" s="20" t="s">
        <v>1016</v>
      </c>
      <c r="D18" s="20" t="s">
        <v>1044</v>
      </c>
      <c r="E18" s="20"/>
      <c r="F18" s="20" t="s">
        <v>1013</v>
      </c>
      <c r="G18" s="21"/>
      <c r="H18" s="21"/>
      <c r="I18" s="5"/>
      <c r="J18" s="5"/>
      <c r="K18" s="5"/>
      <c r="L18" s="5"/>
      <c r="M18" s="5"/>
      <c r="O18" s="5"/>
      <c r="P18" s="54"/>
      <c r="Q18" s="5"/>
      <c r="R18" s="5"/>
      <c r="S18" s="5"/>
      <c r="T18" s="5"/>
      <c r="U18" s="5"/>
      <c r="V18" s="5"/>
      <c r="W18" s="5"/>
      <c r="X18" s="5"/>
      <c r="Y18" s="5"/>
      <c r="AE18" s="53" t="s">
        <v>914</v>
      </c>
      <c r="AH18" s="52"/>
      <c r="AK18" s="53" t="s">
        <v>914</v>
      </c>
      <c r="AL18" s="52" t="s">
        <v>875</v>
      </c>
      <c r="AM18" s="22">
        <f t="shared" si="8"/>
        <v>3</v>
      </c>
    </row>
    <row r="19" spans="1:39" ht="15.75" x14ac:dyDescent="0.25">
      <c r="A19" s="19" t="s">
        <v>55</v>
      </c>
      <c r="B19" s="38">
        <v>26005</v>
      </c>
      <c r="C19" s="20" t="s">
        <v>1017</v>
      </c>
      <c r="D19" s="20" t="s">
        <v>1044</v>
      </c>
      <c r="E19" s="20"/>
      <c r="F19" s="20" t="s">
        <v>1013</v>
      </c>
      <c r="G19" s="21"/>
      <c r="H19" s="21"/>
      <c r="I19" s="5"/>
      <c r="J19" s="5"/>
      <c r="K19" s="5"/>
      <c r="L19" s="5"/>
      <c r="M19" s="5"/>
      <c r="O19" s="5"/>
      <c r="P19" s="54"/>
      <c r="Q19" s="5"/>
      <c r="R19" s="5"/>
      <c r="S19" s="5"/>
      <c r="T19" s="5"/>
      <c r="U19" s="5"/>
      <c r="V19" s="5"/>
      <c r="W19" s="5"/>
      <c r="X19" s="5"/>
      <c r="Y19" s="5"/>
      <c r="AE19" s="53" t="s">
        <v>914</v>
      </c>
      <c r="AH19" s="52"/>
      <c r="AJ19" s="53" t="s">
        <v>914</v>
      </c>
      <c r="AK19" s="53" t="s">
        <v>914</v>
      </c>
      <c r="AL19" s="52" t="s">
        <v>875</v>
      </c>
      <c r="AM19" s="22">
        <f t="shared" si="8"/>
        <v>4</v>
      </c>
    </row>
    <row r="20" spans="1:39" ht="15.75" x14ac:dyDescent="0.25">
      <c r="A20" s="19" t="s">
        <v>55</v>
      </c>
      <c r="B20" s="38">
        <v>26006</v>
      </c>
      <c r="C20" s="20" t="s">
        <v>1018</v>
      </c>
      <c r="D20" s="20" t="s">
        <v>1044</v>
      </c>
      <c r="E20" s="20"/>
      <c r="F20" s="20" t="s">
        <v>1013</v>
      </c>
      <c r="G20" s="21"/>
      <c r="H20" s="21"/>
      <c r="I20" s="5"/>
      <c r="J20" s="5"/>
      <c r="K20" s="5"/>
      <c r="L20" s="52"/>
      <c r="M20" s="5"/>
      <c r="O20" s="5"/>
      <c r="P20" s="54"/>
      <c r="Q20" s="5"/>
      <c r="R20" s="5"/>
      <c r="S20" s="5"/>
      <c r="T20" s="5"/>
      <c r="U20" s="5"/>
      <c r="V20" s="5"/>
      <c r="W20" s="5"/>
      <c r="X20" s="5"/>
      <c r="Y20" s="5"/>
      <c r="AA20" s="5"/>
      <c r="AD20" s="5"/>
      <c r="AE20" s="53" t="s">
        <v>914</v>
      </c>
      <c r="AG20" s="5"/>
      <c r="AH20" s="52"/>
      <c r="AJ20" s="53" t="s">
        <v>914</v>
      </c>
      <c r="AK20" s="53" t="s">
        <v>914</v>
      </c>
      <c r="AL20" s="52" t="s">
        <v>875</v>
      </c>
      <c r="AM20" s="22">
        <f t="shared" si="8"/>
        <v>4</v>
      </c>
    </row>
    <row r="21" spans="1:39" ht="15.75" x14ac:dyDescent="0.25">
      <c r="A21" s="19" t="s">
        <v>55</v>
      </c>
      <c r="B21" s="38">
        <v>26007</v>
      </c>
      <c r="C21" s="20" t="s">
        <v>1019</v>
      </c>
      <c r="D21" s="20" t="s">
        <v>1044</v>
      </c>
      <c r="E21" s="20"/>
      <c r="F21" s="20" t="s">
        <v>1013</v>
      </c>
      <c r="G21" s="21"/>
      <c r="H21" s="21"/>
      <c r="I21" s="5"/>
      <c r="J21" s="5"/>
      <c r="K21" s="5"/>
      <c r="L21" s="52"/>
      <c r="M21" s="5"/>
      <c r="O21" s="5"/>
      <c r="P21" s="54"/>
      <c r="Q21" s="5"/>
      <c r="R21" s="5"/>
      <c r="S21" s="5"/>
      <c r="T21" s="5"/>
      <c r="U21" s="5"/>
      <c r="V21" s="5"/>
      <c r="W21" s="5"/>
      <c r="X21" s="5"/>
      <c r="Y21" s="5"/>
      <c r="AA21" s="5"/>
      <c r="AD21" s="5"/>
      <c r="AE21" s="53" t="s">
        <v>914</v>
      </c>
      <c r="AG21" s="5"/>
      <c r="AH21" s="5"/>
      <c r="AJ21" s="53" t="s">
        <v>914</v>
      </c>
      <c r="AK21" s="53" t="s">
        <v>914</v>
      </c>
      <c r="AL21" s="52" t="s">
        <v>875</v>
      </c>
      <c r="AM21" s="22">
        <f t="shared" si="8"/>
        <v>4</v>
      </c>
    </row>
    <row r="22" spans="1:39" ht="15.75" x14ac:dyDescent="0.25">
      <c r="A22" s="19" t="s">
        <v>55</v>
      </c>
      <c r="B22" s="38">
        <v>26009</v>
      </c>
      <c r="C22" s="20" t="s">
        <v>1020</v>
      </c>
      <c r="D22" s="20" t="s">
        <v>1044</v>
      </c>
      <c r="E22" s="20"/>
      <c r="F22" s="20" t="s">
        <v>1013</v>
      </c>
      <c r="G22" s="21"/>
      <c r="H22" s="21"/>
      <c r="I22" s="5"/>
      <c r="J22" s="5"/>
      <c r="K22" s="5"/>
      <c r="L22" s="52"/>
      <c r="M22" s="5"/>
      <c r="O22" s="5"/>
      <c r="P22" s="54"/>
      <c r="Q22" s="5"/>
      <c r="R22" s="5"/>
      <c r="S22" s="5"/>
      <c r="T22" s="5"/>
      <c r="U22" s="5"/>
      <c r="V22" s="5"/>
      <c r="W22" s="5"/>
      <c r="X22" s="5"/>
      <c r="Y22" s="5"/>
      <c r="AA22" s="5"/>
      <c r="AD22" s="5"/>
      <c r="AE22" s="53" t="s">
        <v>914</v>
      </c>
      <c r="AG22" s="5"/>
      <c r="AH22" s="5"/>
      <c r="AJ22" s="53" t="s">
        <v>914</v>
      </c>
      <c r="AK22" s="53" t="s">
        <v>914</v>
      </c>
      <c r="AL22" s="52" t="s">
        <v>875</v>
      </c>
      <c r="AM22" s="22">
        <f t="shared" si="8"/>
        <v>4</v>
      </c>
    </row>
    <row r="23" spans="1:39" ht="15.75" x14ac:dyDescent="0.25">
      <c r="A23" s="19" t="s">
        <v>55</v>
      </c>
      <c r="B23" s="38">
        <v>26010</v>
      </c>
      <c r="C23" s="20" t="s">
        <v>1021</v>
      </c>
      <c r="D23" s="20" t="s">
        <v>1044</v>
      </c>
      <c r="E23" s="20"/>
      <c r="F23" s="20" t="s">
        <v>1013</v>
      </c>
      <c r="G23" s="21"/>
      <c r="H23" s="21"/>
      <c r="I23" s="5"/>
      <c r="J23" s="5"/>
      <c r="K23" s="5"/>
      <c r="L23" s="52"/>
      <c r="M23" s="5"/>
      <c r="O23" s="5"/>
      <c r="P23" s="54"/>
      <c r="Q23" s="5"/>
      <c r="R23" s="5"/>
      <c r="S23" s="5"/>
      <c r="T23" s="5"/>
      <c r="U23" s="5"/>
      <c r="V23" s="5"/>
      <c r="W23" s="5"/>
      <c r="X23" s="5"/>
      <c r="Y23" s="5"/>
      <c r="AA23" s="5"/>
      <c r="AD23" s="5"/>
      <c r="AG23" s="5"/>
      <c r="AH23" s="5"/>
      <c r="AJ23" s="53" t="s">
        <v>914</v>
      </c>
      <c r="AL23" s="52" t="s">
        <v>875</v>
      </c>
      <c r="AM23" s="22">
        <f t="shared" si="8"/>
        <v>2</v>
      </c>
    </row>
    <row r="24" spans="1:39" ht="15.75" x14ac:dyDescent="0.25">
      <c r="A24" s="19" t="s">
        <v>55</v>
      </c>
      <c r="B24" s="38">
        <v>26011</v>
      </c>
      <c r="C24" s="20" t="s">
        <v>1022</v>
      </c>
      <c r="D24" s="20" t="s">
        <v>1044</v>
      </c>
      <c r="E24" s="20"/>
      <c r="F24" s="20" t="s">
        <v>1013</v>
      </c>
      <c r="G24" s="21"/>
      <c r="H24" s="21"/>
      <c r="I24" s="5"/>
      <c r="J24" s="5"/>
      <c r="K24" s="5"/>
      <c r="L24" s="52"/>
      <c r="M24" s="5"/>
      <c r="O24" s="5"/>
      <c r="P24" s="54"/>
      <c r="Q24" s="5"/>
      <c r="R24" s="5"/>
      <c r="S24" s="5"/>
      <c r="T24" s="5"/>
      <c r="U24" s="5"/>
      <c r="V24" s="5"/>
      <c r="W24" s="5"/>
      <c r="X24" s="5"/>
      <c r="Y24" s="5"/>
      <c r="AA24" s="5"/>
      <c r="AD24" s="5"/>
      <c r="AE24" s="53" t="s">
        <v>914</v>
      </c>
      <c r="AG24" s="5"/>
      <c r="AH24" s="5"/>
      <c r="AK24" s="53" t="s">
        <v>914</v>
      </c>
      <c r="AL24" s="52" t="s">
        <v>875</v>
      </c>
      <c r="AM24" s="22">
        <f t="shared" si="8"/>
        <v>3</v>
      </c>
    </row>
    <row r="25" spans="1:39" ht="15.75" x14ac:dyDescent="0.25">
      <c r="A25" s="19" t="s">
        <v>55</v>
      </c>
      <c r="B25" s="38">
        <v>26012</v>
      </c>
      <c r="C25" s="20" t="s">
        <v>1023</v>
      </c>
      <c r="D25" s="20" t="s">
        <v>1044</v>
      </c>
      <c r="E25" s="20"/>
      <c r="F25" s="20" t="s">
        <v>1013</v>
      </c>
      <c r="G25" s="21"/>
      <c r="H25" s="21"/>
      <c r="I25" s="5"/>
      <c r="J25" s="5"/>
      <c r="K25" s="5"/>
      <c r="L25" s="52"/>
      <c r="M25" s="5"/>
      <c r="N25" s="5"/>
      <c r="O25" s="5"/>
      <c r="P25" s="54"/>
      <c r="Q25" s="5"/>
      <c r="R25" s="5"/>
      <c r="S25" s="5"/>
      <c r="T25" s="5"/>
      <c r="U25" s="5"/>
      <c r="V25" s="5"/>
      <c r="W25" s="5"/>
      <c r="X25" s="5"/>
      <c r="Y25" s="5"/>
      <c r="AA25" s="5"/>
      <c r="AD25" s="5"/>
      <c r="AE25" s="53" t="s">
        <v>914</v>
      </c>
      <c r="AG25" s="5"/>
      <c r="AH25" s="5"/>
      <c r="AK25" s="53" t="s">
        <v>914</v>
      </c>
      <c r="AL25" s="52" t="s">
        <v>875</v>
      </c>
      <c r="AM25" s="22">
        <f t="shared" si="8"/>
        <v>3</v>
      </c>
    </row>
    <row r="26" spans="1:39" ht="15.75" x14ac:dyDescent="0.25">
      <c r="A26" s="19" t="s">
        <v>55</v>
      </c>
      <c r="B26" s="38">
        <v>26013</v>
      </c>
      <c r="C26" s="20" t="s">
        <v>1024</v>
      </c>
      <c r="D26" s="20" t="s">
        <v>1044</v>
      </c>
      <c r="E26" s="20"/>
      <c r="F26" s="20" t="s">
        <v>1013</v>
      </c>
      <c r="G26" s="21"/>
      <c r="H26" s="21"/>
      <c r="I26" s="5"/>
      <c r="J26" s="5"/>
      <c r="K26" s="5"/>
      <c r="L26" s="52"/>
      <c r="M26" s="5"/>
      <c r="O26" s="5"/>
      <c r="P26" s="54"/>
      <c r="Q26" s="5"/>
      <c r="R26" s="5"/>
      <c r="S26" s="5"/>
      <c r="T26" s="5"/>
      <c r="U26" s="5"/>
      <c r="V26" s="5"/>
      <c r="W26" s="5"/>
      <c r="X26" s="5"/>
      <c r="Y26" s="5"/>
      <c r="AA26" s="5"/>
      <c r="AD26" s="5"/>
      <c r="AG26" s="5"/>
      <c r="AH26" s="5"/>
      <c r="AJ26" s="53" t="s">
        <v>914</v>
      </c>
      <c r="AK26" s="53" t="s">
        <v>914</v>
      </c>
      <c r="AL26" s="52" t="s">
        <v>875</v>
      </c>
      <c r="AM26" s="22">
        <f t="shared" si="8"/>
        <v>3</v>
      </c>
    </row>
    <row r="27" spans="1:39" ht="15.75" x14ac:dyDescent="0.25">
      <c r="A27" s="19" t="s">
        <v>55</v>
      </c>
      <c r="B27" s="38">
        <v>26014</v>
      </c>
      <c r="C27" s="20" t="s">
        <v>1025</v>
      </c>
      <c r="D27" s="20" t="s">
        <v>1044</v>
      </c>
      <c r="E27" s="20"/>
      <c r="F27" s="20" t="s">
        <v>1013</v>
      </c>
      <c r="G27" s="21"/>
      <c r="H27" s="21"/>
      <c r="I27" s="5"/>
      <c r="J27" s="5"/>
      <c r="K27" s="5"/>
      <c r="L27" s="52"/>
      <c r="M27" s="5"/>
      <c r="O27" s="5"/>
      <c r="P27" s="54"/>
      <c r="Q27" s="5"/>
      <c r="R27" s="5"/>
      <c r="S27" s="5"/>
      <c r="T27" s="5"/>
      <c r="U27" s="5"/>
      <c r="V27" s="5"/>
      <c r="W27" s="5"/>
      <c r="X27" s="5"/>
      <c r="Y27" s="5"/>
      <c r="AA27" s="5"/>
      <c r="AD27" s="5"/>
      <c r="AE27" s="53" t="s">
        <v>914</v>
      </c>
      <c r="AH27" s="5"/>
      <c r="AJ27" s="53" t="s">
        <v>914</v>
      </c>
      <c r="AL27" s="52" t="s">
        <v>875</v>
      </c>
      <c r="AM27" s="22">
        <f t="shared" si="8"/>
        <v>3</v>
      </c>
    </row>
    <row r="28" spans="1:39" ht="15.75" x14ac:dyDescent="0.25">
      <c r="A28" s="19" t="s">
        <v>55</v>
      </c>
      <c r="B28" s="38">
        <v>26016</v>
      </c>
      <c r="C28" s="20" t="s">
        <v>1026</v>
      </c>
      <c r="D28" s="20" t="s">
        <v>1044</v>
      </c>
      <c r="E28" s="20"/>
      <c r="F28" s="20" t="s">
        <v>1013</v>
      </c>
      <c r="G28" s="21"/>
      <c r="H28" s="21"/>
      <c r="I28" s="5"/>
      <c r="J28" s="5"/>
      <c r="K28" s="5"/>
      <c r="L28" s="52"/>
      <c r="M28" s="5"/>
      <c r="O28" s="5"/>
      <c r="P28" s="54"/>
      <c r="Q28" s="52"/>
      <c r="R28" s="5"/>
      <c r="S28" s="5"/>
      <c r="T28" s="5"/>
      <c r="U28" s="5"/>
      <c r="V28" s="52"/>
      <c r="W28" s="52"/>
      <c r="X28" s="5"/>
      <c r="Y28" s="52"/>
      <c r="Z28" s="53"/>
      <c r="AA28" s="5"/>
      <c r="AC28" s="53"/>
      <c r="AD28" s="5"/>
      <c r="AE28" s="53" t="s">
        <v>914</v>
      </c>
      <c r="AG28" s="5"/>
      <c r="AH28" s="5"/>
      <c r="AJ28" s="53" t="s">
        <v>914</v>
      </c>
      <c r="AK28" s="53" t="s">
        <v>914</v>
      </c>
      <c r="AL28" s="52" t="s">
        <v>875</v>
      </c>
      <c r="AM28" s="22">
        <f t="shared" si="8"/>
        <v>4</v>
      </c>
    </row>
    <row r="29" spans="1:39" ht="15.75" x14ac:dyDescent="0.25">
      <c r="A29" s="19" t="s">
        <v>55</v>
      </c>
      <c r="B29" s="38">
        <v>26017</v>
      </c>
      <c r="C29" s="20" t="s">
        <v>1027</v>
      </c>
      <c r="D29" s="20" t="s">
        <v>1044</v>
      </c>
      <c r="E29" s="20"/>
      <c r="F29" s="20" t="s">
        <v>1013</v>
      </c>
      <c r="G29" s="21"/>
      <c r="H29" s="21"/>
      <c r="I29" s="5"/>
      <c r="J29" s="5"/>
      <c r="K29" s="5"/>
      <c r="L29" s="52"/>
      <c r="M29" s="5"/>
      <c r="N29" s="5"/>
      <c r="O29" s="5"/>
      <c r="P29" s="54"/>
      <c r="Q29" s="5"/>
      <c r="R29" s="5"/>
      <c r="S29" s="5"/>
      <c r="T29" s="5"/>
      <c r="U29" s="5"/>
      <c r="V29" s="5"/>
      <c r="W29" s="5"/>
      <c r="X29" s="5"/>
      <c r="Y29" s="5"/>
      <c r="AA29" s="5"/>
      <c r="AD29" s="5"/>
      <c r="AE29" s="53" t="s">
        <v>914</v>
      </c>
      <c r="AH29" s="5"/>
      <c r="AK29" s="53" t="s">
        <v>914</v>
      </c>
      <c r="AL29" s="52" t="s">
        <v>875</v>
      </c>
      <c r="AM29" s="22">
        <f t="shared" si="8"/>
        <v>3</v>
      </c>
    </row>
    <row r="30" spans="1:39" ht="15.75" x14ac:dyDescent="0.25">
      <c r="A30" s="19" t="s">
        <v>55</v>
      </c>
      <c r="B30" s="38">
        <v>26003</v>
      </c>
      <c r="C30" s="20" t="s">
        <v>1028</v>
      </c>
      <c r="D30" s="20" t="s">
        <v>1044</v>
      </c>
      <c r="E30" s="20"/>
      <c r="F30" s="20" t="s">
        <v>1013</v>
      </c>
      <c r="G30" s="21"/>
      <c r="H30" s="21"/>
      <c r="I30" s="5"/>
      <c r="J30" s="5"/>
      <c r="K30" s="5"/>
      <c r="L30" s="52"/>
      <c r="M30" s="5"/>
      <c r="O30" s="52"/>
      <c r="P30" s="54"/>
      <c r="Q30" s="52"/>
      <c r="R30" s="52"/>
      <c r="S30" s="52"/>
      <c r="T30" s="5"/>
      <c r="U30" s="5"/>
      <c r="V30" s="52"/>
      <c r="W30" s="52"/>
      <c r="X30" s="52"/>
      <c r="Y30" s="52"/>
      <c r="Z30" s="53"/>
      <c r="AA30" s="5"/>
      <c r="AC30" s="53"/>
      <c r="AD30" s="52"/>
      <c r="AE30" s="53" t="s">
        <v>914</v>
      </c>
      <c r="AF30" s="53"/>
      <c r="AG30" s="5"/>
      <c r="AH30" s="5"/>
      <c r="AJ30" s="53" t="s">
        <v>914</v>
      </c>
      <c r="AK30" s="53"/>
      <c r="AL30" s="52" t="s">
        <v>875</v>
      </c>
      <c r="AM30" s="22">
        <f t="shared" si="8"/>
        <v>3</v>
      </c>
    </row>
    <row r="31" spans="1:39" ht="15.75" x14ac:dyDescent="0.25">
      <c r="A31" s="19" t="s">
        <v>55</v>
      </c>
      <c r="B31" s="38">
        <v>26002</v>
      </c>
      <c r="C31" s="20" t="s">
        <v>1029</v>
      </c>
      <c r="D31" s="20" t="s">
        <v>1044</v>
      </c>
      <c r="E31" s="20"/>
      <c r="F31" s="20" t="s">
        <v>1013</v>
      </c>
      <c r="G31" s="21"/>
      <c r="H31" s="21"/>
      <c r="I31" s="5"/>
      <c r="J31" s="5"/>
      <c r="K31" s="5"/>
      <c r="L31" s="5"/>
      <c r="M31" s="5"/>
      <c r="N31" s="5"/>
      <c r="O31" s="5"/>
      <c r="P31" s="54"/>
      <c r="Q31" s="5"/>
      <c r="R31" s="5"/>
      <c r="S31" s="5"/>
      <c r="T31" s="5"/>
      <c r="U31" s="5"/>
      <c r="V31" s="5"/>
      <c r="W31" s="5"/>
      <c r="X31" s="52"/>
      <c r="Y31" s="52"/>
      <c r="Z31" s="53"/>
      <c r="AF31" s="53"/>
      <c r="AG31" s="53"/>
      <c r="AH31" s="5"/>
      <c r="AK31" s="53" t="s">
        <v>914</v>
      </c>
      <c r="AL31" s="52"/>
      <c r="AM31" s="22">
        <f t="shared" si="8"/>
        <v>1</v>
      </c>
    </row>
    <row r="32" spans="1:39" ht="15.75" x14ac:dyDescent="0.25">
      <c r="A32" s="19" t="s">
        <v>55</v>
      </c>
      <c r="B32" s="38"/>
      <c r="C32" s="20" t="s">
        <v>1061</v>
      </c>
      <c r="D32" s="20" t="s">
        <v>1044</v>
      </c>
      <c r="E32" s="20"/>
      <c r="F32" s="20" t="s">
        <v>1013</v>
      </c>
      <c r="G32" s="21"/>
      <c r="H32" s="21"/>
      <c r="I32" s="5"/>
      <c r="J32" s="5"/>
      <c r="K32" s="5"/>
      <c r="L32" s="5"/>
      <c r="M32" s="5"/>
      <c r="N32" s="5"/>
      <c r="O32" s="5"/>
      <c r="P32" s="54"/>
      <c r="Q32" s="5"/>
      <c r="R32" s="5"/>
      <c r="S32" s="5"/>
      <c r="T32" s="5"/>
      <c r="U32" s="5"/>
      <c r="V32" s="5"/>
      <c r="W32" s="5"/>
      <c r="X32" s="52"/>
      <c r="Y32" s="52"/>
      <c r="Z32" s="53"/>
      <c r="AF32" s="53"/>
      <c r="AG32" s="53"/>
      <c r="AH32" s="5"/>
      <c r="AK32" s="53" t="s">
        <v>914</v>
      </c>
      <c r="AL32" s="52"/>
      <c r="AM32" s="22">
        <f t="shared" si="8"/>
        <v>1</v>
      </c>
    </row>
    <row r="33" spans="1:39" ht="15.75" x14ac:dyDescent="0.25">
      <c r="A33" s="19" t="s">
        <v>55</v>
      </c>
      <c r="B33" s="38"/>
      <c r="C33" s="20" t="s">
        <v>1030</v>
      </c>
      <c r="D33" s="20" t="s">
        <v>1044</v>
      </c>
      <c r="E33" s="20"/>
      <c r="F33" s="20" t="s">
        <v>1013</v>
      </c>
      <c r="G33" s="21"/>
      <c r="H33" s="21"/>
      <c r="I33" s="5"/>
      <c r="J33" s="5"/>
      <c r="K33" s="5"/>
      <c r="L33" s="5"/>
      <c r="M33" s="5"/>
      <c r="O33" s="5"/>
      <c r="P33" s="54"/>
      <c r="Q33" s="5"/>
      <c r="R33" s="52"/>
      <c r="S33" s="52"/>
      <c r="T33" s="5"/>
      <c r="U33" s="5"/>
      <c r="V33" s="52"/>
      <c r="W33" s="5"/>
      <c r="X33" s="5"/>
      <c r="Y33" s="5"/>
      <c r="AC33" s="53"/>
      <c r="AD33" s="53"/>
      <c r="AE33" s="53"/>
      <c r="AF33" s="53"/>
      <c r="AG33" s="53"/>
      <c r="AH33" s="52"/>
      <c r="AI33" s="53"/>
      <c r="AJ33" s="53" t="s">
        <v>914</v>
      </c>
      <c r="AK33" s="53" t="s">
        <v>914</v>
      </c>
      <c r="AL33" s="52"/>
      <c r="AM33" s="22">
        <f t="shared" si="8"/>
        <v>2</v>
      </c>
    </row>
    <row r="34" spans="1:39" ht="15.75" x14ac:dyDescent="0.25">
      <c r="A34" s="19" t="s">
        <v>55</v>
      </c>
      <c r="B34" s="38"/>
      <c r="C34" s="20" t="s">
        <v>1031</v>
      </c>
      <c r="D34" s="20" t="s">
        <v>1044</v>
      </c>
      <c r="E34" s="20"/>
      <c r="F34" s="20" t="s">
        <v>1013</v>
      </c>
      <c r="G34" s="21"/>
      <c r="H34" s="21"/>
      <c r="I34" s="5"/>
      <c r="J34" s="5"/>
      <c r="K34" s="5"/>
      <c r="L34" s="52"/>
      <c r="M34" s="5"/>
      <c r="O34" s="52"/>
      <c r="P34" s="54"/>
      <c r="Q34" s="52"/>
      <c r="R34" s="5"/>
      <c r="S34" s="52"/>
      <c r="T34" s="5"/>
      <c r="U34" s="5"/>
      <c r="V34" s="52"/>
      <c r="W34" s="52"/>
      <c r="X34" s="52"/>
      <c r="Y34" s="52"/>
      <c r="Z34" s="53"/>
      <c r="AA34" s="5"/>
      <c r="AC34" s="53"/>
      <c r="AD34" s="52"/>
      <c r="AE34" s="53" t="s">
        <v>914</v>
      </c>
      <c r="AF34" s="53"/>
      <c r="AG34" s="52"/>
      <c r="AH34" s="5"/>
      <c r="AJ34" s="53"/>
      <c r="AL34" s="52"/>
      <c r="AM34" s="22">
        <f t="shared" si="8"/>
        <v>1</v>
      </c>
    </row>
    <row r="35" spans="1:39" ht="15.75" x14ac:dyDescent="0.25">
      <c r="A35" s="19" t="s">
        <v>55</v>
      </c>
      <c r="B35" s="38" t="s">
        <v>427</v>
      </c>
      <c r="C35" s="20" t="s">
        <v>1032</v>
      </c>
      <c r="D35" s="20" t="s">
        <v>10</v>
      </c>
      <c r="E35" s="20" t="s">
        <v>10</v>
      </c>
      <c r="F35" s="20" t="s">
        <v>1013</v>
      </c>
      <c r="G35" s="21"/>
      <c r="H35" s="21"/>
      <c r="I35" s="5"/>
      <c r="J35" s="5"/>
      <c r="K35" s="5"/>
      <c r="L35" s="5"/>
      <c r="M35" s="5"/>
      <c r="O35" s="5"/>
      <c r="P35" s="54"/>
      <c r="Q35" s="5"/>
      <c r="R35" s="5"/>
      <c r="S35" s="5"/>
      <c r="T35" s="5"/>
      <c r="U35" s="5"/>
      <c r="V35" s="5"/>
      <c r="W35" s="52"/>
      <c r="X35" s="5"/>
      <c r="Y35" s="52"/>
      <c r="AC35" s="53"/>
      <c r="AD35" s="52"/>
      <c r="AE35" s="53"/>
      <c r="AF35" s="53"/>
      <c r="AH35" s="5"/>
      <c r="AJ35" s="53" t="s">
        <v>914</v>
      </c>
      <c r="AM35" s="22">
        <f t="shared" si="8"/>
        <v>1</v>
      </c>
    </row>
    <row r="36" spans="1:39" ht="15.75" x14ac:dyDescent="0.25">
      <c r="A36" s="19" t="s">
        <v>55</v>
      </c>
      <c r="B36" s="38" t="s">
        <v>962</v>
      </c>
      <c r="C36" s="20" t="s">
        <v>1033</v>
      </c>
      <c r="D36" s="20" t="s">
        <v>10</v>
      </c>
      <c r="E36" s="20" t="s">
        <v>10</v>
      </c>
      <c r="F36" s="20" t="s">
        <v>1013</v>
      </c>
      <c r="G36" s="21"/>
      <c r="H36" s="21"/>
      <c r="I36" s="5"/>
      <c r="J36" s="5"/>
      <c r="K36" s="5"/>
      <c r="L36" s="5"/>
      <c r="M36" s="5"/>
      <c r="O36" s="5"/>
      <c r="P36" s="54"/>
      <c r="Q36" s="5"/>
      <c r="R36" s="5"/>
      <c r="S36" s="5"/>
      <c r="T36" s="5"/>
      <c r="U36" s="5"/>
      <c r="V36" s="5"/>
      <c r="W36" s="52"/>
      <c r="X36" s="5"/>
      <c r="Y36" s="52"/>
      <c r="AD36" s="52"/>
      <c r="AE36" s="53"/>
      <c r="AF36" s="53"/>
      <c r="AH36" s="5"/>
      <c r="AJ36" s="53" t="s">
        <v>914</v>
      </c>
      <c r="AM36" s="22">
        <f t="shared" si="8"/>
        <v>1</v>
      </c>
    </row>
    <row r="37" spans="1:39" ht="15.75" x14ac:dyDescent="0.25">
      <c r="A37" s="19" t="s">
        <v>55</v>
      </c>
      <c r="B37" s="38" t="s">
        <v>787</v>
      </c>
      <c r="C37" s="20" t="s">
        <v>788</v>
      </c>
      <c r="D37" s="20" t="s">
        <v>10</v>
      </c>
      <c r="E37" s="20" t="s">
        <v>10</v>
      </c>
      <c r="F37" s="20" t="s">
        <v>1013</v>
      </c>
      <c r="G37" s="21"/>
      <c r="H37" s="21"/>
      <c r="I37" s="5"/>
      <c r="J37" s="5"/>
      <c r="K37" s="5"/>
      <c r="L37" s="5"/>
      <c r="M37" s="5"/>
      <c r="O37" s="5"/>
      <c r="P37" s="55"/>
      <c r="Q37" s="5"/>
      <c r="R37" s="5"/>
      <c r="S37" s="5"/>
      <c r="T37" s="5"/>
      <c r="U37" s="5"/>
      <c r="V37" s="5"/>
      <c r="W37" s="52"/>
      <c r="X37" s="52"/>
      <c r="Y37" s="52"/>
      <c r="AC37" s="53"/>
      <c r="AD37" s="52"/>
      <c r="AE37" s="53"/>
      <c r="AF37" s="53"/>
      <c r="AH37" s="5"/>
      <c r="AJ37" s="53" t="s">
        <v>914</v>
      </c>
      <c r="AM37" s="22">
        <f t="shared" si="8"/>
        <v>1</v>
      </c>
    </row>
    <row r="38" spans="1:39" ht="15.75" x14ac:dyDescent="0.25">
      <c r="A38" s="19" t="s">
        <v>55</v>
      </c>
      <c r="B38" s="38" t="s">
        <v>822</v>
      </c>
      <c r="C38" s="20" t="s">
        <v>823</v>
      </c>
      <c r="D38" s="20" t="s">
        <v>10</v>
      </c>
      <c r="E38" s="20" t="s">
        <v>10</v>
      </c>
      <c r="F38" s="20" t="s">
        <v>1013</v>
      </c>
      <c r="G38" s="21"/>
      <c r="H38" s="21"/>
      <c r="I38" s="5"/>
      <c r="J38" s="5"/>
      <c r="K38" s="5"/>
      <c r="L38" s="5"/>
      <c r="M38" s="5"/>
      <c r="O38" s="52"/>
      <c r="P38" s="55"/>
      <c r="Q38" s="52"/>
      <c r="R38" s="5"/>
      <c r="S38" s="52"/>
      <c r="T38" s="5"/>
      <c r="U38" s="5"/>
      <c r="V38" s="5"/>
      <c r="W38" s="52"/>
      <c r="X38" s="5"/>
      <c r="Y38" s="52"/>
      <c r="Z38" s="53"/>
      <c r="AD38" s="52"/>
      <c r="AE38" s="53"/>
      <c r="AF38" s="53"/>
      <c r="AH38" s="5"/>
      <c r="AJ38" s="53" t="s">
        <v>914</v>
      </c>
      <c r="AM38" s="22">
        <f t="shared" si="8"/>
        <v>1</v>
      </c>
    </row>
    <row r="39" spans="1:39" ht="15.75" x14ac:dyDescent="0.25">
      <c r="A39" s="19" t="s">
        <v>55</v>
      </c>
      <c r="B39" s="38" t="s">
        <v>681</v>
      </c>
      <c r="C39" s="20" t="s">
        <v>682</v>
      </c>
      <c r="D39" s="20" t="s">
        <v>10</v>
      </c>
      <c r="E39" s="20" t="s">
        <v>10</v>
      </c>
      <c r="F39" s="20" t="s">
        <v>1013</v>
      </c>
      <c r="G39" s="21"/>
      <c r="H39" s="21"/>
      <c r="I39" s="5"/>
      <c r="J39" s="5"/>
      <c r="K39" s="5"/>
      <c r="L39" s="5"/>
      <c r="M39" s="5"/>
      <c r="O39" s="5"/>
      <c r="P39" s="54"/>
      <c r="Q39" s="5"/>
      <c r="R39" s="5"/>
      <c r="S39" s="5"/>
      <c r="T39" s="5"/>
      <c r="U39" s="5"/>
      <c r="V39" s="5"/>
      <c r="W39" s="52"/>
      <c r="X39" s="52"/>
      <c r="Y39" s="52"/>
      <c r="AC39" s="53"/>
      <c r="AD39" s="52"/>
      <c r="AE39" s="53"/>
      <c r="AF39" s="53"/>
      <c r="AH39" s="5"/>
      <c r="AJ39" s="53" t="s">
        <v>914</v>
      </c>
      <c r="AM39" s="22">
        <f t="shared" si="8"/>
        <v>1</v>
      </c>
    </row>
    <row r="40" spans="1:39" ht="15.75" x14ac:dyDescent="0.25">
      <c r="A40" s="19" t="s">
        <v>55</v>
      </c>
      <c r="B40" s="38" t="s">
        <v>951</v>
      </c>
      <c r="C40" s="20" t="s">
        <v>944</v>
      </c>
      <c r="D40" s="20" t="s">
        <v>10</v>
      </c>
      <c r="E40" s="20" t="s">
        <v>10</v>
      </c>
      <c r="F40" s="20" t="s">
        <v>1013</v>
      </c>
      <c r="G40" s="21"/>
      <c r="H40" s="21"/>
      <c r="I40" s="5"/>
      <c r="J40" s="5"/>
      <c r="K40" s="5"/>
      <c r="L40" s="5"/>
      <c r="M40" s="5"/>
      <c r="O40" s="5"/>
      <c r="P40" s="54"/>
      <c r="Q40" s="5"/>
      <c r="R40" s="5"/>
      <c r="S40" s="5"/>
      <c r="T40" s="5"/>
      <c r="U40" s="5"/>
      <c r="V40" s="5"/>
      <c r="W40" s="52"/>
      <c r="X40" s="52"/>
      <c r="Y40" s="52"/>
      <c r="AC40" s="53"/>
      <c r="AD40" s="52"/>
      <c r="AE40" s="53"/>
      <c r="AF40" s="53"/>
      <c r="AH40" s="5"/>
      <c r="AJ40" s="53"/>
      <c r="AM40" s="22">
        <f t="shared" si="8"/>
        <v>0</v>
      </c>
    </row>
    <row r="41" spans="1:39" ht="15.75" x14ac:dyDescent="0.25">
      <c r="A41" s="19" t="s">
        <v>55</v>
      </c>
      <c r="B41" s="38" t="s">
        <v>831</v>
      </c>
      <c r="C41" s="20" t="s">
        <v>832</v>
      </c>
      <c r="D41" s="20" t="s">
        <v>10</v>
      </c>
      <c r="E41" s="20" t="s">
        <v>10</v>
      </c>
      <c r="F41" s="20" t="s">
        <v>1013</v>
      </c>
      <c r="G41" s="21"/>
      <c r="H41" s="21"/>
      <c r="I41" s="5"/>
      <c r="J41" s="5"/>
      <c r="K41" s="5"/>
      <c r="L41" s="52"/>
      <c r="M41" s="52"/>
      <c r="O41" s="52"/>
      <c r="P41" s="54"/>
      <c r="Q41" s="53"/>
      <c r="R41" s="5"/>
      <c r="S41" s="52"/>
      <c r="T41" s="52"/>
      <c r="U41" s="5"/>
      <c r="V41" s="52"/>
      <c r="W41" s="52"/>
      <c r="X41" s="52"/>
      <c r="Y41" s="52"/>
      <c r="Z41" s="53"/>
      <c r="AA41" s="53"/>
      <c r="AD41" s="52"/>
      <c r="AE41" s="53"/>
      <c r="AF41" s="53"/>
      <c r="AG41" s="52"/>
      <c r="AH41" s="52"/>
      <c r="AJ41" s="53" t="s">
        <v>914</v>
      </c>
      <c r="AM41" s="22">
        <f t="shared" si="8"/>
        <v>1</v>
      </c>
    </row>
    <row r="42" spans="1:39" ht="15.75" x14ac:dyDescent="0.25">
      <c r="A42" s="19" t="s">
        <v>55</v>
      </c>
      <c r="B42" s="38"/>
      <c r="C42" s="20" t="s">
        <v>1035</v>
      </c>
      <c r="D42" s="20" t="s">
        <v>10</v>
      </c>
      <c r="E42" s="20" t="s">
        <v>10</v>
      </c>
      <c r="F42" s="20" t="s">
        <v>1013</v>
      </c>
      <c r="G42" s="21"/>
      <c r="H42" s="21"/>
      <c r="I42" s="5"/>
      <c r="J42" s="5"/>
      <c r="K42" s="5"/>
      <c r="L42" s="52"/>
      <c r="M42" s="5"/>
      <c r="O42" s="52"/>
      <c r="P42" s="54"/>
      <c r="Q42" s="5"/>
      <c r="R42" s="5"/>
      <c r="S42" s="5"/>
      <c r="T42" s="52"/>
      <c r="U42" s="5"/>
      <c r="V42" s="52"/>
      <c r="W42" s="5"/>
      <c r="X42" s="52"/>
      <c r="Y42" s="5"/>
      <c r="Z42" s="53"/>
      <c r="AA42" s="5"/>
      <c r="AC42" s="53"/>
      <c r="AD42" s="5"/>
      <c r="AE42" s="53"/>
      <c r="AG42" s="53"/>
      <c r="AH42" s="5"/>
      <c r="AJ42" s="53" t="s">
        <v>914</v>
      </c>
      <c r="AM42" s="22">
        <f t="shared" si="8"/>
        <v>1</v>
      </c>
    </row>
    <row r="43" spans="1:39" ht="15.75" x14ac:dyDescent="0.25">
      <c r="A43" s="19" t="s">
        <v>55</v>
      </c>
      <c r="B43" s="38" t="s">
        <v>523</v>
      </c>
      <c r="C43" s="20" t="s">
        <v>524</v>
      </c>
      <c r="D43" s="20" t="s">
        <v>10</v>
      </c>
      <c r="E43" s="20" t="s">
        <v>10</v>
      </c>
      <c r="F43" s="20" t="s">
        <v>1013</v>
      </c>
      <c r="G43" s="21"/>
      <c r="H43" s="21"/>
      <c r="I43" s="5"/>
      <c r="J43" s="5"/>
      <c r="K43" s="5"/>
      <c r="L43" s="52"/>
      <c r="M43" s="5"/>
      <c r="N43" s="5"/>
      <c r="O43" s="52"/>
      <c r="P43" s="54"/>
      <c r="Q43" s="52"/>
      <c r="R43" s="52"/>
      <c r="S43" s="5"/>
      <c r="T43" s="5"/>
      <c r="U43" s="5"/>
      <c r="V43" s="52"/>
      <c r="W43" s="52"/>
      <c r="X43" s="52"/>
      <c r="Y43" s="52"/>
      <c r="Z43" s="53"/>
      <c r="AD43" s="52"/>
      <c r="AE43" s="53"/>
      <c r="AF43" s="53"/>
      <c r="AH43" s="5"/>
      <c r="AJ43" s="53"/>
      <c r="AL43" s="5"/>
      <c r="AM43" s="22">
        <f t="shared" si="8"/>
        <v>0</v>
      </c>
    </row>
    <row r="44" spans="1:39" ht="15.75" x14ac:dyDescent="0.25">
      <c r="A44" s="19" t="s">
        <v>55</v>
      </c>
      <c r="B44" s="38" t="s">
        <v>547</v>
      </c>
      <c r="C44" s="20" t="s">
        <v>104</v>
      </c>
      <c r="D44" s="20" t="s">
        <v>10</v>
      </c>
      <c r="E44" s="20" t="s">
        <v>10</v>
      </c>
      <c r="F44" s="20" t="s">
        <v>1013</v>
      </c>
      <c r="G44" s="21"/>
      <c r="H44" s="21"/>
      <c r="I44" s="5"/>
      <c r="J44" s="5"/>
      <c r="K44" s="5"/>
      <c r="L44" s="52"/>
      <c r="M44" s="5"/>
      <c r="O44" s="52"/>
      <c r="P44" s="54"/>
      <c r="Q44" s="5"/>
      <c r="R44" s="5"/>
      <c r="S44" s="5"/>
      <c r="T44" s="5"/>
      <c r="U44" s="5"/>
      <c r="V44" s="5"/>
      <c r="W44" s="5"/>
      <c r="X44" s="5"/>
      <c r="Y44" s="52"/>
      <c r="Z44" s="53"/>
      <c r="AC44" s="53"/>
      <c r="AD44" s="52"/>
      <c r="AE44" s="53"/>
      <c r="AF44" s="53"/>
      <c r="AH44" s="5"/>
      <c r="AJ44" s="53" t="s">
        <v>914</v>
      </c>
      <c r="AM44" s="22">
        <f t="shared" si="8"/>
        <v>1</v>
      </c>
    </row>
    <row r="45" spans="1:39" ht="15.75" x14ac:dyDescent="0.25">
      <c r="A45" s="19" t="s">
        <v>55</v>
      </c>
      <c r="B45" s="38" t="s">
        <v>860</v>
      </c>
      <c r="C45" s="20" t="s">
        <v>861</v>
      </c>
      <c r="D45" s="20" t="s">
        <v>10</v>
      </c>
      <c r="E45" s="20" t="s">
        <v>10</v>
      </c>
      <c r="F45" s="20" t="s">
        <v>1013</v>
      </c>
      <c r="G45" s="21"/>
      <c r="H45" s="21"/>
      <c r="I45" s="5"/>
      <c r="J45" s="5"/>
      <c r="K45" s="5"/>
      <c r="L45" s="5"/>
      <c r="M45" s="5"/>
      <c r="O45" s="5"/>
      <c r="P45" s="54"/>
      <c r="Q45" s="5"/>
      <c r="R45" s="5"/>
      <c r="S45" s="5"/>
      <c r="T45" s="5"/>
      <c r="U45" s="5"/>
      <c r="V45" s="5"/>
      <c r="W45" s="52"/>
      <c r="X45" s="52"/>
      <c r="Y45" s="52"/>
      <c r="AC45" s="53"/>
      <c r="AD45" s="52"/>
      <c r="AE45" s="53"/>
      <c r="AF45" s="53"/>
      <c r="AH45" s="5"/>
      <c r="AJ45" s="53"/>
      <c r="AM45" s="22">
        <f t="shared" si="8"/>
        <v>0</v>
      </c>
    </row>
    <row r="46" spans="1:39" ht="15.75" x14ac:dyDescent="0.25">
      <c r="A46" s="19" t="s">
        <v>55</v>
      </c>
      <c r="B46" s="38" t="s">
        <v>985</v>
      </c>
      <c r="C46" s="20" t="s">
        <v>986</v>
      </c>
      <c r="D46" s="20" t="s">
        <v>10</v>
      </c>
      <c r="E46" s="20" t="s">
        <v>10</v>
      </c>
      <c r="F46" s="20" t="s">
        <v>1013</v>
      </c>
      <c r="G46" s="21"/>
      <c r="H46" s="21"/>
      <c r="I46" s="5"/>
      <c r="J46" s="5"/>
      <c r="K46" s="5"/>
      <c r="L46" s="52"/>
      <c r="M46" s="5"/>
      <c r="O46" s="5"/>
      <c r="P46" s="54"/>
      <c r="Q46" s="5"/>
      <c r="R46" s="5"/>
      <c r="S46" s="5"/>
      <c r="T46" s="5"/>
      <c r="U46" s="5"/>
      <c r="V46" s="5"/>
      <c r="W46" s="5"/>
      <c r="X46" s="5"/>
      <c r="Y46" s="5"/>
      <c r="AC46" s="53"/>
      <c r="AD46" s="52"/>
      <c r="AF46" s="53"/>
      <c r="AH46" s="5"/>
      <c r="AJ46" s="53"/>
      <c r="AM46" s="22">
        <f t="shared" si="8"/>
        <v>0</v>
      </c>
    </row>
    <row r="47" spans="1:39" ht="15.75" x14ac:dyDescent="0.25">
      <c r="A47" s="19" t="s">
        <v>55</v>
      </c>
      <c r="B47" s="38"/>
      <c r="C47" s="20" t="s">
        <v>1036</v>
      </c>
      <c r="D47" s="20" t="s">
        <v>32</v>
      </c>
      <c r="E47" s="20" t="s">
        <v>778</v>
      </c>
      <c r="F47" s="20" t="s">
        <v>1013</v>
      </c>
      <c r="G47" s="21"/>
      <c r="H47" s="21"/>
      <c r="I47" s="5"/>
      <c r="J47" s="5"/>
      <c r="K47" s="5"/>
      <c r="L47" s="5"/>
      <c r="M47" s="5"/>
      <c r="O47" s="5"/>
      <c r="P47" s="54"/>
      <c r="Q47" s="5"/>
      <c r="R47" s="5"/>
      <c r="S47" s="52"/>
      <c r="T47" s="5"/>
      <c r="U47" s="5"/>
      <c r="V47" s="52"/>
      <c r="W47" s="5"/>
      <c r="X47" s="52"/>
      <c r="Y47" s="52"/>
      <c r="AC47" s="53"/>
      <c r="AD47" s="53"/>
      <c r="AE47" s="53"/>
      <c r="AF47" s="53"/>
      <c r="AG47" s="53"/>
      <c r="AH47" s="52"/>
      <c r="AJ47" s="53"/>
      <c r="AM47" s="22">
        <f t="shared" si="8"/>
        <v>0</v>
      </c>
    </row>
    <row r="48" spans="1:39" ht="15.75" x14ac:dyDescent="0.25">
      <c r="A48" s="19" t="s">
        <v>55</v>
      </c>
      <c r="B48" s="38"/>
      <c r="C48" s="20" t="s">
        <v>1037</v>
      </c>
      <c r="D48" s="20" t="s">
        <v>32</v>
      </c>
      <c r="E48" s="20" t="s">
        <v>778</v>
      </c>
      <c r="F48" s="20" t="s">
        <v>1013</v>
      </c>
      <c r="G48" s="21"/>
      <c r="H48" s="21"/>
      <c r="I48" s="5"/>
      <c r="J48" s="5"/>
      <c r="K48" s="5"/>
      <c r="L48" s="52"/>
      <c r="M48" s="5"/>
      <c r="O48" s="5"/>
      <c r="P48" s="54"/>
      <c r="Q48" s="52"/>
      <c r="R48" s="52"/>
      <c r="S48" s="52"/>
      <c r="T48" s="5"/>
      <c r="U48" s="5"/>
      <c r="V48" s="52"/>
      <c r="W48" s="52"/>
      <c r="X48" s="52"/>
      <c r="Y48" s="5"/>
      <c r="Z48" s="53"/>
      <c r="AC48" s="53"/>
      <c r="AD48" s="52"/>
      <c r="AE48" s="53"/>
      <c r="AF48" s="53"/>
      <c r="AH48" s="5"/>
      <c r="AJ48" s="53"/>
      <c r="AM48" s="22">
        <f t="shared" si="8"/>
        <v>0</v>
      </c>
    </row>
    <row r="49" spans="1:39" ht="15.75" x14ac:dyDescent="0.25">
      <c r="A49" s="19" t="s">
        <v>55</v>
      </c>
      <c r="B49" s="38"/>
      <c r="C49" s="20" t="s">
        <v>1038</v>
      </c>
      <c r="D49" s="20" t="s">
        <v>32</v>
      </c>
      <c r="E49" s="20" t="s">
        <v>778</v>
      </c>
      <c r="F49" s="20" t="s">
        <v>1013</v>
      </c>
      <c r="G49" s="21"/>
      <c r="H49" s="21"/>
      <c r="I49" s="5"/>
      <c r="J49" s="5"/>
      <c r="K49" s="5"/>
      <c r="L49" s="5"/>
      <c r="M49" s="5"/>
      <c r="O49" s="5"/>
      <c r="P49" s="54"/>
      <c r="Q49" s="5"/>
      <c r="R49" s="5"/>
      <c r="S49" s="5"/>
      <c r="T49" s="5"/>
      <c r="U49" s="5"/>
      <c r="V49" s="5"/>
      <c r="W49" s="52"/>
      <c r="X49" s="52"/>
      <c r="Y49" s="52"/>
      <c r="AC49" s="53"/>
      <c r="AD49" s="52"/>
      <c r="AE49" s="53"/>
      <c r="AF49" s="53"/>
      <c r="AH49" s="5"/>
      <c r="AJ49" s="53"/>
      <c r="AM49" s="22">
        <f t="shared" si="8"/>
        <v>0</v>
      </c>
    </row>
    <row r="50" spans="1:39" ht="15.75" x14ac:dyDescent="0.25">
      <c r="A50" s="19" t="s">
        <v>55</v>
      </c>
      <c r="B50" s="38"/>
      <c r="C50" s="20" t="s">
        <v>1039</v>
      </c>
      <c r="D50" s="20" t="s">
        <v>32</v>
      </c>
      <c r="E50" s="20" t="s">
        <v>778</v>
      </c>
      <c r="F50" s="20" t="s">
        <v>1013</v>
      </c>
      <c r="G50" s="21"/>
      <c r="H50" s="21"/>
      <c r="I50" s="5"/>
      <c r="J50" s="5"/>
      <c r="K50" s="5"/>
      <c r="L50" s="52"/>
      <c r="M50" s="5"/>
      <c r="O50" s="52"/>
      <c r="P50" s="54"/>
      <c r="Q50" s="5"/>
      <c r="R50" s="5"/>
      <c r="S50" s="5"/>
      <c r="T50" s="5"/>
      <c r="U50" s="5"/>
      <c r="V50" s="5"/>
      <c r="W50" s="5"/>
      <c r="X50" s="5"/>
      <c r="Y50" s="52"/>
      <c r="Z50" s="53"/>
      <c r="AC50" s="53"/>
      <c r="AD50" s="52"/>
      <c r="AE50" s="53"/>
      <c r="AF50" s="53"/>
      <c r="AH50" s="5"/>
      <c r="AJ50" s="53"/>
      <c r="AM50" s="22">
        <f t="shared" si="8"/>
        <v>0</v>
      </c>
    </row>
    <row r="51" spans="1:39" ht="15.75" x14ac:dyDescent="0.25">
      <c r="A51" s="19" t="s">
        <v>55</v>
      </c>
      <c r="B51" s="38"/>
      <c r="C51" s="20" t="s">
        <v>309</v>
      </c>
      <c r="D51" s="20" t="s">
        <v>8</v>
      </c>
      <c r="E51" s="20" t="s">
        <v>8</v>
      </c>
      <c r="F51" s="20" t="s">
        <v>1013</v>
      </c>
      <c r="G51" s="21"/>
      <c r="H51" s="21"/>
      <c r="I51" s="5"/>
      <c r="J51" s="5"/>
      <c r="K51" s="5"/>
      <c r="L51" s="5"/>
      <c r="M51" s="5"/>
      <c r="O51" s="5"/>
      <c r="P51" s="54"/>
      <c r="Q51" s="5"/>
      <c r="R51" s="5"/>
      <c r="S51" s="5"/>
      <c r="T51" s="5"/>
      <c r="U51" s="5"/>
      <c r="V51" s="5"/>
      <c r="W51" s="52"/>
      <c r="X51" s="52"/>
      <c r="Y51" s="52"/>
      <c r="AC51" s="53"/>
      <c r="AD51" s="52"/>
      <c r="AE51" s="53"/>
      <c r="AF51" s="53"/>
      <c r="AH51" s="5"/>
      <c r="AJ51" s="53"/>
      <c r="AM51" s="22">
        <f t="shared" si="8"/>
        <v>0</v>
      </c>
    </row>
    <row r="52" spans="1:39" ht="15.75" x14ac:dyDescent="0.25">
      <c r="A52" s="19" t="s">
        <v>55</v>
      </c>
      <c r="B52" s="38"/>
      <c r="C52" s="20" t="s">
        <v>1040</v>
      </c>
      <c r="D52" s="20" t="s">
        <v>3</v>
      </c>
      <c r="E52" s="20" t="s">
        <v>3</v>
      </c>
      <c r="F52" s="20" t="s">
        <v>1013</v>
      </c>
      <c r="G52" s="21"/>
      <c r="H52" s="21"/>
      <c r="I52" s="5"/>
      <c r="J52" s="5"/>
      <c r="K52" s="5"/>
      <c r="L52" s="5"/>
      <c r="M52" s="5"/>
      <c r="O52" s="52"/>
      <c r="P52" s="54"/>
      <c r="Q52" s="5"/>
      <c r="R52" s="5"/>
      <c r="S52" s="5"/>
      <c r="T52" s="5"/>
      <c r="U52" s="5"/>
      <c r="V52" s="5"/>
      <c r="W52" s="5"/>
      <c r="X52" s="5"/>
      <c r="Y52" s="52"/>
      <c r="Z52" s="53"/>
      <c r="AC52" s="53"/>
      <c r="AD52" s="52"/>
      <c r="AE52" s="53"/>
      <c r="AF52" s="53"/>
      <c r="AH52" s="5"/>
      <c r="AJ52" s="53"/>
      <c r="AM52" s="22">
        <f t="shared" si="8"/>
        <v>0</v>
      </c>
    </row>
    <row r="53" spans="1:39" ht="15.75" x14ac:dyDescent="0.25">
      <c r="A53" s="19" t="s">
        <v>55</v>
      </c>
      <c r="B53" s="38"/>
      <c r="C53" s="20" t="s">
        <v>134</v>
      </c>
      <c r="D53" s="20" t="s">
        <v>3</v>
      </c>
      <c r="E53" s="20" t="s">
        <v>3</v>
      </c>
      <c r="F53" s="20" t="s">
        <v>1013</v>
      </c>
      <c r="G53" s="21"/>
      <c r="H53" s="21"/>
      <c r="I53" s="5"/>
      <c r="J53" s="5"/>
      <c r="K53" s="5"/>
      <c r="L53" s="52"/>
      <c r="M53" s="5"/>
      <c r="O53" s="5"/>
      <c r="P53" s="54"/>
      <c r="Q53" s="52"/>
      <c r="R53" s="52"/>
      <c r="S53" s="52"/>
      <c r="T53" s="5"/>
      <c r="U53" s="5"/>
      <c r="V53" s="5"/>
      <c r="W53" s="52"/>
      <c r="X53" s="52"/>
      <c r="Y53" s="5"/>
      <c r="AA53" s="53"/>
      <c r="AD53" s="52"/>
      <c r="AE53" s="53"/>
      <c r="AF53" s="53"/>
      <c r="AH53" s="5"/>
      <c r="AM53" s="22">
        <f t="shared" si="8"/>
        <v>0</v>
      </c>
    </row>
    <row r="54" spans="1:39" ht="15.75" x14ac:dyDescent="0.25">
      <c r="A54" s="19" t="s">
        <v>55</v>
      </c>
      <c r="B54" s="38"/>
      <c r="C54" s="20" t="s">
        <v>315</v>
      </c>
      <c r="D54" s="20" t="s">
        <v>3</v>
      </c>
      <c r="E54" s="20" t="s">
        <v>3</v>
      </c>
      <c r="F54" s="20" t="s">
        <v>1013</v>
      </c>
      <c r="G54" s="21"/>
      <c r="H54" s="21"/>
      <c r="I54" s="5"/>
      <c r="J54" s="5"/>
      <c r="K54" s="5"/>
      <c r="L54" s="5"/>
      <c r="M54" s="5"/>
      <c r="O54" s="5"/>
      <c r="P54" s="54"/>
      <c r="Q54" s="52"/>
      <c r="R54" s="52"/>
      <c r="S54" s="5"/>
      <c r="T54" s="5"/>
      <c r="U54" s="5"/>
      <c r="V54" s="52"/>
      <c r="W54" s="52"/>
      <c r="X54" s="52"/>
      <c r="Y54" s="52"/>
      <c r="Z54" s="53"/>
      <c r="AA54" s="5"/>
      <c r="AC54" s="53"/>
      <c r="AD54" s="53"/>
      <c r="AE54" s="53"/>
      <c r="AF54" s="53"/>
      <c r="AG54" s="53"/>
      <c r="AH54" s="52"/>
      <c r="AJ54" s="53"/>
      <c r="AM54" s="22">
        <f t="shared" si="8"/>
        <v>0</v>
      </c>
    </row>
    <row r="55" spans="1:39" ht="15.75" x14ac:dyDescent="0.25">
      <c r="A55" s="19" t="s">
        <v>55</v>
      </c>
      <c r="B55" s="38"/>
      <c r="C55" s="20" t="s">
        <v>1041</v>
      </c>
      <c r="D55" s="20" t="s">
        <v>32</v>
      </c>
      <c r="E55" s="20" t="s">
        <v>1043</v>
      </c>
      <c r="F55" s="20" t="s">
        <v>1013</v>
      </c>
      <c r="G55" s="21"/>
      <c r="H55" s="21"/>
      <c r="I55" s="5"/>
      <c r="J55" s="5"/>
      <c r="K55" s="5"/>
      <c r="L55" s="5"/>
      <c r="M55" s="5"/>
      <c r="O55" s="5"/>
      <c r="P55" s="54"/>
      <c r="Q55" s="5"/>
      <c r="R55" s="5"/>
      <c r="S55" s="5"/>
      <c r="T55" s="5"/>
      <c r="U55" s="5"/>
      <c r="V55" s="5"/>
      <c r="W55" s="52"/>
      <c r="X55" s="52"/>
      <c r="Y55" s="52"/>
      <c r="AC55" s="53"/>
      <c r="AD55" s="52"/>
      <c r="AE55" s="53"/>
      <c r="AF55" s="53"/>
      <c r="AH55" s="5"/>
      <c r="AJ55" s="53"/>
      <c r="AK55" s="53" t="s">
        <v>914</v>
      </c>
      <c r="AL55" s="52" t="s">
        <v>875</v>
      </c>
      <c r="AM55" s="22">
        <f t="shared" si="8"/>
        <v>2</v>
      </c>
    </row>
    <row r="56" spans="1:39" ht="15.75" x14ac:dyDescent="0.25">
      <c r="A56" s="19" t="s">
        <v>55</v>
      </c>
      <c r="B56" s="38"/>
      <c r="C56" s="20" t="s">
        <v>1042</v>
      </c>
      <c r="D56" s="20" t="s">
        <v>32</v>
      </c>
      <c r="E56" s="20" t="s">
        <v>1043</v>
      </c>
      <c r="F56" s="20" t="s">
        <v>1013</v>
      </c>
      <c r="G56" s="21"/>
      <c r="H56" s="21"/>
      <c r="I56" s="5"/>
      <c r="J56" s="5"/>
      <c r="K56" s="5"/>
      <c r="L56" s="5"/>
      <c r="M56" s="5"/>
      <c r="O56" s="5"/>
      <c r="P56" s="54"/>
      <c r="Q56" s="5"/>
      <c r="R56" s="5"/>
      <c r="S56" s="5"/>
      <c r="T56" s="5"/>
      <c r="U56" s="5"/>
      <c r="V56" s="5"/>
      <c r="W56" s="52"/>
      <c r="X56" s="52"/>
      <c r="Y56" s="52"/>
      <c r="AC56" s="53"/>
      <c r="AD56" s="52"/>
      <c r="AF56" s="53"/>
      <c r="AH56" s="5"/>
      <c r="AJ56" s="53"/>
      <c r="AM56" s="22">
        <f t="shared" si="8"/>
        <v>0</v>
      </c>
    </row>
    <row r="57" spans="1:39" ht="15.75" x14ac:dyDescent="0.25">
      <c r="A57" s="19" t="s">
        <v>55</v>
      </c>
      <c r="B57" s="38"/>
      <c r="C57" s="20" t="s">
        <v>1045</v>
      </c>
      <c r="D57" s="20" t="s">
        <v>16</v>
      </c>
      <c r="E57" s="20" t="s">
        <v>16</v>
      </c>
      <c r="F57" s="20" t="s">
        <v>1013</v>
      </c>
      <c r="G57" s="21"/>
      <c r="H57" s="21"/>
      <c r="I57" s="5"/>
      <c r="J57" s="5"/>
      <c r="K57" s="5"/>
      <c r="L57" s="5"/>
      <c r="M57" s="5"/>
      <c r="O57" s="5"/>
      <c r="P57" s="54"/>
      <c r="Q57" s="5"/>
      <c r="R57" s="5"/>
      <c r="S57" s="5"/>
      <c r="T57" s="5"/>
      <c r="U57" s="5"/>
      <c r="V57" s="5"/>
      <c r="W57" s="52"/>
      <c r="X57" s="52"/>
      <c r="Y57" s="52"/>
      <c r="AC57" s="53"/>
      <c r="AD57" s="52"/>
      <c r="AE57" s="53"/>
      <c r="AF57" s="53"/>
      <c r="AH57" s="5"/>
      <c r="AJ57" s="53"/>
      <c r="AM57" s="22">
        <f t="shared" si="8"/>
        <v>0</v>
      </c>
    </row>
    <row r="58" spans="1:39" ht="15.75" x14ac:dyDescent="0.25">
      <c r="A58" s="19" t="s">
        <v>55</v>
      </c>
      <c r="B58" s="38"/>
      <c r="C58" s="20" t="s">
        <v>1045</v>
      </c>
      <c r="D58" s="20" t="s">
        <v>16</v>
      </c>
      <c r="E58" s="20" t="s">
        <v>16</v>
      </c>
      <c r="F58" s="20" t="s">
        <v>1013</v>
      </c>
      <c r="G58" s="21"/>
      <c r="H58" s="21"/>
      <c r="I58" s="5"/>
      <c r="J58" s="5"/>
      <c r="K58" s="5"/>
      <c r="L58" s="5"/>
      <c r="M58" s="5"/>
      <c r="O58" s="5"/>
      <c r="P58" s="54"/>
      <c r="Q58" s="5"/>
      <c r="R58" s="5"/>
      <c r="S58" s="5"/>
      <c r="T58" s="5"/>
      <c r="U58" s="5"/>
      <c r="V58" s="5"/>
      <c r="W58" s="52"/>
      <c r="X58" s="52"/>
      <c r="Y58" s="52"/>
      <c r="AC58" s="53"/>
      <c r="AD58" s="52"/>
      <c r="AE58" s="53"/>
      <c r="AF58" s="53"/>
      <c r="AH58" s="5"/>
      <c r="AJ58" s="53"/>
      <c r="AM58" s="22">
        <f t="shared" si="8"/>
        <v>0</v>
      </c>
    </row>
    <row r="59" spans="1:39" ht="15.75" x14ac:dyDescent="0.25">
      <c r="A59" s="19" t="s">
        <v>55</v>
      </c>
      <c r="B59" s="38"/>
      <c r="C59" s="20" t="s">
        <v>1050</v>
      </c>
      <c r="D59" s="20" t="s">
        <v>16</v>
      </c>
      <c r="E59" s="20" t="s">
        <v>16</v>
      </c>
      <c r="F59" s="20" t="s">
        <v>1013</v>
      </c>
      <c r="G59" s="21"/>
      <c r="H59" s="21"/>
      <c r="I59" s="5"/>
      <c r="J59" s="5"/>
      <c r="K59" s="5"/>
      <c r="L59" s="5"/>
      <c r="M59" s="5"/>
      <c r="O59" s="5"/>
      <c r="P59" s="54"/>
      <c r="Q59" s="5"/>
      <c r="R59" s="5"/>
      <c r="S59" s="5"/>
      <c r="T59" s="5"/>
      <c r="U59" s="5"/>
      <c r="V59" s="5"/>
      <c r="W59" s="52"/>
      <c r="X59" s="52"/>
      <c r="Y59" s="52"/>
      <c r="AC59" s="53"/>
      <c r="AD59" s="52" t="s">
        <v>1058</v>
      </c>
      <c r="AE59" s="52" t="s">
        <v>1058</v>
      </c>
      <c r="AF59" s="52" t="s">
        <v>1058</v>
      </c>
      <c r="AG59" s="52"/>
      <c r="AH59" s="52" t="s">
        <v>1058</v>
      </c>
      <c r="AJ59" s="52" t="s">
        <v>1058</v>
      </c>
      <c r="AM59" s="22">
        <f t="shared" si="8"/>
        <v>5</v>
      </c>
    </row>
    <row r="60" spans="1:39" ht="15.75" x14ac:dyDescent="0.25">
      <c r="A60" s="19" t="s">
        <v>55</v>
      </c>
      <c r="B60" s="38"/>
      <c r="C60" s="20" t="s">
        <v>1051</v>
      </c>
      <c r="D60" s="20" t="s">
        <v>16</v>
      </c>
      <c r="E60" s="20" t="s">
        <v>16</v>
      </c>
      <c r="F60" s="20" t="s">
        <v>1013</v>
      </c>
      <c r="G60" s="21"/>
      <c r="H60" s="21"/>
      <c r="I60" s="5"/>
      <c r="J60" s="5"/>
      <c r="K60" s="5"/>
      <c r="L60" s="5"/>
      <c r="M60" s="5"/>
      <c r="O60" s="5"/>
      <c r="P60" s="54"/>
      <c r="Q60" s="5"/>
      <c r="R60" s="5"/>
      <c r="S60" s="5"/>
      <c r="T60" s="5"/>
      <c r="U60" s="5"/>
      <c r="V60" s="5"/>
      <c r="W60" s="52"/>
      <c r="X60" s="52"/>
      <c r="Y60" s="52"/>
      <c r="AC60" s="53"/>
      <c r="AD60" s="52" t="s">
        <v>1058</v>
      </c>
      <c r="AE60" s="52" t="s">
        <v>1058</v>
      </c>
      <c r="AF60" s="52" t="s">
        <v>1058</v>
      </c>
      <c r="AG60" s="52"/>
      <c r="AH60" s="52" t="s">
        <v>1058</v>
      </c>
      <c r="AJ60" s="52" t="s">
        <v>1058</v>
      </c>
      <c r="AM60" s="22">
        <f t="shared" si="8"/>
        <v>5</v>
      </c>
    </row>
    <row r="61" spans="1:39" ht="15.75" x14ac:dyDescent="0.25">
      <c r="A61" s="19" t="s">
        <v>55</v>
      </c>
      <c r="B61" s="38"/>
      <c r="C61" s="20" t="s">
        <v>1052</v>
      </c>
      <c r="D61" s="20" t="s">
        <v>16</v>
      </c>
      <c r="E61" s="20" t="s">
        <v>16</v>
      </c>
      <c r="F61" s="20" t="s">
        <v>1013</v>
      </c>
      <c r="G61" s="21"/>
      <c r="H61" s="21"/>
      <c r="I61" s="5"/>
      <c r="J61" s="5"/>
      <c r="K61" s="5"/>
      <c r="L61" s="5"/>
      <c r="M61" s="5"/>
      <c r="O61" s="5"/>
      <c r="P61" s="54"/>
      <c r="Q61" s="5"/>
      <c r="R61" s="5"/>
      <c r="S61" s="5"/>
      <c r="T61" s="5"/>
      <c r="U61" s="5"/>
      <c r="V61" s="5"/>
      <c r="W61" s="5"/>
      <c r="X61" s="5"/>
      <c r="Y61" s="52"/>
      <c r="AC61" s="53"/>
      <c r="AD61" s="52" t="s">
        <v>1058</v>
      </c>
      <c r="AE61" s="52" t="s">
        <v>1058</v>
      </c>
      <c r="AF61" s="52" t="s">
        <v>1058</v>
      </c>
      <c r="AG61" s="52"/>
      <c r="AH61" s="52" t="s">
        <v>1058</v>
      </c>
      <c r="AJ61" s="52" t="s">
        <v>1058</v>
      </c>
      <c r="AK61" s="52" t="s">
        <v>1058</v>
      </c>
      <c r="AL61" s="52" t="s">
        <v>1058</v>
      </c>
      <c r="AM61" s="22">
        <f t="shared" si="8"/>
        <v>7</v>
      </c>
    </row>
    <row r="62" spans="1:39" ht="15.75" x14ac:dyDescent="0.25">
      <c r="A62" s="19" t="s">
        <v>55</v>
      </c>
      <c r="B62" s="38"/>
      <c r="C62" s="20" t="s">
        <v>1053</v>
      </c>
      <c r="D62" s="20" t="s">
        <v>16</v>
      </c>
      <c r="E62" s="20" t="s">
        <v>16</v>
      </c>
      <c r="F62" s="20" t="s">
        <v>1013</v>
      </c>
      <c r="G62" s="21"/>
      <c r="H62" s="21"/>
      <c r="I62" s="5"/>
      <c r="J62" s="5"/>
      <c r="K62" s="5"/>
      <c r="L62" s="5"/>
      <c r="M62" s="5"/>
      <c r="O62" s="5"/>
      <c r="P62" s="54"/>
      <c r="Q62" s="5"/>
      <c r="R62" s="5"/>
      <c r="S62" s="5"/>
      <c r="T62" s="5"/>
      <c r="U62" s="5"/>
      <c r="V62" s="5"/>
      <c r="W62" s="52"/>
      <c r="X62" s="52"/>
      <c r="Y62" s="52"/>
      <c r="AC62" s="53"/>
      <c r="AD62" s="52" t="s">
        <v>1058</v>
      </c>
      <c r="AE62" s="52" t="s">
        <v>1058</v>
      </c>
      <c r="AF62" s="52" t="s">
        <v>1058</v>
      </c>
      <c r="AG62" s="52"/>
      <c r="AH62" s="52" t="s">
        <v>1058</v>
      </c>
      <c r="AJ62" s="52" t="s">
        <v>1058</v>
      </c>
      <c r="AK62" s="52" t="s">
        <v>1058</v>
      </c>
      <c r="AL62" s="52" t="s">
        <v>1058</v>
      </c>
      <c r="AM62" s="22">
        <f t="shared" si="8"/>
        <v>7</v>
      </c>
    </row>
    <row r="63" spans="1:39" ht="15.75" x14ac:dyDescent="0.25">
      <c r="A63" s="19" t="s">
        <v>55</v>
      </c>
      <c r="B63" s="38"/>
      <c r="C63" s="20" t="s">
        <v>1054</v>
      </c>
      <c r="D63" s="20" t="s">
        <v>16</v>
      </c>
      <c r="E63" s="20" t="s">
        <v>16</v>
      </c>
      <c r="F63" s="20" t="s">
        <v>1013</v>
      </c>
      <c r="G63" s="21"/>
      <c r="H63" s="21"/>
      <c r="I63" s="5"/>
      <c r="J63" s="5"/>
      <c r="K63" s="5"/>
      <c r="L63" s="5"/>
      <c r="M63" s="5"/>
      <c r="O63" s="5"/>
      <c r="P63" s="54"/>
      <c r="Q63" s="5"/>
      <c r="R63" s="5"/>
      <c r="S63" s="5"/>
      <c r="T63" s="5"/>
      <c r="U63" s="5"/>
      <c r="V63" s="5"/>
      <c r="W63" s="52"/>
      <c r="X63" s="52"/>
      <c r="Y63" s="52"/>
      <c r="AC63" s="53"/>
      <c r="AD63" s="52" t="s">
        <v>1058</v>
      </c>
      <c r="AE63" s="52" t="s">
        <v>1058</v>
      </c>
      <c r="AF63" s="52" t="s">
        <v>1058</v>
      </c>
      <c r="AG63" s="52"/>
      <c r="AH63" s="52" t="s">
        <v>1058</v>
      </c>
      <c r="AJ63" s="52" t="s">
        <v>1058</v>
      </c>
      <c r="AK63" s="52" t="s">
        <v>1058</v>
      </c>
      <c r="AL63" s="52" t="s">
        <v>1058</v>
      </c>
      <c r="AM63" s="22">
        <f t="shared" si="8"/>
        <v>7</v>
      </c>
    </row>
    <row r="64" spans="1:39" ht="15.75" x14ac:dyDescent="0.25">
      <c r="A64" s="19" t="s">
        <v>55</v>
      </c>
      <c r="B64" s="38"/>
      <c r="C64" s="20" t="s">
        <v>1055</v>
      </c>
      <c r="D64" s="20" t="s">
        <v>16</v>
      </c>
      <c r="E64" s="20" t="s">
        <v>16</v>
      </c>
      <c r="F64" s="20" t="s">
        <v>1013</v>
      </c>
      <c r="G64" s="21"/>
      <c r="H64" s="21"/>
      <c r="I64" s="5"/>
      <c r="J64" s="5"/>
      <c r="K64" s="5"/>
      <c r="L64" s="5"/>
      <c r="M64" s="5"/>
      <c r="O64" s="5"/>
      <c r="P64" s="54"/>
      <c r="Q64" s="5"/>
      <c r="R64" s="5"/>
      <c r="S64" s="5"/>
      <c r="T64" s="5"/>
      <c r="U64" s="5"/>
      <c r="V64" s="5"/>
      <c r="W64" s="5"/>
      <c r="X64" s="52"/>
      <c r="Y64" s="52"/>
      <c r="AC64" s="53"/>
      <c r="AD64" s="52" t="s">
        <v>1058</v>
      </c>
      <c r="AE64" s="52" t="s">
        <v>1058</v>
      </c>
      <c r="AF64" s="52" t="s">
        <v>1058</v>
      </c>
      <c r="AG64" s="52"/>
      <c r="AH64" s="52" t="s">
        <v>1058</v>
      </c>
      <c r="AJ64" s="52" t="s">
        <v>1058</v>
      </c>
      <c r="AK64" s="52" t="s">
        <v>1058</v>
      </c>
      <c r="AL64" s="52" t="s">
        <v>1058</v>
      </c>
      <c r="AM64" s="22">
        <f t="shared" si="8"/>
        <v>7</v>
      </c>
    </row>
    <row r="65" spans="1:39" ht="15.75" x14ac:dyDescent="0.25">
      <c r="A65" s="19" t="s">
        <v>55</v>
      </c>
      <c r="B65" s="38"/>
      <c r="C65" s="20" t="s">
        <v>1056</v>
      </c>
      <c r="D65" s="20" t="s">
        <v>16</v>
      </c>
      <c r="E65" s="20" t="s">
        <v>16</v>
      </c>
      <c r="F65" s="20" t="s">
        <v>1013</v>
      </c>
      <c r="G65" s="21"/>
      <c r="H65" s="21"/>
      <c r="I65" s="5"/>
      <c r="J65" s="5"/>
      <c r="K65" s="5"/>
      <c r="L65" s="52"/>
      <c r="M65" s="5"/>
      <c r="O65" s="52"/>
      <c r="P65" s="54"/>
      <c r="Q65" s="5"/>
      <c r="R65" s="5"/>
      <c r="S65" s="5"/>
      <c r="T65" s="5"/>
      <c r="U65" s="5"/>
      <c r="V65" s="5"/>
      <c r="W65" s="5"/>
      <c r="X65" s="5"/>
      <c r="Y65" s="52"/>
      <c r="Z65" s="53"/>
      <c r="AC65" s="53"/>
      <c r="AD65" s="52"/>
      <c r="AE65" s="52"/>
      <c r="AF65" s="52"/>
      <c r="AG65" s="52"/>
      <c r="AH65" s="52"/>
      <c r="AJ65" s="52"/>
      <c r="AM65" s="22">
        <f t="shared" si="8"/>
        <v>0</v>
      </c>
    </row>
    <row r="66" spans="1:39" ht="15.75" x14ac:dyDescent="0.25">
      <c r="A66" s="19" t="s">
        <v>55</v>
      </c>
      <c r="B66" s="38"/>
      <c r="C66" s="20" t="s">
        <v>1057</v>
      </c>
      <c r="D66" s="20" t="s">
        <v>16</v>
      </c>
      <c r="E66" s="20" t="s">
        <v>16</v>
      </c>
      <c r="F66" s="20" t="s">
        <v>1013</v>
      </c>
      <c r="G66" s="21"/>
      <c r="H66" s="21"/>
      <c r="I66" s="5"/>
      <c r="J66" s="5"/>
      <c r="K66" s="5"/>
      <c r="L66" s="52"/>
      <c r="M66" s="5"/>
      <c r="O66" s="52"/>
      <c r="P66" s="54"/>
      <c r="Q66" s="52"/>
      <c r="R66" s="5"/>
      <c r="S66" s="5"/>
      <c r="T66" s="5"/>
      <c r="U66" s="5"/>
      <c r="V66" s="52"/>
      <c r="W66" s="52"/>
      <c r="X66" s="52"/>
      <c r="Y66" s="52"/>
      <c r="Z66" s="53"/>
      <c r="AA66" s="5"/>
      <c r="AC66" s="53"/>
      <c r="AD66" s="52" t="s">
        <v>1058</v>
      </c>
      <c r="AE66" s="52" t="s">
        <v>1058</v>
      </c>
      <c r="AF66" s="52" t="s">
        <v>1058</v>
      </c>
      <c r="AG66" s="52"/>
      <c r="AH66" s="52" t="s">
        <v>1058</v>
      </c>
      <c r="AI66" s="52" t="s">
        <v>1058</v>
      </c>
      <c r="AJ66" s="52" t="s">
        <v>1058</v>
      </c>
      <c r="AK66" s="52" t="s">
        <v>1058</v>
      </c>
      <c r="AL66" s="52" t="s">
        <v>1058</v>
      </c>
      <c r="AM66" s="22">
        <f t="shared" si="8"/>
        <v>8</v>
      </c>
    </row>
    <row r="67" spans="1:39" ht="15.75" x14ac:dyDescent="0.25">
      <c r="A67" s="19" t="s">
        <v>55</v>
      </c>
      <c r="B67" s="19"/>
      <c r="C67" s="20" t="s">
        <v>16</v>
      </c>
      <c r="D67" s="20" t="s">
        <v>16</v>
      </c>
      <c r="E67" s="20" t="s">
        <v>16</v>
      </c>
      <c r="F67" s="20" t="s">
        <v>1013</v>
      </c>
      <c r="G67" s="21"/>
      <c r="H67" s="21"/>
      <c r="I67" s="5"/>
      <c r="J67" s="5"/>
      <c r="K67" s="5"/>
      <c r="L67" s="5"/>
      <c r="M67" s="5"/>
      <c r="O67" s="5"/>
      <c r="P67" s="54"/>
      <c r="Q67" s="5"/>
      <c r="R67" s="5"/>
      <c r="S67" s="5"/>
      <c r="T67" s="5"/>
      <c r="U67" s="5"/>
      <c r="V67" s="5"/>
      <c r="W67" s="52"/>
      <c r="X67" s="52"/>
      <c r="Y67" s="52"/>
      <c r="AC67" s="53"/>
      <c r="AD67" s="52" t="s">
        <v>1058</v>
      </c>
      <c r="AE67" s="52" t="s">
        <v>1058</v>
      </c>
      <c r="AF67" s="52" t="s">
        <v>1058</v>
      </c>
      <c r="AG67" s="52"/>
      <c r="AH67" s="52" t="s">
        <v>1058</v>
      </c>
      <c r="AI67" s="52" t="s">
        <v>1058</v>
      </c>
      <c r="AJ67" s="52" t="s">
        <v>1058</v>
      </c>
      <c r="AK67" s="52" t="s">
        <v>1058</v>
      </c>
      <c r="AM67" s="22">
        <f t="shared" si="8"/>
        <v>7</v>
      </c>
    </row>
    <row r="68" spans="1:39" ht="15.75" x14ac:dyDescent="0.25">
      <c r="A68" s="19" t="s">
        <v>55</v>
      </c>
      <c r="B68" s="19"/>
      <c r="C68" s="20" t="s">
        <v>16</v>
      </c>
      <c r="D68" s="20" t="s">
        <v>16</v>
      </c>
      <c r="E68" s="20" t="s">
        <v>16</v>
      </c>
      <c r="F68" s="20" t="s">
        <v>1013</v>
      </c>
      <c r="G68" s="21"/>
      <c r="H68" s="21"/>
      <c r="I68" s="5"/>
      <c r="J68" s="5"/>
      <c r="K68" s="5"/>
      <c r="L68" s="5"/>
      <c r="M68" s="5"/>
      <c r="O68" s="5"/>
      <c r="P68" s="54"/>
      <c r="Q68" s="5"/>
      <c r="R68" s="5"/>
      <c r="S68" s="5"/>
      <c r="T68" s="5"/>
      <c r="U68" s="5"/>
      <c r="V68" s="5"/>
      <c r="W68" s="5"/>
      <c r="X68" s="52"/>
      <c r="Y68" s="52"/>
      <c r="Z68" s="53"/>
      <c r="AC68" s="53"/>
      <c r="AD68" s="52" t="s">
        <v>1058</v>
      </c>
      <c r="AE68" s="52" t="s">
        <v>1058</v>
      </c>
      <c r="AF68" s="52" t="s">
        <v>1058</v>
      </c>
      <c r="AG68" s="52"/>
      <c r="AH68" s="52" t="s">
        <v>1058</v>
      </c>
      <c r="AI68" s="52" t="s">
        <v>1058</v>
      </c>
      <c r="AJ68" s="52" t="s">
        <v>1058</v>
      </c>
      <c r="AK68" s="52" t="s">
        <v>1058</v>
      </c>
      <c r="AM68" s="22">
        <f t="shared" si="8"/>
        <v>7</v>
      </c>
    </row>
    <row r="69" spans="1:39" ht="15.75" x14ac:dyDescent="0.25">
      <c r="A69" s="19" t="s">
        <v>55</v>
      </c>
      <c r="B69" s="19"/>
      <c r="C69" s="20" t="s">
        <v>16</v>
      </c>
      <c r="D69" s="20" t="s">
        <v>16</v>
      </c>
      <c r="E69" s="20" t="s">
        <v>16</v>
      </c>
      <c r="F69" s="20" t="s">
        <v>1013</v>
      </c>
      <c r="G69" s="21"/>
      <c r="H69" s="21"/>
      <c r="I69" s="5"/>
      <c r="J69" s="5"/>
      <c r="K69" s="5"/>
      <c r="L69" s="5"/>
      <c r="M69" s="5"/>
      <c r="O69" s="5"/>
      <c r="P69" s="54"/>
      <c r="Q69" s="5"/>
      <c r="R69" s="5"/>
      <c r="S69" s="5"/>
      <c r="T69" s="5"/>
      <c r="U69" s="5"/>
      <c r="V69" s="5"/>
      <c r="W69" s="52"/>
      <c r="X69" s="52"/>
      <c r="Y69" s="52"/>
      <c r="AC69" s="53"/>
      <c r="AD69" s="52" t="s">
        <v>1058</v>
      </c>
      <c r="AE69" s="52" t="s">
        <v>1058</v>
      </c>
      <c r="AF69" s="52" t="s">
        <v>1058</v>
      </c>
      <c r="AG69" s="52"/>
      <c r="AH69" s="52" t="s">
        <v>1058</v>
      </c>
      <c r="AI69" s="52" t="s">
        <v>1058</v>
      </c>
      <c r="AJ69" s="52" t="s">
        <v>1058</v>
      </c>
      <c r="AK69" s="52" t="s">
        <v>1058</v>
      </c>
      <c r="AM69" s="22">
        <f t="shared" si="8"/>
        <v>7</v>
      </c>
    </row>
    <row r="70" spans="1:39" ht="15.75" x14ac:dyDescent="0.25">
      <c r="A70" s="19" t="s">
        <v>55</v>
      </c>
      <c r="B70" s="19"/>
      <c r="C70" s="20"/>
      <c r="D70" s="20"/>
      <c r="E70" s="20"/>
      <c r="F70" s="19"/>
      <c r="G70" s="21"/>
      <c r="H70" s="21"/>
      <c r="I70" s="5"/>
      <c r="J70" s="5"/>
      <c r="K70" s="5"/>
      <c r="L70" s="5"/>
      <c r="M70" s="5"/>
      <c r="O70" s="5"/>
      <c r="P70" s="54"/>
      <c r="Q70" s="5"/>
      <c r="R70" s="5"/>
      <c r="S70" s="5"/>
      <c r="T70" s="5"/>
      <c r="U70" s="5"/>
      <c r="V70" s="5"/>
      <c r="W70" s="52"/>
      <c r="X70" s="52"/>
      <c r="Y70" s="52"/>
      <c r="AC70" s="53"/>
      <c r="AD70" s="52"/>
      <c r="AE70" s="53"/>
      <c r="AF70" s="53"/>
      <c r="AH70" s="5"/>
      <c r="AJ70" s="53"/>
      <c r="AM70" s="22">
        <f t="shared" si="8"/>
        <v>0</v>
      </c>
    </row>
    <row r="71" spans="1:39" ht="15.75" x14ac:dyDescent="0.25">
      <c r="A71" s="19" t="s">
        <v>55</v>
      </c>
      <c r="B71" s="19"/>
      <c r="C71" s="20"/>
      <c r="D71" s="20"/>
      <c r="E71" s="20"/>
      <c r="F71" s="19"/>
      <c r="G71" s="21"/>
      <c r="H71" s="21"/>
      <c r="I71" s="5"/>
      <c r="J71" s="5"/>
      <c r="K71" s="5"/>
      <c r="L71" s="5"/>
      <c r="M71" s="5"/>
      <c r="O71" s="5"/>
      <c r="P71" s="54"/>
      <c r="Q71" s="5"/>
      <c r="R71" s="5"/>
      <c r="S71" s="5"/>
      <c r="T71" s="5"/>
      <c r="U71" s="5"/>
      <c r="V71" s="5"/>
      <c r="W71" s="52"/>
      <c r="X71" s="52"/>
      <c r="Y71" s="52"/>
      <c r="AC71" s="53"/>
      <c r="AD71" s="52"/>
      <c r="AE71" s="53"/>
      <c r="AF71" s="53"/>
      <c r="AH71" s="5"/>
      <c r="AJ71" s="53"/>
      <c r="AM71" s="22">
        <f t="shared" si="8"/>
        <v>0</v>
      </c>
    </row>
    <row r="72" spans="1:39" ht="15.75" x14ac:dyDescent="0.25">
      <c r="A72" s="19" t="s">
        <v>55</v>
      </c>
      <c r="B72" s="19"/>
      <c r="C72" s="20"/>
      <c r="D72" s="20"/>
      <c r="E72" s="20"/>
      <c r="F72" s="19"/>
      <c r="G72" s="21"/>
      <c r="H72" s="21"/>
      <c r="I72" s="5"/>
      <c r="J72" s="5"/>
      <c r="K72" s="5"/>
      <c r="L72" s="5"/>
      <c r="M72" s="5"/>
      <c r="O72" s="5"/>
      <c r="P72" s="54"/>
      <c r="Q72" s="5"/>
      <c r="R72" s="5"/>
      <c r="S72" s="5"/>
      <c r="T72" s="5"/>
      <c r="U72" s="5"/>
      <c r="V72" s="5"/>
      <c r="W72" s="52"/>
      <c r="X72" s="52"/>
      <c r="Y72" s="52"/>
      <c r="AC72" s="53"/>
      <c r="AD72" s="52"/>
      <c r="AE72" s="53"/>
      <c r="AF72" s="53"/>
      <c r="AH72" s="5"/>
      <c r="AJ72" s="53"/>
      <c r="AM72" s="22">
        <f t="shared" si="8"/>
        <v>0</v>
      </c>
    </row>
    <row r="73" spans="1:39" ht="15.75" x14ac:dyDescent="0.25">
      <c r="A73" s="19" t="s">
        <v>55</v>
      </c>
      <c r="B73" s="19"/>
      <c r="C73" s="20"/>
      <c r="D73" s="20"/>
      <c r="E73" s="20"/>
      <c r="F73" s="19"/>
      <c r="G73" s="21"/>
      <c r="H73" s="21"/>
      <c r="I73" s="5"/>
      <c r="J73" s="5"/>
      <c r="K73" s="5"/>
      <c r="L73" s="5"/>
      <c r="M73" s="5"/>
      <c r="O73" s="5"/>
      <c r="P73" s="54"/>
      <c r="Q73" s="52"/>
      <c r="R73" s="52"/>
      <c r="S73" s="52"/>
      <c r="T73" s="5"/>
      <c r="U73" s="5"/>
      <c r="V73" s="5"/>
      <c r="W73" s="52"/>
      <c r="X73" s="52"/>
      <c r="Y73" s="52"/>
      <c r="AC73" s="53"/>
      <c r="AD73" s="52"/>
      <c r="AH73" s="5"/>
      <c r="AM73" s="22">
        <f t="shared" si="8"/>
        <v>0</v>
      </c>
    </row>
    <row r="74" spans="1:39" ht="15.75" x14ac:dyDescent="0.25">
      <c r="A74" s="19" t="s">
        <v>55</v>
      </c>
      <c r="B74" s="19"/>
      <c r="C74" s="20"/>
      <c r="D74" s="20"/>
      <c r="E74" s="20"/>
      <c r="F74" s="19"/>
      <c r="G74" s="21"/>
      <c r="H74" s="21"/>
      <c r="I74" s="5"/>
      <c r="J74" s="5"/>
      <c r="K74" s="5"/>
      <c r="L74" s="52"/>
      <c r="M74" s="5"/>
      <c r="O74" s="52"/>
      <c r="P74" s="54"/>
      <c r="Q74" s="52"/>
      <c r="R74" s="52"/>
      <c r="S74" s="52"/>
      <c r="T74" s="5"/>
      <c r="U74" s="5"/>
      <c r="V74" s="52"/>
      <c r="W74" s="52"/>
      <c r="X74" s="52"/>
      <c r="Y74" s="52"/>
      <c r="Z74" s="53"/>
      <c r="AC74" s="53"/>
      <c r="AD74" s="52"/>
      <c r="AE74" s="53"/>
      <c r="AF74" s="53"/>
      <c r="AH74" s="5"/>
      <c r="AM74" s="22">
        <f t="shared" si="8"/>
        <v>0</v>
      </c>
    </row>
    <row r="75" spans="1:39" ht="15.75" x14ac:dyDescent="0.25">
      <c r="A75" s="19" t="s">
        <v>55</v>
      </c>
      <c r="B75" s="19"/>
      <c r="C75" s="20"/>
      <c r="D75" s="20"/>
      <c r="E75" s="20"/>
      <c r="F75" s="19"/>
      <c r="G75" s="21"/>
      <c r="H75" s="21"/>
      <c r="I75" s="5"/>
      <c r="J75" s="5"/>
      <c r="K75" s="5"/>
      <c r="L75" s="52"/>
      <c r="M75" s="5"/>
      <c r="O75" s="52"/>
      <c r="P75" s="54"/>
      <c r="Q75" s="52"/>
      <c r="R75" s="52"/>
      <c r="S75" s="5"/>
      <c r="T75" s="5"/>
      <c r="U75" s="5"/>
      <c r="V75" s="52"/>
      <c r="W75" s="52"/>
      <c r="X75" s="52"/>
      <c r="Y75" s="5"/>
      <c r="AC75" s="53"/>
      <c r="AD75" s="52"/>
      <c r="AE75" s="53"/>
      <c r="AH75" s="5"/>
      <c r="AM75" s="22">
        <f t="shared" si="8"/>
        <v>0</v>
      </c>
    </row>
    <row r="76" spans="1:39" ht="15.75" x14ac:dyDescent="0.25">
      <c r="A76" s="19" t="s">
        <v>55</v>
      </c>
      <c r="B76" s="19"/>
      <c r="C76" s="20"/>
      <c r="D76" s="20"/>
      <c r="E76" s="20"/>
      <c r="F76" s="19"/>
      <c r="G76" s="21"/>
      <c r="H76" s="21"/>
      <c r="I76" s="5"/>
      <c r="J76" s="5"/>
      <c r="K76" s="5"/>
      <c r="L76" s="52"/>
      <c r="M76" s="5"/>
      <c r="O76" s="52"/>
      <c r="P76" s="54"/>
      <c r="Q76" s="5"/>
      <c r="R76" s="5"/>
      <c r="S76" s="5"/>
      <c r="T76" s="5"/>
      <c r="U76" s="5"/>
      <c r="V76" s="5"/>
      <c r="W76" s="5"/>
      <c r="X76" s="5"/>
      <c r="Y76" s="5"/>
      <c r="Z76" s="53"/>
      <c r="AC76" s="53"/>
      <c r="AD76" s="52"/>
      <c r="AE76" s="53"/>
      <c r="AF76" s="53"/>
      <c r="AH76" s="5"/>
      <c r="AJ76" s="53"/>
      <c r="AM76" s="22">
        <f t="shared" si="8"/>
        <v>0</v>
      </c>
    </row>
    <row r="77" spans="1:39" ht="15.75" x14ac:dyDescent="0.25">
      <c r="A77" s="19" t="s">
        <v>55</v>
      </c>
      <c r="B77" s="19"/>
      <c r="C77" s="20"/>
      <c r="D77" s="20"/>
      <c r="E77" s="20"/>
      <c r="F77" s="19"/>
      <c r="G77" s="21"/>
      <c r="H77" s="21"/>
      <c r="I77" s="5"/>
      <c r="J77" s="5"/>
      <c r="K77" s="5"/>
      <c r="L77" s="5"/>
      <c r="M77" s="5"/>
      <c r="O77" s="5"/>
      <c r="P77" s="54"/>
      <c r="Q77" s="5"/>
      <c r="R77" s="5"/>
      <c r="S77" s="5"/>
      <c r="T77" s="5"/>
      <c r="U77" s="5"/>
      <c r="V77" s="5"/>
      <c r="W77" s="5"/>
      <c r="X77" s="52"/>
      <c r="Y77" s="52"/>
      <c r="AC77" s="53"/>
      <c r="AD77" s="52"/>
      <c r="AF77" s="53"/>
      <c r="AH77" s="5"/>
      <c r="AJ77" s="53"/>
      <c r="AM77" s="22">
        <f t="shared" si="8"/>
        <v>0</v>
      </c>
    </row>
    <row r="78" spans="1:39" ht="15.75" x14ac:dyDescent="0.25">
      <c r="A78" s="19" t="s">
        <v>55</v>
      </c>
      <c r="B78" s="19"/>
      <c r="C78" s="20"/>
      <c r="D78" s="20"/>
      <c r="E78" s="20"/>
      <c r="F78" s="19"/>
      <c r="G78" s="21"/>
      <c r="H78" s="21"/>
      <c r="I78" s="5"/>
      <c r="J78" s="5"/>
      <c r="K78" s="5"/>
      <c r="L78" s="5"/>
      <c r="M78" s="5"/>
      <c r="O78" s="5"/>
      <c r="P78" s="54"/>
      <c r="Q78" s="5"/>
      <c r="R78" s="5"/>
      <c r="S78" s="5"/>
      <c r="T78" s="5"/>
      <c r="U78" s="5"/>
      <c r="V78" s="5"/>
      <c r="W78" s="52"/>
      <c r="X78" s="52"/>
      <c r="Y78" s="52"/>
      <c r="AD78" s="52"/>
      <c r="AE78" s="53"/>
      <c r="AF78" s="53"/>
      <c r="AH78" s="5"/>
      <c r="AJ78" s="53"/>
      <c r="AM78" s="22">
        <f t="shared" si="8"/>
        <v>0</v>
      </c>
    </row>
    <row r="79" spans="1:39" ht="15.75" x14ac:dyDescent="0.25">
      <c r="A79" s="19" t="s">
        <v>55</v>
      </c>
      <c r="B79" s="19"/>
      <c r="C79" s="20"/>
      <c r="D79" s="20"/>
      <c r="E79" s="20"/>
      <c r="F79" s="19"/>
      <c r="G79" s="21"/>
      <c r="H79" s="21"/>
      <c r="I79" s="5"/>
      <c r="J79" s="5"/>
      <c r="K79" s="5"/>
      <c r="L79" s="5"/>
      <c r="M79" s="5"/>
      <c r="O79" s="5"/>
      <c r="P79" s="54"/>
      <c r="Q79" s="52"/>
      <c r="R79" s="52"/>
      <c r="S79" s="52"/>
      <c r="T79" s="5"/>
      <c r="U79" s="5"/>
      <c r="V79" s="5"/>
      <c r="W79" s="52"/>
      <c r="X79" s="5"/>
      <c r="Y79" s="52"/>
      <c r="AC79" s="53"/>
      <c r="AD79" s="52"/>
      <c r="AE79" s="53"/>
      <c r="AG79" s="53"/>
      <c r="AH79" s="5"/>
      <c r="AM79" s="22">
        <f t="shared" si="8"/>
        <v>0</v>
      </c>
    </row>
    <row r="80" spans="1:39" ht="15.75" x14ac:dyDescent="0.25">
      <c r="A80" s="19" t="s">
        <v>55</v>
      </c>
      <c r="B80" s="19"/>
      <c r="C80" s="20"/>
      <c r="D80" s="20"/>
      <c r="E80" s="20"/>
      <c r="F80" s="19"/>
      <c r="G80" s="21"/>
      <c r="H80" s="21"/>
      <c r="I80" s="5"/>
      <c r="J80" s="5"/>
      <c r="K80" s="5"/>
      <c r="L80" s="52"/>
      <c r="M80" s="5"/>
      <c r="O80" s="5"/>
      <c r="P80" s="54"/>
      <c r="Q80" s="5"/>
      <c r="R80" s="52"/>
      <c r="S80" s="5"/>
      <c r="T80" s="5"/>
      <c r="U80" s="5"/>
      <c r="V80" s="52"/>
      <c r="W80" s="5"/>
      <c r="X80" s="52"/>
      <c r="Y80" s="5"/>
      <c r="AC80" s="53"/>
      <c r="AH80" s="5"/>
      <c r="AM80" s="22">
        <f t="shared" si="8"/>
        <v>0</v>
      </c>
    </row>
    <row r="81" spans="1:39" ht="15.75" x14ac:dyDescent="0.25">
      <c r="A81" s="19" t="s">
        <v>55</v>
      </c>
      <c r="B81" s="19"/>
      <c r="C81" s="20"/>
      <c r="D81" s="20"/>
      <c r="E81" s="20"/>
      <c r="F81" s="19"/>
      <c r="G81" s="21"/>
      <c r="H81" s="21"/>
      <c r="I81" s="5"/>
      <c r="J81" s="5"/>
      <c r="K81" s="5"/>
      <c r="L81" s="52"/>
      <c r="M81" s="5"/>
      <c r="O81" s="5"/>
      <c r="P81" s="54"/>
      <c r="Q81" s="5"/>
      <c r="R81" s="5"/>
      <c r="S81" s="5"/>
      <c r="T81" s="5"/>
      <c r="U81" s="5"/>
      <c r="V81" s="5"/>
      <c r="W81" s="5"/>
      <c r="X81" s="52"/>
      <c r="Y81" s="5"/>
      <c r="AC81" s="53"/>
      <c r="AF81" s="53"/>
      <c r="AH81" s="5"/>
      <c r="AJ81" s="53"/>
      <c r="AM81" s="22">
        <f t="shared" si="8"/>
        <v>0</v>
      </c>
    </row>
    <row r="82" spans="1:39" ht="15.75" x14ac:dyDescent="0.25">
      <c r="A82" s="19" t="s">
        <v>55</v>
      </c>
      <c r="B82" s="19"/>
      <c r="C82" s="20"/>
      <c r="D82" s="20"/>
      <c r="E82" s="20"/>
      <c r="F82" s="19"/>
      <c r="G82" s="21"/>
      <c r="H82" s="21"/>
      <c r="I82" s="5"/>
      <c r="J82" s="5"/>
      <c r="K82" s="5"/>
      <c r="L82" s="5"/>
      <c r="M82" s="5"/>
      <c r="O82" s="5"/>
      <c r="P82" s="54"/>
      <c r="Q82" s="5"/>
      <c r="R82" s="5"/>
      <c r="S82" s="5"/>
      <c r="T82" s="5"/>
      <c r="U82" s="5"/>
      <c r="V82" s="5"/>
      <c r="W82" s="52"/>
      <c r="X82" s="52"/>
      <c r="Y82" s="52"/>
      <c r="AD82" s="52"/>
      <c r="AE82" s="53"/>
      <c r="AF82" s="53"/>
      <c r="AH82" s="5"/>
      <c r="AJ82" s="53"/>
      <c r="AM82" s="22">
        <f t="shared" ref="AM82:AM145" si="9">COUNTA(I82:AL82)</f>
        <v>0</v>
      </c>
    </row>
    <row r="83" spans="1:39" ht="15.75" x14ac:dyDescent="0.25">
      <c r="A83" s="19" t="s">
        <v>55</v>
      </c>
      <c r="B83" s="19"/>
      <c r="C83" s="20"/>
      <c r="D83" s="20"/>
      <c r="E83" s="20"/>
      <c r="F83" s="19"/>
      <c r="G83" s="21"/>
      <c r="H83" s="21"/>
      <c r="I83" s="5"/>
      <c r="J83" s="5"/>
      <c r="K83" s="5"/>
      <c r="L83" s="52"/>
      <c r="M83" s="5"/>
      <c r="O83" s="52"/>
      <c r="P83" s="54"/>
      <c r="Q83" s="52"/>
      <c r="R83" s="52"/>
      <c r="S83" s="52"/>
      <c r="T83" s="5"/>
      <c r="U83" s="5"/>
      <c r="V83" s="52"/>
      <c r="W83" s="52"/>
      <c r="X83" s="5"/>
      <c r="Y83" s="52"/>
      <c r="Z83" s="53"/>
      <c r="AA83" s="5"/>
      <c r="AD83" s="52"/>
      <c r="AE83" s="53"/>
      <c r="AF83" s="53"/>
      <c r="AG83" s="52"/>
      <c r="AH83" s="5"/>
      <c r="AJ83" s="53"/>
      <c r="AM83" s="22">
        <f t="shared" si="9"/>
        <v>0</v>
      </c>
    </row>
    <row r="84" spans="1:39" ht="15.75" x14ac:dyDescent="0.25">
      <c r="A84" s="19" t="s">
        <v>55</v>
      </c>
      <c r="B84" s="19"/>
      <c r="C84" s="20"/>
      <c r="D84" s="20"/>
      <c r="E84" s="20"/>
      <c r="F84" s="19"/>
      <c r="G84" s="21"/>
      <c r="H84" s="21"/>
      <c r="I84" s="5"/>
      <c r="J84" s="5"/>
      <c r="K84" s="5"/>
      <c r="L84" s="52"/>
      <c r="M84" s="5"/>
      <c r="O84" s="52"/>
      <c r="P84" s="54"/>
      <c r="Q84" s="52"/>
      <c r="R84" s="52"/>
      <c r="S84" s="52"/>
      <c r="T84" s="5"/>
      <c r="U84" s="5"/>
      <c r="V84" s="5"/>
      <c r="W84" s="52"/>
      <c r="X84" s="52"/>
      <c r="Y84" s="52"/>
      <c r="Z84" s="53"/>
      <c r="AA84" s="5"/>
      <c r="AC84" s="53"/>
      <c r="AD84" s="52"/>
      <c r="AE84" s="53"/>
      <c r="AF84" s="53"/>
      <c r="AG84" s="52"/>
      <c r="AH84" s="5"/>
      <c r="AJ84" s="53"/>
      <c r="AM84" s="22">
        <f t="shared" si="9"/>
        <v>0</v>
      </c>
    </row>
    <row r="85" spans="1:39" ht="15.75" x14ac:dyDescent="0.25">
      <c r="A85" s="19" t="s">
        <v>55</v>
      </c>
      <c r="B85" s="19"/>
      <c r="C85" s="20"/>
      <c r="D85" s="20"/>
      <c r="E85" s="20"/>
      <c r="F85" s="19"/>
      <c r="G85" s="21"/>
      <c r="H85" s="21"/>
      <c r="I85" s="5"/>
      <c r="J85" s="5"/>
      <c r="K85" s="5"/>
      <c r="L85" s="5"/>
      <c r="M85" s="5"/>
      <c r="O85" s="5"/>
      <c r="P85" s="54"/>
      <c r="Q85" s="5"/>
      <c r="R85" s="5"/>
      <c r="S85" s="5"/>
      <c r="T85" s="5"/>
      <c r="U85" s="5"/>
      <c r="V85" s="5"/>
      <c r="W85" s="52"/>
      <c r="X85" s="52"/>
      <c r="Y85" s="52"/>
      <c r="AC85" s="53"/>
      <c r="AD85" s="52"/>
      <c r="AE85" s="53"/>
      <c r="AF85" s="53"/>
      <c r="AH85" s="5"/>
      <c r="AJ85" s="53"/>
      <c r="AM85" s="22">
        <f t="shared" si="9"/>
        <v>0</v>
      </c>
    </row>
    <row r="86" spans="1:39" ht="15.75" x14ac:dyDescent="0.25">
      <c r="A86" s="19" t="s">
        <v>55</v>
      </c>
      <c r="B86" s="19"/>
      <c r="C86" s="20"/>
      <c r="D86" s="20"/>
      <c r="E86" s="20"/>
      <c r="F86" s="19"/>
      <c r="G86" s="21"/>
      <c r="H86" s="21"/>
      <c r="I86" s="5"/>
      <c r="J86" s="5"/>
      <c r="K86" s="5"/>
      <c r="L86" s="5"/>
      <c r="M86" s="5"/>
      <c r="O86" s="52"/>
      <c r="P86" s="54"/>
      <c r="Q86" s="5"/>
      <c r="R86" s="5"/>
      <c r="S86" s="5"/>
      <c r="T86" s="5"/>
      <c r="U86" s="5"/>
      <c r="V86" s="5"/>
      <c r="W86" s="5"/>
      <c r="X86" s="5"/>
      <c r="Y86" s="5"/>
      <c r="AA86" s="5"/>
      <c r="AC86" s="53"/>
      <c r="AD86" s="5"/>
      <c r="AE86" s="53"/>
      <c r="AH86" s="5"/>
      <c r="AJ86" s="53"/>
      <c r="AM86" s="22">
        <f t="shared" si="9"/>
        <v>0</v>
      </c>
    </row>
    <row r="87" spans="1:39" ht="15.75" x14ac:dyDescent="0.25">
      <c r="A87" s="19" t="s">
        <v>55</v>
      </c>
      <c r="B87" s="19"/>
      <c r="C87" s="20"/>
      <c r="D87" s="20"/>
      <c r="E87" s="20"/>
      <c r="F87" s="19"/>
      <c r="G87" s="21"/>
      <c r="H87" s="21"/>
      <c r="I87" s="5"/>
      <c r="J87" s="5"/>
      <c r="K87" s="5"/>
      <c r="L87" s="52"/>
      <c r="M87" s="52"/>
      <c r="O87" s="52"/>
      <c r="P87" s="54"/>
      <c r="Q87" s="53"/>
      <c r="R87" s="52"/>
      <c r="S87" s="52"/>
      <c r="T87" s="52"/>
      <c r="U87" s="5"/>
      <c r="V87" s="52"/>
      <c r="W87" s="52"/>
      <c r="X87" s="52"/>
      <c r="Y87" s="52"/>
      <c r="Z87" s="53"/>
      <c r="AA87" s="53"/>
      <c r="AD87" s="52"/>
      <c r="AE87" s="53"/>
      <c r="AF87" s="53"/>
      <c r="AG87" s="52"/>
      <c r="AH87" s="52"/>
      <c r="AJ87" s="53"/>
      <c r="AM87" s="22">
        <f t="shared" si="9"/>
        <v>0</v>
      </c>
    </row>
    <row r="88" spans="1:39" ht="15.75" x14ac:dyDescent="0.25">
      <c r="A88" s="19" t="s">
        <v>55</v>
      </c>
      <c r="B88" s="19"/>
      <c r="C88" s="20"/>
      <c r="D88" s="20"/>
      <c r="E88" s="20"/>
      <c r="F88" s="19"/>
      <c r="G88" s="21"/>
      <c r="H88" s="21"/>
      <c r="I88" s="5"/>
      <c r="J88" s="5"/>
      <c r="K88" s="5"/>
      <c r="L88" s="5"/>
      <c r="M88" s="52"/>
      <c r="N88" s="5"/>
      <c r="O88" s="52"/>
      <c r="P88" s="54"/>
      <c r="Q88" s="52"/>
      <c r="R88" s="52"/>
      <c r="S88" s="52"/>
      <c r="T88" s="52"/>
      <c r="U88" s="5"/>
      <c r="V88" s="52"/>
      <c r="W88" s="52"/>
      <c r="X88" s="52"/>
      <c r="Y88" s="52"/>
      <c r="Z88" s="53"/>
      <c r="AA88" s="53"/>
      <c r="AD88" s="5"/>
      <c r="AG88" s="5"/>
      <c r="AH88" s="5"/>
      <c r="AM88" s="22">
        <f t="shared" si="9"/>
        <v>0</v>
      </c>
    </row>
    <row r="89" spans="1:39" ht="15.75" x14ac:dyDescent="0.25">
      <c r="A89" s="19" t="s">
        <v>55</v>
      </c>
      <c r="B89" s="19"/>
      <c r="C89" s="20"/>
      <c r="D89" s="20"/>
      <c r="E89" s="20"/>
      <c r="F89" s="19"/>
      <c r="G89" s="21"/>
      <c r="H89" s="21"/>
      <c r="I89" s="5"/>
      <c r="J89" s="5"/>
      <c r="K89" s="5"/>
      <c r="L89" s="5"/>
      <c r="M89" s="5"/>
      <c r="O89" s="5"/>
      <c r="P89" s="54"/>
      <c r="Q89" s="5"/>
      <c r="R89" s="5"/>
      <c r="S89" s="5"/>
      <c r="T89" s="5"/>
      <c r="U89" s="5"/>
      <c r="V89" s="5"/>
      <c r="W89" s="52"/>
      <c r="X89" s="5"/>
      <c r="Y89" s="52"/>
      <c r="AG89" s="5"/>
      <c r="AH89" s="5"/>
      <c r="AM89" s="22">
        <f t="shared" si="9"/>
        <v>0</v>
      </c>
    </row>
    <row r="90" spans="1:39" ht="15.75" x14ac:dyDescent="0.25">
      <c r="A90" s="19" t="s">
        <v>55</v>
      </c>
      <c r="B90" s="19"/>
      <c r="C90" s="20"/>
      <c r="D90" s="20"/>
      <c r="E90" s="20"/>
      <c r="F90" s="19"/>
      <c r="G90" s="21"/>
      <c r="H90" s="21"/>
      <c r="I90" s="5"/>
      <c r="J90" s="5"/>
      <c r="K90" s="5"/>
      <c r="L90" s="52"/>
      <c r="M90" s="52"/>
      <c r="N90" s="5"/>
      <c r="O90" s="52"/>
      <c r="P90" s="54"/>
      <c r="Q90" s="53"/>
      <c r="R90" s="52"/>
      <c r="S90" s="52"/>
      <c r="T90" s="52"/>
      <c r="U90" s="5"/>
      <c r="V90" s="52"/>
      <c r="W90" s="52"/>
      <c r="X90" s="52"/>
      <c r="Y90" s="52"/>
      <c r="Z90" s="53"/>
      <c r="AA90" s="53"/>
      <c r="AB90" s="5"/>
      <c r="AD90" s="52"/>
      <c r="AE90" s="53"/>
      <c r="AF90" s="53"/>
      <c r="AG90" s="52"/>
      <c r="AH90" s="52"/>
      <c r="AJ90" s="53"/>
      <c r="AM90" s="22">
        <f t="shared" si="9"/>
        <v>0</v>
      </c>
    </row>
    <row r="91" spans="1:39" ht="15.75" x14ac:dyDescent="0.25">
      <c r="A91" s="19" t="s">
        <v>55</v>
      </c>
      <c r="B91" s="19"/>
      <c r="C91" s="20"/>
      <c r="D91" s="20"/>
      <c r="E91" s="20"/>
      <c r="F91" s="19"/>
      <c r="G91" s="21"/>
      <c r="H91" s="21"/>
      <c r="I91" s="5"/>
      <c r="J91" s="5"/>
      <c r="K91" s="5"/>
      <c r="L91" s="52"/>
      <c r="M91" s="52"/>
      <c r="O91" s="52"/>
      <c r="P91" s="54"/>
      <c r="Q91" s="53"/>
      <c r="R91" s="52"/>
      <c r="S91" s="52"/>
      <c r="T91" s="52"/>
      <c r="U91" s="5"/>
      <c r="V91" s="52"/>
      <c r="W91" s="52"/>
      <c r="X91" s="52"/>
      <c r="Y91" s="52"/>
      <c r="Z91" s="53"/>
      <c r="AA91" s="53"/>
      <c r="AD91" s="52"/>
      <c r="AE91" s="53"/>
      <c r="AF91" s="53"/>
      <c r="AG91" s="52"/>
      <c r="AH91" s="52"/>
      <c r="AJ91" s="53"/>
      <c r="AM91" s="22">
        <f t="shared" si="9"/>
        <v>0</v>
      </c>
    </row>
    <row r="92" spans="1:39" ht="15.75" x14ac:dyDescent="0.25">
      <c r="A92" s="19" t="s">
        <v>55</v>
      </c>
      <c r="B92" s="19"/>
      <c r="C92" s="20"/>
      <c r="D92" s="20"/>
      <c r="E92" s="20"/>
      <c r="F92" s="19"/>
      <c r="G92" s="21"/>
      <c r="H92" s="21"/>
      <c r="I92" s="5"/>
      <c r="J92" s="5"/>
      <c r="K92" s="5"/>
      <c r="L92" s="52"/>
      <c r="M92" s="5"/>
      <c r="O92" s="52"/>
      <c r="P92" s="54"/>
      <c r="Q92" s="53"/>
      <c r="R92" s="52"/>
      <c r="S92" s="52"/>
      <c r="T92" s="52"/>
      <c r="U92" s="5"/>
      <c r="V92" s="52"/>
      <c r="W92" s="52"/>
      <c r="X92" s="52"/>
      <c r="Y92" s="52"/>
      <c r="Z92" s="52"/>
      <c r="AA92" s="52"/>
      <c r="AB92" s="5"/>
      <c r="AC92" s="53"/>
      <c r="AD92" s="53"/>
      <c r="AE92" s="53"/>
      <c r="AF92" s="53"/>
      <c r="AH92" s="5"/>
      <c r="AJ92" s="53"/>
      <c r="AM92" s="22">
        <f t="shared" si="9"/>
        <v>0</v>
      </c>
    </row>
    <row r="93" spans="1:39" ht="15.75" x14ac:dyDescent="0.25">
      <c r="A93" s="19" t="s">
        <v>55</v>
      </c>
      <c r="B93" s="19"/>
      <c r="C93" s="20"/>
      <c r="D93" s="20"/>
      <c r="E93" s="20"/>
      <c r="F93" s="19"/>
      <c r="G93" s="21"/>
      <c r="H93" s="21"/>
      <c r="I93" s="5"/>
      <c r="J93" s="5"/>
      <c r="K93" s="5"/>
      <c r="L93" s="52"/>
      <c r="M93" s="52"/>
      <c r="N93" s="5"/>
      <c r="O93" s="52"/>
      <c r="P93" s="54"/>
      <c r="Q93" s="53"/>
      <c r="R93" s="52"/>
      <c r="S93" s="52"/>
      <c r="T93" s="52"/>
      <c r="U93" s="5"/>
      <c r="V93" s="52"/>
      <c r="W93" s="52"/>
      <c r="X93" s="52"/>
      <c r="Y93" s="52"/>
      <c r="Z93" s="53"/>
      <c r="AA93" s="53"/>
      <c r="AB93" s="5"/>
      <c r="AD93" s="52"/>
      <c r="AE93" s="53"/>
      <c r="AF93" s="53"/>
      <c r="AG93" s="52"/>
      <c r="AH93" s="52"/>
      <c r="AJ93" s="53"/>
      <c r="AM93" s="22">
        <f t="shared" si="9"/>
        <v>0</v>
      </c>
    </row>
    <row r="94" spans="1:39" ht="15.75" x14ac:dyDescent="0.25">
      <c r="A94" s="19" t="s">
        <v>55</v>
      </c>
      <c r="B94" s="19"/>
      <c r="C94" s="20"/>
      <c r="D94" s="20"/>
      <c r="E94" s="20"/>
      <c r="F94" s="19"/>
      <c r="G94" s="21"/>
      <c r="H94" s="21"/>
      <c r="I94" s="5"/>
      <c r="J94" s="5"/>
      <c r="K94" s="5"/>
      <c r="L94" s="5"/>
      <c r="M94" s="5"/>
      <c r="O94" s="5"/>
      <c r="P94" s="54"/>
      <c r="Q94" s="5"/>
      <c r="R94" s="5"/>
      <c r="S94" s="5"/>
      <c r="T94" s="5"/>
      <c r="U94" s="5"/>
      <c r="V94" s="5"/>
      <c r="W94" s="5"/>
      <c r="X94" s="5"/>
      <c r="Y94" s="5"/>
      <c r="AC94" s="53"/>
      <c r="AD94" s="53"/>
      <c r="AE94" s="53"/>
      <c r="AG94" s="53"/>
      <c r="AH94" s="52"/>
      <c r="AJ94" s="53"/>
      <c r="AM94" s="22">
        <f t="shared" si="9"/>
        <v>0</v>
      </c>
    </row>
    <row r="95" spans="1:39" ht="15.75" x14ac:dyDescent="0.25">
      <c r="A95" s="19" t="s">
        <v>55</v>
      </c>
      <c r="B95" s="19"/>
      <c r="C95" s="20"/>
      <c r="D95" s="20"/>
      <c r="E95" s="20"/>
      <c r="F95" s="19"/>
      <c r="G95" s="21"/>
      <c r="H95" s="21"/>
      <c r="I95" s="5"/>
      <c r="J95" s="5"/>
      <c r="K95" s="5"/>
      <c r="L95" s="5"/>
      <c r="M95" s="5"/>
      <c r="O95" s="5"/>
      <c r="P95" s="54"/>
      <c r="Q95" s="52"/>
      <c r="R95" s="52"/>
      <c r="S95" s="52"/>
      <c r="T95" s="5"/>
      <c r="U95" s="5"/>
      <c r="V95" s="5"/>
      <c r="W95" s="52"/>
      <c r="X95" s="52"/>
      <c r="Y95" s="52"/>
      <c r="Z95" s="53"/>
      <c r="AD95" s="52"/>
      <c r="AG95" s="53"/>
      <c r="AH95" s="5"/>
      <c r="AM95" s="22">
        <f t="shared" si="9"/>
        <v>0</v>
      </c>
    </row>
    <row r="96" spans="1:39" ht="15.75" x14ac:dyDescent="0.25">
      <c r="A96" s="19" t="s">
        <v>55</v>
      </c>
      <c r="B96" s="19"/>
      <c r="C96" s="20"/>
      <c r="D96" s="20"/>
      <c r="E96" s="20"/>
      <c r="F96" s="19"/>
      <c r="G96" s="21"/>
      <c r="H96" s="21"/>
      <c r="I96" s="5"/>
      <c r="J96" s="5"/>
      <c r="K96" s="5"/>
      <c r="L96" s="52"/>
      <c r="M96" s="5"/>
      <c r="O96" s="5"/>
      <c r="P96" s="54"/>
      <c r="R96" s="5"/>
      <c r="S96" s="5"/>
      <c r="T96" s="5"/>
      <c r="U96" s="5"/>
      <c r="V96" s="52"/>
      <c r="W96" s="5"/>
      <c r="X96" s="52"/>
      <c r="Y96" s="52"/>
      <c r="Z96" s="53"/>
      <c r="AD96" s="53"/>
      <c r="AE96" s="53"/>
      <c r="AF96" s="53"/>
      <c r="AG96" s="5"/>
      <c r="AH96" s="5"/>
      <c r="AI96" s="53"/>
      <c r="AM96" s="22">
        <f t="shared" si="9"/>
        <v>0</v>
      </c>
    </row>
    <row r="97" spans="1:39" ht="15.75" x14ac:dyDescent="0.25">
      <c r="A97" s="19" t="s">
        <v>55</v>
      </c>
      <c r="B97" s="19"/>
      <c r="C97" s="20"/>
      <c r="D97" s="20"/>
      <c r="E97" s="20"/>
      <c r="F97" s="19"/>
      <c r="G97" s="21"/>
      <c r="H97" s="21"/>
      <c r="I97" s="5"/>
      <c r="J97" s="5"/>
      <c r="K97" s="5"/>
      <c r="L97" s="52"/>
      <c r="M97" s="5"/>
      <c r="O97" s="5"/>
      <c r="P97" s="54"/>
      <c r="Q97" s="52"/>
      <c r="R97" s="52"/>
      <c r="S97" s="5"/>
      <c r="T97" s="52"/>
      <c r="U97" s="5"/>
      <c r="V97" s="52"/>
      <c r="W97" s="52"/>
      <c r="X97" s="52"/>
      <c r="Y97" s="5"/>
      <c r="AA97" s="53"/>
      <c r="AC97" s="53"/>
      <c r="AD97" s="53"/>
      <c r="AE97" s="53"/>
      <c r="AF97" s="53"/>
      <c r="AG97" s="53"/>
      <c r="AH97" s="52"/>
      <c r="AJ97" s="53"/>
      <c r="AM97" s="22">
        <f t="shared" si="9"/>
        <v>0</v>
      </c>
    </row>
    <row r="98" spans="1:39" ht="15.75" x14ac:dyDescent="0.25">
      <c r="A98" s="19" t="s">
        <v>55</v>
      </c>
      <c r="B98" s="19"/>
      <c r="C98" s="20"/>
      <c r="D98" s="20"/>
      <c r="E98" s="20"/>
      <c r="F98" s="19"/>
      <c r="G98" s="21"/>
      <c r="H98" s="21"/>
      <c r="I98" s="5"/>
      <c r="J98" s="5"/>
      <c r="K98" s="5"/>
      <c r="L98" s="5"/>
      <c r="M98" s="5"/>
      <c r="O98" s="5"/>
      <c r="P98" s="54"/>
      <c r="Q98" s="5"/>
      <c r="R98" s="5"/>
      <c r="S98" s="5"/>
      <c r="T98" s="5"/>
      <c r="U98" s="5"/>
      <c r="V98" s="5"/>
      <c r="W98" s="52"/>
      <c r="X98" s="52"/>
      <c r="Y98" s="52"/>
      <c r="AC98" s="53"/>
      <c r="AD98" s="52"/>
      <c r="AE98" s="53"/>
      <c r="AF98" s="53"/>
      <c r="AH98" s="5"/>
      <c r="AJ98" s="53"/>
      <c r="AM98" s="22">
        <f t="shared" si="9"/>
        <v>0</v>
      </c>
    </row>
    <row r="99" spans="1:39" ht="15.75" x14ac:dyDescent="0.25">
      <c r="A99" s="19" t="s">
        <v>55</v>
      </c>
      <c r="B99" s="19"/>
      <c r="C99" s="20"/>
      <c r="D99" s="20"/>
      <c r="E99" s="20"/>
      <c r="F99" s="19"/>
      <c r="G99" s="21"/>
      <c r="H99" s="21"/>
      <c r="I99" s="5"/>
      <c r="J99" s="5"/>
      <c r="K99" s="5"/>
      <c r="L99" s="5"/>
      <c r="M99" s="5"/>
      <c r="O99" s="5"/>
      <c r="P99" s="54"/>
      <c r="Q99" s="5"/>
      <c r="R99" s="52"/>
      <c r="S99" s="52"/>
      <c r="T99" s="5"/>
      <c r="U99" s="5"/>
      <c r="V99" s="52"/>
      <c r="W99" s="5"/>
      <c r="X99" s="5"/>
      <c r="Y99" s="5"/>
      <c r="AC99" s="53"/>
      <c r="AD99" s="53"/>
      <c r="AE99" s="53"/>
      <c r="AF99" s="53"/>
      <c r="AG99" s="53"/>
      <c r="AH99" s="52"/>
      <c r="AJ99" s="53"/>
      <c r="AM99" s="22">
        <f t="shared" si="9"/>
        <v>0</v>
      </c>
    </row>
    <row r="100" spans="1:39" ht="15.75" x14ac:dyDescent="0.25">
      <c r="A100" s="19" t="s">
        <v>55</v>
      </c>
      <c r="B100" s="19"/>
      <c r="C100" s="20"/>
      <c r="D100" s="20"/>
      <c r="E100" s="20"/>
      <c r="F100" s="19"/>
      <c r="G100" s="21"/>
      <c r="H100" s="21"/>
      <c r="I100" s="5"/>
      <c r="J100" s="5"/>
      <c r="K100" s="5"/>
      <c r="L100" s="5"/>
      <c r="M100" s="5"/>
      <c r="O100" s="5"/>
      <c r="P100" s="54"/>
      <c r="Q100" s="5"/>
      <c r="R100" s="5"/>
      <c r="S100" s="5"/>
      <c r="T100" s="5"/>
      <c r="U100" s="5"/>
      <c r="V100" s="5"/>
      <c r="W100" s="52"/>
      <c r="X100" s="52"/>
      <c r="Y100" s="52"/>
      <c r="AC100" s="53"/>
      <c r="AD100" s="52"/>
      <c r="AE100" s="53"/>
      <c r="AF100" s="53"/>
      <c r="AH100" s="5"/>
      <c r="AJ100" s="53"/>
      <c r="AM100" s="22">
        <f t="shared" si="9"/>
        <v>0</v>
      </c>
    </row>
    <row r="101" spans="1:39" ht="15.75" x14ac:dyDescent="0.25">
      <c r="A101" s="19" t="s">
        <v>55</v>
      </c>
      <c r="B101" s="19"/>
      <c r="C101" s="20"/>
      <c r="D101" s="20"/>
      <c r="E101" s="20"/>
      <c r="F101" s="19"/>
      <c r="G101" s="21"/>
      <c r="H101" s="21"/>
      <c r="I101" s="5"/>
      <c r="J101" s="5"/>
      <c r="K101" s="5"/>
      <c r="L101" s="5"/>
      <c r="M101" s="5"/>
      <c r="O101" s="5"/>
      <c r="P101" s="54"/>
      <c r="Q101" s="5"/>
      <c r="R101" s="5"/>
      <c r="S101" s="5"/>
      <c r="T101" s="5"/>
      <c r="U101" s="5"/>
      <c r="V101" s="5"/>
      <c r="W101" s="52"/>
      <c r="X101" s="52"/>
      <c r="Y101" s="52"/>
      <c r="AC101" s="53"/>
      <c r="AD101" s="52"/>
      <c r="AE101" s="53"/>
      <c r="AF101" s="53"/>
      <c r="AH101" s="5"/>
      <c r="AJ101" s="53"/>
      <c r="AM101" s="22">
        <f t="shared" si="9"/>
        <v>0</v>
      </c>
    </row>
    <row r="102" spans="1:39" ht="15.75" x14ac:dyDescent="0.25">
      <c r="A102" s="19" t="s">
        <v>55</v>
      </c>
      <c r="B102" s="19"/>
      <c r="C102" s="20"/>
      <c r="D102" s="20"/>
      <c r="E102" s="20"/>
      <c r="F102" s="19"/>
      <c r="G102" s="21"/>
      <c r="H102" s="21"/>
      <c r="I102" s="5"/>
      <c r="J102" s="5"/>
      <c r="K102" s="5"/>
      <c r="L102" s="5"/>
      <c r="M102" s="5"/>
      <c r="O102" s="5"/>
      <c r="P102" s="54"/>
      <c r="Q102" s="5"/>
      <c r="R102" s="5"/>
      <c r="S102" s="5"/>
      <c r="T102" s="5"/>
      <c r="U102" s="5"/>
      <c r="V102" s="5"/>
      <c r="W102" s="52"/>
      <c r="X102" s="52"/>
      <c r="Y102" s="52"/>
      <c r="AC102" s="53"/>
      <c r="AD102" s="52"/>
      <c r="AE102" s="53"/>
      <c r="AF102" s="53"/>
      <c r="AH102" s="5"/>
      <c r="AJ102" s="53"/>
      <c r="AM102" s="22">
        <f t="shared" si="9"/>
        <v>0</v>
      </c>
    </row>
    <row r="103" spans="1:39" ht="15.75" x14ac:dyDescent="0.25">
      <c r="A103" s="19" t="s">
        <v>55</v>
      </c>
      <c r="B103" s="19"/>
      <c r="C103" s="20"/>
      <c r="D103" s="20"/>
      <c r="E103" s="20"/>
      <c r="F103" s="19"/>
      <c r="G103" s="21"/>
      <c r="H103" s="21"/>
      <c r="I103" s="5"/>
      <c r="J103" s="5"/>
      <c r="K103" s="5"/>
      <c r="L103" s="5"/>
      <c r="M103" s="5"/>
      <c r="O103" s="5"/>
      <c r="P103" s="54"/>
      <c r="Q103" s="5"/>
      <c r="R103" s="5"/>
      <c r="S103" s="5"/>
      <c r="T103" s="5"/>
      <c r="U103" s="5"/>
      <c r="V103" s="5"/>
      <c r="W103" s="52"/>
      <c r="X103" s="52"/>
      <c r="Y103" s="52"/>
      <c r="AD103" s="52"/>
      <c r="AE103" s="53"/>
      <c r="AF103" s="53"/>
      <c r="AH103" s="5"/>
      <c r="AJ103" s="53"/>
      <c r="AM103" s="22">
        <f t="shared" si="9"/>
        <v>0</v>
      </c>
    </row>
    <row r="104" spans="1:39" ht="15.75" x14ac:dyDescent="0.25">
      <c r="A104" s="19" t="s">
        <v>55</v>
      </c>
      <c r="B104" s="19"/>
      <c r="C104" s="20"/>
      <c r="D104" s="20"/>
      <c r="E104" s="20"/>
      <c r="F104" s="19"/>
      <c r="G104" s="21"/>
      <c r="H104" s="21"/>
      <c r="I104" s="5"/>
      <c r="J104" s="5"/>
      <c r="K104" s="5"/>
      <c r="L104" s="5"/>
      <c r="M104" s="5"/>
      <c r="O104" s="5"/>
      <c r="P104" s="54"/>
      <c r="Q104" s="5"/>
      <c r="R104" s="5"/>
      <c r="S104" s="5"/>
      <c r="T104" s="5"/>
      <c r="U104" s="5"/>
      <c r="V104" s="5"/>
      <c r="W104" s="52"/>
      <c r="X104" s="52"/>
      <c r="Y104" s="52"/>
      <c r="AC104" s="53"/>
      <c r="AD104" s="52"/>
      <c r="AE104" s="53"/>
      <c r="AF104" s="53"/>
      <c r="AH104" s="5"/>
      <c r="AJ104" s="53"/>
      <c r="AM104" s="22">
        <f t="shared" si="9"/>
        <v>0</v>
      </c>
    </row>
    <row r="105" spans="1:39" ht="15.75" x14ac:dyDescent="0.25">
      <c r="A105" s="19" t="s">
        <v>55</v>
      </c>
      <c r="B105" s="19"/>
      <c r="C105" s="20"/>
      <c r="D105" s="20"/>
      <c r="E105" s="20"/>
      <c r="F105" s="19"/>
      <c r="G105" s="21"/>
      <c r="H105" s="21"/>
      <c r="I105" s="5"/>
      <c r="J105" s="5"/>
      <c r="K105" s="5"/>
      <c r="L105" s="52"/>
      <c r="M105" s="5"/>
      <c r="O105" s="5"/>
      <c r="P105" s="54"/>
      <c r="Q105" s="52"/>
      <c r="R105" s="52"/>
      <c r="S105" s="5"/>
      <c r="T105" s="5"/>
      <c r="U105" s="5"/>
      <c r="V105" s="5"/>
      <c r="W105" s="5"/>
      <c r="X105" s="5"/>
      <c r="Y105" s="5"/>
      <c r="AD105" s="52"/>
      <c r="AE105" s="53"/>
      <c r="AF105" s="53"/>
      <c r="AH105" s="5"/>
      <c r="AJ105" s="53"/>
      <c r="AM105" s="22">
        <f t="shared" si="9"/>
        <v>0</v>
      </c>
    </row>
    <row r="106" spans="1:39" ht="15.75" x14ac:dyDescent="0.25">
      <c r="A106" s="19" t="s">
        <v>55</v>
      </c>
      <c r="B106" s="19"/>
      <c r="C106" s="20"/>
      <c r="D106" s="20"/>
      <c r="E106" s="20"/>
      <c r="F106" s="19"/>
      <c r="G106" s="21"/>
      <c r="H106" s="21"/>
      <c r="I106" s="5"/>
      <c r="J106" s="5"/>
      <c r="K106" s="5"/>
      <c r="L106" s="52"/>
      <c r="M106" s="5"/>
      <c r="O106" s="52"/>
      <c r="P106" s="54"/>
      <c r="Q106" s="5"/>
      <c r="R106" s="5"/>
      <c r="S106" s="5"/>
      <c r="T106" s="5"/>
      <c r="U106" s="5"/>
      <c r="V106" s="5"/>
      <c r="W106" s="52"/>
      <c r="X106" s="5"/>
      <c r="Y106" s="5"/>
      <c r="AC106" s="53"/>
      <c r="AD106" s="5"/>
      <c r="AH106" s="5"/>
      <c r="AM106" s="22">
        <f t="shared" si="9"/>
        <v>0</v>
      </c>
    </row>
    <row r="107" spans="1:39" ht="15.75" x14ac:dyDescent="0.25">
      <c r="A107" s="19" t="s">
        <v>55</v>
      </c>
      <c r="B107" s="19"/>
      <c r="C107" s="20"/>
      <c r="D107" s="20"/>
      <c r="E107" s="20"/>
      <c r="F107" s="19"/>
      <c r="G107" s="21"/>
      <c r="H107" s="21"/>
      <c r="I107" s="5"/>
      <c r="J107" s="5"/>
      <c r="K107" s="5"/>
      <c r="L107" s="52"/>
      <c r="M107" s="5"/>
      <c r="O107" s="52"/>
      <c r="P107" s="54"/>
      <c r="Q107" s="52"/>
      <c r="R107" s="52"/>
      <c r="S107" s="52"/>
      <c r="T107" s="5"/>
      <c r="U107" s="5"/>
      <c r="V107" s="52"/>
      <c r="W107" s="52"/>
      <c r="X107" s="52"/>
      <c r="Y107" s="52"/>
      <c r="Z107" s="53"/>
      <c r="AA107" s="5"/>
      <c r="AD107" s="5"/>
      <c r="AE107" s="53"/>
      <c r="AF107" s="53"/>
      <c r="AG107" s="5"/>
      <c r="AH107" s="5"/>
      <c r="AM107" s="22">
        <f t="shared" si="9"/>
        <v>0</v>
      </c>
    </row>
    <row r="108" spans="1:39" ht="15.75" x14ac:dyDescent="0.25">
      <c r="A108" s="19" t="s">
        <v>55</v>
      </c>
      <c r="B108" s="19"/>
      <c r="C108" s="20"/>
      <c r="D108" s="20"/>
      <c r="E108" s="20"/>
      <c r="F108" s="19"/>
      <c r="G108" s="21"/>
      <c r="H108" s="21"/>
      <c r="I108" s="5"/>
      <c r="J108" s="5"/>
      <c r="K108" s="5"/>
      <c r="L108" s="52"/>
      <c r="M108" s="5"/>
      <c r="N108" s="5"/>
      <c r="O108" s="52"/>
      <c r="P108" s="54"/>
      <c r="Q108" s="52"/>
      <c r="R108" s="5"/>
      <c r="S108" s="5"/>
      <c r="T108" s="5"/>
      <c r="U108" s="5"/>
      <c r="V108" s="52"/>
      <c r="W108" s="52"/>
      <c r="X108" s="52"/>
      <c r="Y108" s="5"/>
      <c r="Z108" s="53"/>
      <c r="AA108" s="5"/>
      <c r="AD108" s="53"/>
      <c r="AE108" s="53"/>
      <c r="AG108" s="53"/>
      <c r="AH108" s="5"/>
      <c r="AI108" s="53"/>
      <c r="AJ108" s="53"/>
      <c r="AM108" s="22">
        <f t="shared" si="9"/>
        <v>0</v>
      </c>
    </row>
    <row r="109" spans="1:39" ht="15.75" x14ac:dyDescent="0.25">
      <c r="A109" s="19" t="s">
        <v>55</v>
      </c>
      <c r="B109" s="19"/>
      <c r="C109" s="20"/>
      <c r="D109" s="20"/>
      <c r="E109" s="20"/>
      <c r="F109" s="19"/>
      <c r="G109" s="21"/>
      <c r="H109" s="21"/>
      <c r="I109" s="5"/>
      <c r="J109" s="5"/>
      <c r="K109" s="5"/>
      <c r="L109" s="52"/>
      <c r="M109" s="5"/>
      <c r="O109" s="5"/>
      <c r="P109" s="54"/>
      <c r="Q109" s="54"/>
      <c r="R109" s="5"/>
      <c r="S109" s="52"/>
      <c r="T109" s="5"/>
      <c r="U109" s="5"/>
      <c r="V109" s="5"/>
      <c r="W109" s="5"/>
      <c r="X109" s="52"/>
      <c r="Y109" s="5"/>
      <c r="AH109" s="5"/>
      <c r="AM109" s="22">
        <f t="shared" si="9"/>
        <v>0</v>
      </c>
    </row>
    <row r="110" spans="1:39" ht="15.75" x14ac:dyDescent="0.25">
      <c r="A110" s="19" t="s">
        <v>55</v>
      </c>
      <c r="B110" s="19"/>
      <c r="C110" s="20"/>
      <c r="D110" s="20"/>
      <c r="E110" s="20"/>
      <c r="F110" s="19"/>
      <c r="G110" s="21"/>
      <c r="H110" s="21"/>
      <c r="I110" s="5"/>
      <c r="J110" s="5"/>
      <c r="K110" s="5"/>
      <c r="L110" s="5"/>
      <c r="M110" s="5"/>
      <c r="O110" s="5"/>
      <c r="P110" s="54"/>
      <c r="Q110" s="5"/>
      <c r="R110" s="5"/>
      <c r="S110" s="5"/>
      <c r="T110" s="5"/>
      <c r="U110" s="5"/>
      <c r="V110" s="5"/>
      <c r="W110" s="52"/>
      <c r="X110" s="5"/>
      <c r="Y110" s="5"/>
      <c r="AH110" s="5"/>
      <c r="AM110" s="22">
        <f t="shared" si="9"/>
        <v>0</v>
      </c>
    </row>
    <row r="111" spans="1:39" ht="15.75" x14ac:dyDescent="0.25">
      <c r="A111" s="19" t="s">
        <v>55</v>
      </c>
      <c r="B111" s="19"/>
      <c r="C111" s="20"/>
      <c r="D111" s="20"/>
      <c r="E111" s="20"/>
      <c r="F111" s="19"/>
      <c r="G111" s="21"/>
      <c r="H111" s="21"/>
      <c r="I111" s="5"/>
      <c r="J111" s="5"/>
      <c r="K111" s="5"/>
      <c r="L111" s="52"/>
      <c r="M111" s="52"/>
      <c r="O111" s="52"/>
      <c r="P111" s="54"/>
      <c r="Q111" s="53"/>
      <c r="R111" s="5"/>
      <c r="S111" s="5"/>
      <c r="T111" s="5"/>
      <c r="U111" s="5"/>
      <c r="V111" s="52"/>
      <c r="W111" s="5"/>
      <c r="X111" s="52"/>
      <c r="Y111" s="52"/>
      <c r="AC111" s="53"/>
      <c r="AD111" s="52"/>
      <c r="AE111" s="53"/>
      <c r="AF111" s="53"/>
      <c r="AG111" s="52"/>
      <c r="AH111" s="5"/>
      <c r="AJ111" s="53"/>
      <c r="AM111" s="22">
        <f t="shared" si="9"/>
        <v>0</v>
      </c>
    </row>
    <row r="112" spans="1:39" ht="15.75" x14ac:dyDescent="0.25">
      <c r="A112" s="19" t="s">
        <v>55</v>
      </c>
      <c r="B112" s="19"/>
      <c r="C112" s="20"/>
      <c r="D112" s="20"/>
      <c r="E112" s="20"/>
      <c r="F112" s="19"/>
      <c r="G112" s="21"/>
      <c r="H112" s="21"/>
      <c r="I112" s="5"/>
      <c r="J112" s="5"/>
      <c r="K112" s="5"/>
      <c r="L112" s="5"/>
      <c r="M112" s="5"/>
      <c r="O112" s="5"/>
      <c r="P112" s="54"/>
      <c r="Q112" s="5"/>
      <c r="R112" s="5"/>
      <c r="S112" s="5"/>
      <c r="T112" s="5"/>
      <c r="U112" s="5"/>
      <c r="V112" s="5"/>
      <c r="W112" s="5"/>
      <c r="X112" s="52"/>
      <c r="Y112" s="52"/>
      <c r="AC112" s="53"/>
      <c r="AE112" s="53"/>
      <c r="AF112" s="53"/>
      <c r="AH112" s="5"/>
      <c r="AJ112" s="53"/>
      <c r="AM112" s="22">
        <f t="shared" si="9"/>
        <v>0</v>
      </c>
    </row>
    <row r="113" spans="1:39" ht="15.75" x14ac:dyDescent="0.25">
      <c r="A113" s="19" t="s">
        <v>55</v>
      </c>
      <c r="B113" s="19"/>
      <c r="C113" s="20"/>
      <c r="D113" s="20"/>
      <c r="E113" s="20"/>
      <c r="F113" s="19"/>
      <c r="G113" s="21"/>
      <c r="H113" s="21"/>
      <c r="I113" s="5"/>
      <c r="J113" s="5"/>
      <c r="K113" s="5"/>
      <c r="L113" s="52"/>
      <c r="M113" s="5"/>
      <c r="O113" s="52"/>
      <c r="P113" s="54"/>
      <c r="Q113" s="52"/>
      <c r="R113" s="52"/>
      <c r="S113" s="52"/>
      <c r="T113" s="5"/>
      <c r="U113" s="5"/>
      <c r="V113" s="52"/>
      <c r="W113" s="52"/>
      <c r="X113" s="52"/>
      <c r="Y113" s="5"/>
      <c r="Z113" s="53"/>
      <c r="AA113" s="5"/>
      <c r="AC113" s="53"/>
      <c r="AD113" s="52"/>
      <c r="AE113" s="53"/>
      <c r="AF113" s="53"/>
      <c r="AG113" s="5"/>
      <c r="AH113" s="5"/>
      <c r="AM113" s="22">
        <f t="shared" si="9"/>
        <v>0</v>
      </c>
    </row>
    <row r="114" spans="1:39" ht="15.75" x14ac:dyDescent="0.25">
      <c r="A114" s="19" t="s">
        <v>55</v>
      </c>
      <c r="B114" s="19"/>
      <c r="C114" s="20"/>
      <c r="D114" s="20"/>
      <c r="E114" s="20"/>
      <c r="F114" s="19"/>
      <c r="G114" s="21"/>
      <c r="H114" s="21"/>
      <c r="I114" s="5"/>
      <c r="J114" s="5"/>
      <c r="K114" s="5"/>
      <c r="L114" s="5"/>
      <c r="M114" s="5"/>
      <c r="O114" s="5"/>
      <c r="P114" s="54"/>
      <c r="Q114" s="5"/>
      <c r="R114" s="5"/>
      <c r="S114" s="5"/>
      <c r="T114" s="5"/>
      <c r="U114" s="5"/>
      <c r="V114" s="5"/>
      <c r="W114" s="5"/>
      <c r="X114" s="52"/>
      <c r="Y114" s="52"/>
      <c r="Z114" s="53"/>
      <c r="AC114" s="53"/>
      <c r="AD114" s="52"/>
      <c r="AE114" s="53"/>
      <c r="AF114" s="53"/>
      <c r="AH114" s="5"/>
      <c r="AM114" s="22">
        <f t="shared" si="9"/>
        <v>0</v>
      </c>
    </row>
    <row r="115" spans="1:39" ht="15.75" x14ac:dyDescent="0.25">
      <c r="A115" s="19" t="s">
        <v>55</v>
      </c>
      <c r="B115" s="19"/>
      <c r="C115" s="20"/>
      <c r="D115" s="20"/>
      <c r="E115" s="20"/>
      <c r="F115" s="19"/>
      <c r="G115" s="21"/>
      <c r="H115" s="21"/>
      <c r="I115" s="5"/>
      <c r="J115" s="5"/>
      <c r="K115" s="5"/>
      <c r="L115" s="5"/>
      <c r="M115" s="5"/>
      <c r="O115" s="5"/>
      <c r="P115" s="54"/>
      <c r="Q115" s="5"/>
      <c r="R115" s="5"/>
      <c r="S115" s="5"/>
      <c r="T115" s="5"/>
      <c r="U115" s="5"/>
      <c r="V115" s="5"/>
      <c r="W115" s="5"/>
      <c r="X115" s="5"/>
      <c r="Y115" s="5"/>
      <c r="AC115" s="53"/>
      <c r="AD115" s="52"/>
      <c r="AE115" s="53"/>
      <c r="AF115" s="53"/>
      <c r="AH115" s="5"/>
      <c r="AM115" s="22">
        <f t="shared" si="9"/>
        <v>0</v>
      </c>
    </row>
    <row r="116" spans="1:39" ht="15.75" x14ac:dyDescent="0.25">
      <c r="A116" s="19" t="s">
        <v>55</v>
      </c>
      <c r="B116" s="19"/>
      <c r="C116" s="20"/>
      <c r="D116" s="20"/>
      <c r="E116" s="20"/>
      <c r="F116" s="19"/>
      <c r="G116" s="21"/>
      <c r="H116" s="21"/>
      <c r="I116" s="5"/>
      <c r="J116" s="5"/>
      <c r="K116" s="5"/>
      <c r="L116" s="52"/>
      <c r="M116" s="5"/>
      <c r="O116" s="52"/>
      <c r="P116" s="54"/>
      <c r="Q116" s="52"/>
      <c r="R116" s="52"/>
      <c r="S116" s="52"/>
      <c r="T116" s="5"/>
      <c r="U116" s="5"/>
      <c r="V116" s="52"/>
      <c r="W116" s="52"/>
      <c r="X116" s="52"/>
      <c r="Y116" s="52"/>
      <c r="Z116" s="53"/>
      <c r="AA116" s="5"/>
      <c r="AC116" s="53"/>
      <c r="AD116" s="52"/>
      <c r="AE116" s="53"/>
      <c r="AF116" s="53"/>
      <c r="AG116" s="52"/>
      <c r="AH116" s="5"/>
      <c r="AJ116" s="53"/>
      <c r="AM116" s="22">
        <f t="shared" si="9"/>
        <v>0</v>
      </c>
    </row>
    <row r="117" spans="1:39" ht="15.75" x14ac:dyDescent="0.25">
      <c r="A117" s="19" t="s">
        <v>55</v>
      </c>
      <c r="B117" s="19"/>
      <c r="C117" s="20"/>
      <c r="D117" s="20"/>
      <c r="E117" s="20"/>
      <c r="F117" s="19"/>
      <c r="G117" s="21"/>
      <c r="H117" s="21"/>
      <c r="I117" s="5"/>
      <c r="J117" s="5"/>
      <c r="K117" s="5"/>
      <c r="L117" s="52"/>
      <c r="M117" s="5"/>
      <c r="O117" s="52"/>
      <c r="P117" s="54"/>
      <c r="Q117" s="52"/>
      <c r="R117" s="5"/>
      <c r="S117" s="5"/>
      <c r="T117" s="5"/>
      <c r="U117" s="5"/>
      <c r="V117" s="5"/>
      <c r="W117" s="5"/>
      <c r="X117" s="52"/>
      <c r="Y117" s="52"/>
      <c r="AA117" s="5"/>
      <c r="AD117" s="5"/>
      <c r="AG117" s="5"/>
      <c r="AH117" s="5"/>
      <c r="AM117" s="22">
        <f t="shared" si="9"/>
        <v>0</v>
      </c>
    </row>
    <row r="118" spans="1:39" ht="15.75" x14ac:dyDescent="0.25">
      <c r="A118" s="19" t="s">
        <v>55</v>
      </c>
      <c r="B118" s="19"/>
      <c r="C118" s="20"/>
      <c r="D118" s="20"/>
      <c r="E118" s="20"/>
      <c r="F118" s="19"/>
      <c r="G118" s="21"/>
      <c r="H118" s="21"/>
      <c r="I118" s="5"/>
      <c r="J118" s="5"/>
      <c r="K118" s="5"/>
      <c r="L118" s="52"/>
      <c r="M118" s="5"/>
      <c r="O118" s="52"/>
      <c r="P118" s="54"/>
      <c r="Q118" s="52"/>
      <c r="R118" s="52"/>
      <c r="S118" s="52"/>
      <c r="T118" s="5"/>
      <c r="U118" s="5"/>
      <c r="V118" s="52"/>
      <c r="W118" s="52"/>
      <c r="X118" s="52"/>
      <c r="Y118" s="52"/>
      <c r="Z118" s="53"/>
      <c r="AA118" s="5"/>
      <c r="AC118" s="53"/>
      <c r="AD118" s="52"/>
      <c r="AE118" s="53"/>
      <c r="AF118" s="53"/>
      <c r="AG118" s="52"/>
      <c r="AH118" s="5"/>
      <c r="AJ118" s="53"/>
      <c r="AM118" s="22">
        <f t="shared" si="9"/>
        <v>0</v>
      </c>
    </row>
    <row r="119" spans="1:39" ht="15.75" x14ac:dyDescent="0.25">
      <c r="A119" s="19" t="s">
        <v>55</v>
      </c>
      <c r="B119" s="19"/>
      <c r="C119" s="20"/>
      <c r="D119" s="20"/>
      <c r="E119" s="20"/>
      <c r="F119" s="19"/>
      <c r="G119" s="21"/>
      <c r="H119" s="21"/>
      <c r="I119" s="5"/>
      <c r="J119" s="5"/>
      <c r="K119" s="5"/>
      <c r="L119" s="5"/>
      <c r="M119" s="5"/>
      <c r="N119" s="5"/>
      <c r="O119" s="5"/>
      <c r="P119" s="54"/>
      <c r="Q119" s="5"/>
      <c r="R119" s="5"/>
      <c r="S119" s="5"/>
      <c r="T119" s="5"/>
      <c r="U119" s="5"/>
      <c r="V119" s="5"/>
      <c r="W119" s="5"/>
      <c r="X119" s="52"/>
      <c r="Y119" s="52"/>
      <c r="Z119" s="53"/>
      <c r="AC119" s="53"/>
      <c r="AD119" s="53"/>
      <c r="AE119" s="53"/>
      <c r="AF119" s="53"/>
      <c r="AG119" s="53"/>
      <c r="AH119" s="52"/>
      <c r="AJ119" s="53"/>
      <c r="AM119" s="22">
        <f t="shared" si="9"/>
        <v>0</v>
      </c>
    </row>
    <row r="120" spans="1:39" ht="15.75" x14ac:dyDescent="0.25">
      <c r="A120" s="19" t="s">
        <v>55</v>
      </c>
      <c r="B120" s="19"/>
      <c r="C120" s="20"/>
      <c r="D120" s="20"/>
      <c r="E120" s="20"/>
      <c r="F120" s="19"/>
      <c r="G120" s="21"/>
      <c r="H120" s="21"/>
      <c r="I120" s="5"/>
      <c r="J120" s="5"/>
      <c r="K120" s="5"/>
      <c r="L120" s="52"/>
      <c r="M120" s="5"/>
      <c r="O120" s="52"/>
      <c r="P120" s="54"/>
      <c r="Q120" s="5"/>
      <c r="R120" s="5"/>
      <c r="S120" s="5"/>
      <c r="T120" s="5"/>
      <c r="U120" s="5"/>
      <c r="V120" s="5"/>
      <c r="W120" s="5"/>
      <c r="X120" s="52"/>
      <c r="Y120" s="52"/>
      <c r="Z120" s="53"/>
      <c r="AA120" s="53"/>
      <c r="AC120" s="53"/>
      <c r="AD120" s="52"/>
      <c r="AE120" s="53"/>
      <c r="AF120" s="53"/>
      <c r="AH120" s="5"/>
      <c r="AJ120" s="53"/>
      <c r="AM120" s="22">
        <f t="shared" si="9"/>
        <v>0</v>
      </c>
    </row>
    <row r="121" spans="1:39" ht="15.75" x14ac:dyDescent="0.25">
      <c r="A121" s="19" t="s">
        <v>55</v>
      </c>
      <c r="B121" s="19"/>
      <c r="C121" s="20"/>
      <c r="D121" s="20"/>
      <c r="E121" s="20"/>
      <c r="F121" s="19"/>
      <c r="G121" s="21"/>
      <c r="H121" s="21"/>
      <c r="I121" s="5"/>
      <c r="J121" s="5"/>
      <c r="K121" s="5"/>
      <c r="L121" s="52"/>
      <c r="M121" s="5"/>
      <c r="N121" s="5"/>
      <c r="O121" s="5"/>
      <c r="P121" s="54"/>
      <c r="Q121" s="52"/>
      <c r="R121" s="5"/>
      <c r="S121" s="52"/>
      <c r="T121" s="5"/>
      <c r="U121" s="5"/>
      <c r="V121" s="52"/>
      <c r="W121" s="5"/>
      <c r="X121" s="5"/>
      <c r="Y121" s="52"/>
      <c r="Z121" s="53"/>
      <c r="AA121" s="5"/>
      <c r="AC121" s="53"/>
      <c r="AD121" s="52"/>
      <c r="AE121" s="53"/>
      <c r="AF121" s="53"/>
      <c r="AG121" s="52"/>
      <c r="AH121" s="5"/>
      <c r="AJ121" s="53"/>
      <c r="AM121" s="22">
        <f t="shared" si="9"/>
        <v>0</v>
      </c>
    </row>
    <row r="122" spans="1:39" ht="15.75" x14ac:dyDescent="0.25">
      <c r="A122" s="19" t="s">
        <v>55</v>
      </c>
      <c r="B122" s="19"/>
      <c r="C122" s="20"/>
      <c r="D122" s="20"/>
      <c r="E122" s="20"/>
      <c r="F122" s="19"/>
      <c r="G122" s="21"/>
      <c r="H122" s="21"/>
      <c r="I122" s="5"/>
      <c r="J122" s="5"/>
      <c r="K122" s="5"/>
      <c r="L122" s="5"/>
      <c r="M122" s="5"/>
      <c r="O122" s="52"/>
      <c r="P122" s="54"/>
      <c r="Q122" s="54"/>
      <c r="R122" s="52"/>
      <c r="S122" s="52"/>
      <c r="T122" s="5"/>
      <c r="U122" s="5"/>
      <c r="V122" s="5"/>
      <c r="W122" s="52"/>
      <c r="X122" s="5"/>
      <c r="Y122" s="5"/>
      <c r="AD122" s="5"/>
      <c r="AF122" s="53"/>
      <c r="AG122" s="5"/>
      <c r="AH122" s="5"/>
      <c r="AM122" s="22">
        <f t="shared" si="9"/>
        <v>0</v>
      </c>
    </row>
    <row r="123" spans="1:39" ht="15.75" x14ac:dyDescent="0.25">
      <c r="A123" s="19" t="s">
        <v>55</v>
      </c>
      <c r="B123" s="19"/>
      <c r="C123" s="20"/>
      <c r="D123" s="20"/>
      <c r="E123" s="20"/>
      <c r="F123" s="19"/>
      <c r="G123" s="21"/>
      <c r="H123" s="21"/>
      <c r="I123" s="5"/>
      <c r="J123" s="5"/>
      <c r="K123" s="5"/>
      <c r="L123" s="5"/>
      <c r="M123" s="5"/>
      <c r="O123" s="5"/>
      <c r="P123" s="54"/>
      <c r="Q123" s="5"/>
      <c r="R123" s="5"/>
      <c r="S123" s="5"/>
      <c r="T123" s="5"/>
      <c r="U123" s="5"/>
      <c r="V123" s="5"/>
      <c r="W123" s="52"/>
      <c r="X123" s="5"/>
      <c r="Y123" s="5"/>
      <c r="AD123" s="53"/>
      <c r="AF123" s="53"/>
      <c r="AH123" s="5"/>
      <c r="AM123" s="22">
        <f t="shared" si="9"/>
        <v>0</v>
      </c>
    </row>
    <row r="124" spans="1:39" ht="15.75" x14ac:dyDescent="0.25">
      <c r="A124" s="19" t="s">
        <v>55</v>
      </c>
      <c r="B124" s="19"/>
      <c r="C124" s="20"/>
      <c r="D124" s="20"/>
      <c r="E124" s="20"/>
      <c r="F124" s="19"/>
      <c r="G124" s="21"/>
      <c r="H124" s="21"/>
      <c r="I124" s="5"/>
      <c r="J124" s="5"/>
      <c r="K124" s="5"/>
      <c r="L124" s="5"/>
      <c r="M124" s="5"/>
      <c r="O124" s="5"/>
      <c r="P124" s="54"/>
      <c r="Q124" s="52"/>
      <c r="R124" s="52"/>
      <c r="S124" s="52"/>
      <c r="T124" s="5"/>
      <c r="U124" s="5"/>
      <c r="V124" s="5"/>
      <c r="W124" s="52"/>
      <c r="X124" s="52"/>
      <c r="Y124" s="52"/>
      <c r="Z124" s="53"/>
      <c r="AC124" s="53"/>
      <c r="AD124" s="52"/>
      <c r="AE124" s="53"/>
      <c r="AF124" s="53"/>
      <c r="AG124" s="53"/>
      <c r="AH124" s="5"/>
      <c r="AJ124" s="53"/>
      <c r="AM124" s="22">
        <f t="shared" si="9"/>
        <v>0</v>
      </c>
    </row>
    <row r="125" spans="1:39" ht="15.75" x14ac:dyDescent="0.25">
      <c r="A125" s="19" t="s">
        <v>55</v>
      </c>
      <c r="B125" s="19"/>
      <c r="C125" s="20"/>
      <c r="D125" s="20"/>
      <c r="E125" s="20"/>
      <c r="F125" s="19"/>
      <c r="G125" s="21"/>
      <c r="H125" s="21"/>
      <c r="I125" s="5"/>
      <c r="J125" s="5"/>
      <c r="K125" s="5"/>
      <c r="L125" s="5"/>
      <c r="M125" s="5"/>
      <c r="O125" s="5"/>
      <c r="P125" s="54"/>
      <c r="Q125" s="52"/>
      <c r="R125" s="52"/>
      <c r="S125" s="52"/>
      <c r="T125" s="5"/>
      <c r="U125" s="5"/>
      <c r="V125" s="5"/>
      <c r="W125" s="52"/>
      <c r="X125" s="52"/>
      <c r="Y125" s="52"/>
      <c r="AF125" s="53"/>
      <c r="AH125" s="5"/>
      <c r="AM125" s="22">
        <f t="shared" si="9"/>
        <v>0</v>
      </c>
    </row>
    <row r="126" spans="1:39" ht="15.75" x14ac:dyDescent="0.25">
      <c r="A126" s="19" t="s">
        <v>55</v>
      </c>
      <c r="B126" s="19"/>
      <c r="C126" s="20"/>
      <c r="D126" s="20"/>
      <c r="E126" s="20"/>
      <c r="F126" s="19"/>
      <c r="G126" s="21"/>
      <c r="H126" s="21"/>
      <c r="I126" s="5"/>
      <c r="J126" s="5"/>
      <c r="K126" s="5"/>
      <c r="L126" s="52"/>
      <c r="M126" s="5"/>
      <c r="O126" s="52"/>
      <c r="P126" s="54"/>
      <c r="Q126" s="52"/>
      <c r="R126" s="5"/>
      <c r="S126" s="52"/>
      <c r="T126" s="5"/>
      <c r="U126" s="5"/>
      <c r="V126" s="52"/>
      <c r="W126" s="52"/>
      <c r="X126" s="52"/>
      <c r="Y126" s="52"/>
      <c r="Z126" s="53"/>
      <c r="AA126" s="5"/>
      <c r="AD126" s="52"/>
      <c r="AE126" s="53"/>
      <c r="AF126" s="53"/>
      <c r="AG126" s="52"/>
      <c r="AH126" s="5"/>
      <c r="AJ126" s="53"/>
      <c r="AM126" s="22">
        <f t="shared" si="9"/>
        <v>0</v>
      </c>
    </row>
    <row r="127" spans="1:39" ht="15.75" x14ac:dyDescent="0.25">
      <c r="A127" s="19" t="s">
        <v>55</v>
      </c>
      <c r="B127" s="19"/>
      <c r="C127" s="20"/>
      <c r="D127" s="20"/>
      <c r="E127" s="20"/>
      <c r="F127" s="19"/>
      <c r="G127" s="21"/>
      <c r="H127" s="21"/>
      <c r="I127" s="5"/>
      <c r="J127" s="5"/>
      <c r="K127" s="5"/>
      <c r="L127" s="52"/>
      <c r="M127" s="5"/>
      <c r="O127" s="52"/>
      <c r="P127" s="54"/>
      <c r="Q127" s="52"/>
      <c r="R127" s="52"/>
      <c r="S127" s="52"/>
      <c r="T127" s="5"/>
      <c r="U127" s="5"/>
      <c r="V127" s="52"/>
      <c r="W127" s="52"/>
      <c r="X127" s="52"/>
      <c r="Y127" s="52"/>
      <c r="AA127" s="5"/>
      <c r="AC127" s="53"/>
      <c r="AD127" s="52"/>
      <c r="AE127" s="53"/>
      <c r="AF127" s="53"/>
      <c r="AH127" s="5"/>
      <c r="AJ127" s="53"/>
      <c r="AM127" s="22">
        <f t="shared" si="9"/>
        <v>0</v>
      </c>
    </row>
    <row r="128" spans="1:39" ht="15.75" x14ac:dyDescent="0.25">
      <c r="A128" s="19" t="s">
        <v>55</v>
      </c>
      <c r="B128" s="19"/>
      <c r="C128" s="20"/>
      <c r="D128" s="20"/>
      <c r="E128" s="20"/>
      <c r="F128" s="19"/>
      <c r="G128" s="21"/>
      <c r="H128" s="21"/>
      <c r="I128" s="5"/>
      <c r="J128" s="5"/>
      <c r="K128" s="5"/>
      <c r="L128" s="52"/>
      <c r="M128" s="5"/>
      <c r="O128" s="52"/>
      <c r="P128" s="54"/>
      <c r="Q128" s="52"/>
      <c r="R128" s="52"/>
      <c r="S128" s="52"/>
      <c r="T128" s="5"/>
      <c r="U128" s="5"/>
      <c r="V128" s="52"/>
      <c r="W128" s="52"/>
      <c r="X128" s="52"/>
      <c r="Y128" s="52"/>
      <c r="Z128" s="53"/>
      <c r="AA128" s="5"/>
      <c r="AC128" s="53"/>
      <c r="AD128" s="52"/>
      <c r="AE128" s="53"/>
      <c r="AF128" s="53"/>
      <c r="AG128" s="52"/>
      <c r="AH128" s="5"/>
      <c r="AJ128" s="53"/>
      <c r="AM128" s="22">
        <f t="shared" si="9"/>
        <v>0</v>
      </c>
    </row>
    <row r="129" spans="1:39" ht="15.75" x14ac:dyDescent="0.25">
      <c r="A129" s="19" t="s">
        <v>55</v>
      </c>
      <c r="B129" s="19"/>
      <c r="C129" s="20"/>
      <c r="D129" s="20"/>
      <c r="E129" s="20"/>
      <c r="F129" s="19"/>
      <c r="G129" s="21"/>
      <c r="H129" s="21"/>
      <c r="I129" s="5"/>
      <c r="J129" s="5"/>
      <c r="K129" s="5"/>
      <c r="L129" s="5"/>
      <c r="M129" s="5"/>
      <c r="O129" s="52"/>
      <c r="P129" s="54"/>
      <c r="Q129" s="52"/>
      <c r="R129" s="52"/>
      <c r="S129" s="52"/>
      <c r="T129" s="5"/>
      <c r="U129" s="5"/>
      <c r="V129" s="52"/>
      <c r="W129" s="52"/>
      <c r="X129" s="52"/>
      <c r="Y129" s="52"/>
      <c r="Z129" s="53"/>
      <c r="AA129" s="5"/>
      <c r="AC129" s="53"/>
      <c r="AD129" s="52"/>
      <c r="AE129" s="53"/>
      <c r="AF129" s="53"/>
      <c r="AG129" s="5"/>
      <c r="AH129" s="5"/>
      <c r="AM129" s="22">
        <f t="shared" si="9"/>
        <v>0</v>
      </c>
    </row>
    <row r="130" spans="1:39" ht="15.75" x14ac:dyDescent="0.25">
      <c r="A130" s="19" t="s">
        <v>55</v>
      </c>
      <c r="B130" s="19"/>
      <c r="C130" s="20"/>
      <c r="D130" s="20"/>
      <c r="E130" s="20"/>
      <c r="F130" s="19"/>
      <c r="G130" s="21"/>
      <c r="H130" s="21"/>
      <c r="I130" s="5"/>
      <c r="J130" s="5"/>
      <c r="K130" s="5"/>
      <c r="L130" s="52"/>
      <c r="M130" s="5"/>
      <c r="O130" s="52"/>
      <c r="P130" s="54"/>
      <c r="Q130" s="52"/>
      <c r="R130" s="52"/>
      <c r="S130" s="52"/>
      <c r="T130" s="5"/>
      <c r="U130" s="5"/>
      <c r="V130" s="52"/>
      <c r="W130" s="52"/>
      <c r="X130" s="52"/>
      <c r="Y130" s="52"/>
      <c r="Z130" s="53"/>
      <c r="AA130" s="5"/>
      <c r="AC130" s="53"/>
      <c r="AD130" s="52"/>
      <c r="AE130" s="53"/>
      <c r="AG130" s="52"/>
      <c r="AH130" s="5"/>
      <c r="AJ130" s="53"/>
      <c r="AM130" s="22">
        <f t="shared" si="9"/>
        <v>0</v>
      </c>
    </row>
    <row r="131" spans="1:39" ht="15.75" x14ac:dyDescent="0.25">
      <c r="A131" s="19" t="s">
        <v>55</v>
      </c>
      <c r="B131" s="19"/>
      <c r="C131" s="20"/>
      <c r="D131" s="20"/>
      <c r="E131" s="20"/>
      <c r="F131" s="19"/>
      <c r="G131" s="21"/>
      <c r="H131" s="21"/>
      <c r="I131" s="5"/>
      <c r="J131" s="5"/>
      <c r="K131" s="5"/>
      <c r="L131" s="5"/>
      <c r="M131" s="5"/>
      <c r="O131" s="5"/>
      <c r="P131" s="54"/>
      <c r="Q131" s="5"/>
      <c r="R131" s="5"/>
      <c r="S131" s="5"/>
      <c r="T131" s="5"/>
      <c r="U131" s="5"/>
      <c r="V131" s="5"/>
      <c r="W131" s="5"/>
      <c r="X131" s="5"/>
      <c r="Y131" s="5"/>
      <c r="AC131" s="53"/>
      <c r="AD131" s="53"/>
      <c r="AE131" s="53"/>
      <c r="AF131" s="53"/>
      <c r="AH131" s="52"/>
      <c r="AJ131" s="53"/>
      <c r="AM131" s="22">
        <f t="shared" si="9"/>
        <v>0</v>
      </c>
    </row>
    <row r="132" spans="1:39" ht="15.75" x14ac:dyDescent="0.25">
      <c r="A132" s="19" t="s">
        <v>55</v>
      </c>
      <c r="B132" s="19"/>
      <c r="C132" s="20"/>
      <c r="D132" s="20"/>
      <c r="E132" s="20"/>
      <c r="F132" s="19"/>
      <c r="G132" s="21"/>
      <c r="H132" s="21"/>
      <c r="I132" s="5"/>
      <c r="J132" s="5"/>
      <c r="K132" s="5"/>
      <c r="L132" s="52"/>
      <c r="M132" s="5"/>
      <c r="O132" s="52"/>
      <c r="P132" s="54"/>
      <c r="Q132" s="5"/>
      <c r="R132" s="5"/>
      <c r="S132" s="5"/>
      <c r="T132" s="5"/>
      <c r="U132" s="5"/>
      <c r="V132" s="5"/>
      <c r="W132" s="5"/>
      <c r="X132" s="5"/>
      <c r="Y132" s="52"/>
      <c r="AA132" s="5"/>
      <c r="AD132" s="5"/>
      <c r="AF132" s="53"/>
      <c r="AG132" s="5"/>
      <c r="AH132" s="5"/>
      <c r="AM132" s="22">
        <f t="shared" si="9"/>
        <v>0</v>
      </c>
    </row>
    <row r="133" spans="1:39" ht="15.75" x14ac:dyDescent="0.25">
      <c r="A133" s="19" t="s">
        <v>55</v>
      </c>
      <c r="B133" s="19"/>
      <c r="C133" s="20"/>
      <c r="D133" s="20"/>
      <c r="E133" s="20"/>
      <c r="F133" s="19"/>
      <c r="G133" s="21"/>
      <c r="H133" s="21"/>
      <c r="I133" s="5"/>
      <c r="J133" s="5"/>
      <c r="K133" s="5"/>
      <c r="L133" s="52"/>
      <c r="M133" s="5"/>
      <c r="N133" s="5"/>
      <c r="O133" s="52"/>
      <c r="P133" s="54"/>
      <c r="Q133" s="52"/>
      <c r="R133" s="52"/>
      <c r="S133" s="5"/>
      <c r="T133" s="5"/>
      <c r="U133" s="5"/>
      <c r="V133" s="52"/>
      <c r="W133" s="52"/>
      <c r="X133" s="52"/>
      <c r="Y133" s="52"/>
      <c r="Z133" s="53"/>
      <c r="AA133" s="5"/>
      <c r="AC133" s="53"/>
      <c r="AD133" s="52"/>
      <c r="AE133" s="53"/>
      <c r="AF133" s="53"/>
      <c r="AG133" s="52"/>
      <c r="AH133" s="5"/>
      <c r="AJ133" s="53"/>
      <c r="AM133" s="22">
        <f t="shared" si="9"/>
        <v>0</v>
      </c>
    </row>
    <row r="134" spans="1:39" ht="15.75" x14ac:dyDescent="0.25">
      <c r="A134" s="19" t="s">
        <v>55</v>
      </c>
      <c r="B134" s="19"/>
      <c r="C134" s="20"/>
      <c r="D134" s="20"/>
      <c r="E134" s="20"/>
      <c r="F134" s="19"/>
      <c r="G134" s="21"/>
      <c r="H134" s="21"/>
      <c r="I134" s="5"/>
      <c r="J134" s="5"/>
      <c r="K134" s="5"/>
      <c r="L134" s="5"/>
      <c r="M134" s="52"/>
      <c r="O134" s="5"/>
      <c r="P134" s="54"/>
      <c r="Q134" s="52"/>
      <c r="R134" s="52"/>
      <c r="S134" s="5"/>
      <c r="T134" s="5"/>
      <c r="U134" s="5"/>
      <c r="V134" s="5"/>
      <c r="W134" s="52"/>
      <c r="X134" s="5"/>
      <c r="Y134" s="5"/>
      <c r="AA134" s="53"/>
      <c r="AD134" s="53"/>
      <c r="AF134" s="53"/>
      <c r="AG134" s="5"/>
      <c r="AH134" s="52"/>
      <c r="AM134" s="22">
        <f t="shared" si="9"/>
        <v>0</v>
      </c>
    </row>
    <row r="135" spans="1:39" ht="15.75" x14ac:dyDescent="0.25">
      <c r="A135" s="19" t="s">
        <v>55</v>
      </c>
      <c r="B135" s="19"/>
      <c r="C135" s="20"/>
      <c r="D135" s="20"/>
      <c r="E135" s="20"/>
      <c r="F135" s="19"/>
      <c r="G135" s="21"/>
      <c r="H135" s="21"/>
      <c r="I135" s="5"/>
      <c r="J135" s="5"/>
      <c r="K135" s="5"/>
      <c r="L135" s="52"/>
      <c r="M135" s="52"/>
      <c r="O135" s="52"/>
      <c r="P135" s="54"/>
      <c r="Q135" s="53"/>
      <c r="R135" s="52"/>
      <c r="S135" s="52"/>
      <c r="T135" s="52"/>
      <c r="U135" s="5"/>
      <c r="V135" s="52"/>
      <c r="W135" s="52"/>
      <c r="X135" s="52"/>
      <c r="Y135" s="52"/>
      <c r="Z135" s="53"/>
      <c r="AA135" s="53"/>
      <c r="AD135" s="52"/>
      <c r="AE135" s="53"/>
      <c r="AF135" s="53"/>
      <c r="AG135" s="52"/>
      <c r="AH135" s="52"/>
      <c r="AJ135" s="53"/>
      <c r="AM135" s="22">
        <f t="shared" si="9"/>
        <v>0</v>
      </c>
    </row>
    <row r="136" spans="1:39" ht="15.75" x14ac:dyDescent="0.25">
      <c r="A136" s="19" t="s">
        <v>55</v>
      </c>
      <c r="B136" s="19"/>
      <c r="C136" s="20"/>
      <c r="D136" s="20"/>
      <c r="E136" s="20"/>
      <c r="F136" s="19"/>
      <c r="G136" s="21"/>
      <c r="H136" s="21"/>
      <c r="I136" s="5"/>
      <c r="J136" s="5"/>
      <c r="K136" s="5"/>
      <c r="L136" s="5"/>
      <c r="M136" s="5"/>
      <c r="O136" s="5"/>
      <c r="P136" s="54"/>
      <c r="Q136" s="5"/>
      <c r="R136" s="5"/>
      <c r="S136" s="5"/>
      <c r="T136" s="5"/>
      <c r="U136" s="5"/>
      <c r="V136" s="5"/>
      <c r="W136" s="5"/>
      <c r="X136" s="52"/>
      <c r="Y136" s="5"/>
      <c r="AA136" s="5"/>
      <c r="AD136" s="5"/>
      <c r="AH136" s="5"/>
      <c r="AI136" s="53"/>
      <c r="AM136" s="22">
        <f t="shared" si="9"/>
        <v>0</v>
      </c>
    </row>
    <row r="137" spans="1:39" ht="15.75" x14ac:dyDescent="0.25">
      <c r="A137" s="19" t="s">
        <v>55</v>
      </c>
      <c r="B137" s="19"/>
      <c r="C137" s="20"/>
      <c r="D137" s="20"/>
      <c r="E137" s="20"/>
      <c r="F137" s="19"/>
      <c r="G137" s="21"/>
      <c r="H137" s="21"/>
      <c r="I137" s="5"/>
      <c r="J137" s="5"/>
      <c r="K137" s="5"/>
      <c r="L137" s="52"/>
      <c r="M137" s="5"/>
      <c r="O137" s="5"/>
      <c r="P137" s="54"/>
      <c r="Q137" s="5"/>
      <c r="R137" s="5"/>
      <c r="S137" s="5"/>
      <c r="T137" s="5"/>
      <c r="U137" s="5"/>
      <c r="V137" s="5"/>
      <c r="W137" s="5"/>
      <c r="X137" s="5"/>
      <c r="Y137" s="5"/>
      <c r="AA137" s="5"/>
      <c r="AD137" s="53"/>
      <c r="AH137" s="5"/>
      <c r="AM137" s="22">
        <f t="shared" si="9"/>
        <v>0</v>
      </c>
    </row>
    <row r="138" spans="1:39" ht="15.75" x14ac:dyDescent="0.25">
      <c r="A138" s="19" t="s">
        <v>55</v>
      </c>
      <c r="B138" s="19"/>
      <c r="C138" s="20"/>
      <c r="D138" s="20"/>
      <c r="E138" s="20"/>
      <c r="F138" s="19"/>
      <c r="G138" s="21"/>
      <c r="H138" s="21"/>
      <c r="I138" s="5"/>
      <c r="J138" s="5"/>
      <c r="K138" s="5"/>
      <c r="L138" s="5"/>
      <c r="M138" s="5"/>
      <c r="O138" s="5"/>
      <c r="P138" s="54"/>
      <c r="Q138" s="54"/>
      <c r="R138" s="52"/>
      <c r="S138" s="52"/>
      <c r="T138" s="5"/>
      <c r="U138" s="5"/>
      <c r="V138" s="5"/>
      <c r="W138" s="52"/>
      <c r="X138" s="52"/>
      <c r="Y138" s="5"/>
      <c r="AD138" s="52"/>
      <c r="AH138" s="5"/>
      <c r="AJ138" s="53"/>
      <c r="AM138" s="22">
        <f t="shared" si="9"/>
        <v>0</v>
      </c>
    </row>
    <row r="139" spans="1:39" ht="15.75" x14ac:dyDescent="0.25">
      <c r="A139" s="19" t="s">
        <v>55</v>
      </c>
      <c r="B139" s="19"/>
      <c r="C139" s="20"/>
      <c r="D139" s="20"/>
      <c r="E139" s="20"/>
      <c r="F139" s="19"/>
      <c r="G139" s="21"/>
      <c r="H139" s="21"/>
      <c r="I139" s="5"/>
      <c r="J139" s="5"/>
      <c r="K139" s="5"/>
      <c r="L139" s="52"/>
      <c r="M139" s="5"/>
      <c r="O139" s="52"/>
      <c r="P139" s="54"/>
      <c r="Q139" s="54"/>
      <c r="R139" s="52"/>
      <c r="S139" s="52"/>
      <c r="T139" s="5"/>
      <c r="U139" s="5"/>
      <c r="V139" s="5"/>
      <c r="W139" s="52"/>
      <c r="X139" s="52"/>
      <c r="Y139" s="5"/>
      <c r="AD139" s="5"/>
      <c r="AG139" s="5"/>
      <c r="AH139" s="5"/>
      <c r="AJ139" s="53"/>
      <c r="AM139" s="22">
        <f t="shared" si="9"/>
        <v>0</v>
      </c>
    </row>
    <row r="140" spans="1:39" ht="15.75" x14ac:dyDescent="0.25">
      <c r="A140" s="19" t="s">
        <v>55</v>
      </c>
      <c r="B140" s="19"/>
      <c r="C140" s="20"/>
      <c r="D140" s="20"/>
      <c r="E140" s="20"/>
      <c r="F140" s="19"/>
      <c r="G140" s="21"/>
      <c r="H140" s="21"/>
      <c r="I140" s="5"/>
      <c r="J140" s="5"/>
      <c r="K140" s="5"/>
      <c r="L140" s="52"/>
      <c r="M140" s="5"/>
      <c r="O140" s="52"/>
      <c r="P140" s="54"/>
      <c r="Q140" s="54"/>
      <c r="R140" s="52"/>
      <c r="S140" s="5"/>
      <c r="T140" s="5"/>
      <c r="U140" s="5"/>
      <c r="V140" s="5"/>
      <c r="W140" s="5"/>
      <c r="X140" s="52"/>
      <c r="Y140" s="5"/>
      <c r="AD140" s="5"/>
      <c r="AF140" s="53"/>
      <c r="AH140" s="5"/>
      <c r="AM140" s="22">
        <f t="shared" si="9"/>
        <v>0</v>
      </c>
    </row>
    <row r="141" spans="1:39" ht="15.75" x14ac:dyDescent="0.25">
      <c r="A141" s="19" t="s">
        <v>55</v>
      </c>
      <c r="B141" s="19"/>
      <c r="C141" s="20"/>
      <c r="D141" s="20"/>
      <c r="E141" s="20"/>
      <c r="F141" s="19"/>
      <c r="G141" s="21"/>
      <c r="H141" s="21"/>
      <c r="I141" s="5"/>
      <c r="J141" s="5"/>
      <c r="K141" s="5"/>
      <c r="L141" s="5"/>
      <c r="M141" s="5"/>
      <c r="O141" s="52"/>
      <c r="P141" s="54"/>
      <c r="Q141" s="5"/>
      <c r="R141" s="5"/>
      <c r="S141" s="5"/>
      <c r="T141" s="5"/>
      <c r="U141" s="5"/>
      <c r="V141" s="5"/>
      <c r="W141" s="5"/>
      <c r="X141" s="5"/>
      <c r="Y141" s="5"/>
      <c r="AG141" s="5"/>
      <c r="AH141" s="5"/>
      <c r="AM141" s="22">
        <f t="shared" si="9"/>
        <v>0</v>
      </c>
    </row>
    <row r="142" spans="1:39" ht="15.75" x14ac:dyDescent="0.25">
      <c r="A142" s="19" t="s">
        <v>55</v>
      </c>
      <c r="B142" s="19"/>
      <c r="C142" s="20"/>
      <c r="D142" s="20"/>
      <c r="E142" s="20"/>
      <c r="F142" s="19"/>
      <c r="G142" s="21"/>
      <c r="H142" s="21"/>
      <c r="I142" s="5"/>
      <c r="J142" s="5"/>
      <c r="K142" s="5"/>
      <c r="L142" s="52"/>
      <c r="M142" s="5"/>
      <c r="O142" s="52"/>
      <c r="P142" s="54"/>
      <c r="Q142" s="54"/>
      <c r="R142" s="52"/>
      <c r="S142" s="52"/>
      <c r="T142" s="5"/>
      <c r="U142" s="5"/>
      <c r="V142" s="5"/>
      <c r="W142" s="52"/>
      <c r="X142" s="52"/>
      <c r="Y142" s="5"/>
      <c r="AD142" s="5"/>
      <c r="AE142" s="53"/>
      <c r="AH142" s="5"/>
      <c r="AM142" s="22">
        <f t="shared" si="9"/>
        <v>0</v>
      </c>
    </row>
    <row r="143" spans="1:39" ht="15.75" x14ac:dyDescent="0.25">
      <c r="A143" s="19" t="s">
        <v>55</v>
      </c>
      <c r="B143" s="19"/>
      <c r="C143" s="20"/>
      <c r="D143" s="20"/>
      <c r="E143" s="20"/>
      <c r="F143" s="19"/>
      <c r="G143" s="21"/>
      <c r="H143" s="21"/>
      <c r="I143" s="5"/>
      <c r="J143" s="5"/>
      <c r="K143" s="5"/>
      <c r="L143" s="52"/>
      <c r="M143" s="52"/>
      <c r="N143" s="5"/>
      <c r="O143" s="52"/>
      <c r="P143" s="54"/>
      <c r="Q143" s="53"/>
      <c r="R143" s="52"/>
      <c r="S143" s="52"/>
      <c r="T143" s="52"/>
      <c r="U143" s="5"/>
      <c r="V143" s="52"/>
      <c r="W143" s="52"/>
      <c r="X143" s="52"/>
      <c r="Y143" s="52"/>
      <c r="Z143" s="53"/>
      <c r="AA143" s="53"/>
      <c r="AB143" s="5"/>
      <c r="AD143" s="52"/>
      <c r="AE143" s="53"/>
      <c r="AF143" s="53"/>
      <c r="AG143" s="52"/>
      <c r="AH143" s="52"/>
      <c r="AJ143" s="53"/>
      <c r="AM143" s="22">
        <f t="shared" si="9"/>
        <v>0</v>
      </c>
    </row>
    <row r="144" spans="1:39" ht="15.75" x14ac:dyDescent="0.25">
      <c r="A144" s="19" t="s">
        <v>55</v>
      </c>
      <c r="B144" s="19"/>
      <c r="C144" s="20"/>
      <c r="D144" s="20"/>
      <c r="E144" s="20"/>
      <c r="F144" s="19"/>
      <c r="G144" s="21"/>
      <c r="H144" s="21"/>
      <c r="I144" s="5"/>
      <c r="J144" s="5"/>
      <c r="K144" s="5"/>
      <c r="L144" s="52"/>
      <c r="M144" s="5"/>
      <c r="O144" s="52"/>
      <c r="P144" s="54"/>
      <c r="Q144" s="52"/>
      <c r="R144" s="52"/>
      <c r="S144" s="52"/>
      <c r="T144" s="5"/>
      <c r="U144" s="5"/>
      <c r="V144" s="52"/>
      <c r="W144" s="52"/>
      <c r="X144" s="52"/>
      <c r="Y144" s="52"/>
      <c r="Z144" s="53"/>
      <c r="AA144" s="5"/>
      <c r="AD144" s="5"/>
      <c r="AE144" s="53"/>
      <c r="AF144" s="53"/>
      <c r="AG144" s="52"/>
      <c r="AH144" s="5"/>
      <c r="AJ144" s="53"/>
      <c r="AM144" s="22">
        <f t="shared" si="9"/>
        <v>0</v>
      </c>
    </row>
    <row r="145" spans="1:39" ht="15.75" x14ac:dyDescent="0.25">
      <c r="A145" s="19" t="s">
        <v>55</v>
      </c>
      <c r="B145" s="19"/>
      <c r="C145" s="20"/>
      <c r="D145" s="20"/>
      <c r="E145" s="20"/>
      <c r="F145" s="19"/>
      <c r="G145" s="21"/>
      <c r="H145" s="21"/>
      <c r="I145" s="5"/>
      <c r="J145" s="5"/>
      <c r="K145" s="5"/>
      <c r="L145" s="5"/>
      <c r="M145" s="5"/>
      <c r="O145" s="5"/>
      <c r="P145" s="54"/>
      <c r="Q145" s="5"/>
      <c r="R145" s="5"/>
      <c r="S145" s="5"/>
      <c r="T145" s="5"/>
      <c r="U145" s="5"/>
      <c r="V145" s="5"/>
      <c r="W145" s="52"/>
      <c r="X145" s="52"/>
      <c r="Y145" s="52"/>
      <c r="AC145" s="53"/>
      <c r="AD145" s="52"/>
      <c r="AE145" s="53"/>
      <c r="AF145" s="53"/>
      <c r="AH145" s="5"/>
      <c r="AJ145" s="53"/>
      <c r="AM145" s="22">
        <f t="shared" si="9"/>
        <v>0</v>
      </c>
    </row>
    <row r="146" spans="1:39" ht="15.75" x14ac:dyDescent="0.25">
      <c r="A146" s="19" t="s">
        <v>55</v>
      </c>
      <c r="B146" s="19"/>
      <c r="C146" s="20"/>
      <c r="D146" s="20"/>
      <c r="E146" s="20"/>
      <c r="F146" s="19"/>
      <c r="G146" s="21"/>
      <c r="H146" s="21"/>
      <c r="I146" s="5"/>
      <c r="J146" s="5"/>
      <c r="K146" s="5"/>
      <c r="L146" s="52"/>
      <c r="M146" s="5"/>
      <c r="O146" s="52"/>
      <c r="P146" s="54"/>
      <c r="Q146" s="52"/>
      <c r="R146" s="52"/>
      <c r="S146" s="52"/>
      <c r="T146" s="5"/>
      <c r="U146" s="5"/>
      <c r="V146" s="52"/>
      <c r="W146" s="52"/>
      <c r="X146" s="52"/>
      <c r="Y146" s="52"/>
      <c r="Z146" s="53"/>
      <c r="AA146" s="5"/>
      <c r="AC146" s="53"/>
      <c r="AD146" s="52"/>
      <c r="AE146" s="53"/>
      <c r="AF146" s="53"/>
      <c r="AG146" s="52"/>
      <c r="AH146" s="5"/>
      <c r="AJ146" s="53"/>
      <c r="AM146" s="22">
        <f t="shared" ref="AM146:AM209" si="10">COUNTA(I146:AL146)</f>
        <v>0</v>
      </c>
    </row>
    <row r="147" spans="1:39" ht="15.75" x14ac:dyDescent="0.25">
      <c r="A147" s="19" t="s">
        <v>55</v>
      </c>
      <c r="B147" s="19"/>
      <c r="C147" s="20"/>
      <c r="D147" s="20"/>
      <c r="E147" s="20"/>
      <c r="F147" s="19"/>
      <c r="G147" s="21"/>
      <c r="H147" s="21"/>
      <c r="I147" s="5"/>
      <c r="J147" s="5"/>
      <c r="K147" s="5"/>
      <c r="L147" s="52"/>
      <c r="M147" s="5"/>
      <c r="O147" s="52"/>
      <c r="P147" s="54"/>
      <c r="Q147" s="52"/>
      <c r="R147" s="52"/>
      <c r="S147" s="52"/>
      <c r="T147" s="5"/>
      <c r="U147" s="5"/>
      <c r="V147" s="52"/>
      <c r="W147" s="52"/>
      <c r="X147" s="52"/>
      <c r="Y147" s="52"/>
      <c r="Z147" s="53"/>
      <c r="AA147" s="5"/>
      <c r="AC147" s="53"/>
      <c r="AD147" s="52"/>
      <c r="AE147" s="53"/>
      <c r="AF147" s="53"/>
      <c r="AG147" s="52"/>
      <c r="AH147" s="5"/>
      <c r="AJ147" s="53"/>
      <c r="AM147" s="22">
        <f t="shared" si="10"/>
        <v>0</v>
      </c>
    </row>
    <row r="148" spans="1:39" ht="15.75" x14ac:dyDescent="0.25">
      <c r="A148" s="19" t="s">
        <v>55</v>
      </c>
      <c r="B148" s="19"/>
      <c r="C148" s="20"/>
      <c r="D148" s="20"/>
      <c r="E148" s="20"/>
      <c r="F148" s="19"/>
      <c r="G148" s="21"/>
      <c r="H148" s="21"/>
      <c r="I148" s="5"/>
      <c r="J148" s="5"/>
      <c r="K148" s="5"/>
      <c r="L148" s="52"/>
      <c r="M148" s="5"/>
      <c r="O148" s="52"/>
      <c r="P148" s="54"/>
      <c r="Q148" s="52"/>
      <c r="R148" s="52"/>
      <c r="S148" s="52"/>
      <c r="T148" s="5"/>
      <c r="U148" s="5"/>
      <c r="V148" s="52"/>
      <c r="W148" s="52"/>
      <c r="X148" s="52"/>
      <c r="Y148" s="52"/>
      <c r="Z148" s="53"/>
      <c r="AA148" s="5"/>
      <c r="AC148" s="53"/>
      <c r="AD148" s="52"/>
      <c r="AE148" s="53"/>
      <c r="AF148" s="53"/>
      <c r="AG148" s="52"/>
      <c r="AH148" s="5"/>
      <c r="AJ148" s="53"/>
      <c r="AM148" s="22">
        <f t="shared" si="10"/>
        <v>0</v>
      </c>
    </row>
    <row r="149" spans="1:39" ht="15.75" x14ac:dyDescent="0.25">
      <c r="A149" s="19" t="s">
        <v>55</v>
      </c>
      <c r="B149" s="19"/>
      <c r="C149" s="20"/>
      <c r="D149" s="20"/>
      <c r="E149" s="20"/>
      <c r="F149" s="19"/>
      <c r="G149" s="21"/>
      <c r="H149" s="21"/>
      <c r="I149" s="5"/>
      <c r="J149" s="5"/>
      <c r="K149" s="5"/>
      <c r="L149" s="52"/>
      <c r="M149" s="5"/>
      <c r="O149" s="52"/>
      <c r="P149" s="54"/>
      <c r="Q149" s="52"/>
      <c r="R149" s="52"/>
      <c r="S149" s="52"/>
      <c r="T149" s="5"/>
      <c r="U149" s="5"/>
      <c r="V149" s="52"/>
      <c r="W149" s="52"/>
      <c r="X149" s="52"/>
      <c r="Y149" s="52"/>
      <c r="Z149" s="53"/>
      <c r="AA149" s="5"/>
      <c r="AC149" s="53"/>
      <c r="AD149" s="52"/>
      <c r="AE149" s="53"/>
      <c r="AG149" s="52"/>
      <c r="AH149" s="5"/>
      <c r="AJ149" s="53"/>
      <c r="AM149" s="22">
        <f t="shared" si="10"/>
        <v>0</v>
      </c>
    </row>
    <row r="150" spans="1:39" ht="15.75" x14ac:dyDescent="0.25">
      <c r="A150" s="19" t="s">
        <v>55</v>
      </c>
      <c r="B150" s="19"/>
      <c r="C150" s="20"/>
      <c r="D150" s="20"/>
      <c r="E150" s="20"/>
      <c r="F150" s="19"/>
      <c r="G150" s="21"/>
      <c r="H150" s="21"/>
      <c r="I150" s="5"/>
      <c r="J150" s="5"/>
      <c r="K150" s="5"/>
      <c r="L150" s="5"/>
      <c r="M150" s="5"/>
      <c r="O150" s="5"/>
      <c r="P150" s="54"/>
      <c r="Q150" s="52"/>
      <c r="R150" s="5"/>
      <c r="S150" s="5"/>
      <c r="T150" s="5"/>
      <c r="U150" s="5"/>
      <c r="V150" s="52"/>
      <c r="W150" s="5"/>
      <c r="X150" s="52"/>
      <c r="Y150" s="5"/>
      <c r="AA150" s="5"/>
      <c r="AE150" s="53"/>
      <c r="AF150" s="53"/>
      <c r="AH150" s="5"/>
      <c r="AM150" s="22">
        <f t="shared" si="10"/>
        <v>0</v>
      </c>
    </row>
    <row r="151" spans="1:39" ht="15.75" x14ac:dyDescent="0.25">
      <c r="A151" s="19" t="s">
        <v>55</v>
      </c>
      <c r="B151" s="19"/>
      <c r="C151" s="20"/>
      <c r="D151" s="20"/>
      <c r="E151" s="20"/>
      <c r="F151" s="19"/>
      <c r="G151" s="21"/>
      <c r="H151" s="21"/>
      <c r="I151" s="5"/>
      <c r="J151" s="5"/>
      <c r="K151" s="5"/>
      <c r="L151" s="5"/>
      <c r="M151" s="5"/>
      <c r="O151" s="5"/>
      <c r="P151" s="54"/>
      <c r="Q151" s="5"/>
      <c r="R151" s="5"/>
      <c r="S151" s="5"/>
      <c r="T151" s="5"/>
      <c r="U151" s="5"/>
      <c r="V151" s="5"/>
      <c r="W151" s="5"/>
      <c r="X151" s="52"/>
      <c r="Y151" s="52"/>
      <c r="AC151" s="53"/>
      <c r="AE151" s="53"/>
      <c r="AF151" s="53"/>
      <c r="AH151" s="5"/>
      <c r="AJ151" s="53"/>
      <c r="AM151" s="22">
        <f t="shared" si="10"/>
        <v>0</v>
      </c>
    </row>
    <row r="152" spans="1:39" ht="15.75" x14ac:dyDescent="0.25">
      <c r="A152" s="19" t="s">
        <v>55</v>
      </c>
      <c r="B152" s="19"/>
      <c r="C152" s="20"/>
      <c r="D152" s="20"/>
      <c r="E152" s="20"/>
      <c r="F152" s="19"/>
      <c r="G152" s="21"/>
      <c r="H152" s="21"/>
      <c r="I152" s="5"/>
      <c r="J152" s="5"/>
      <c r="K152" s="5"/>
      <c r="L152" s="5"/>
      <c r="M152" s="5"/>
      <c r="O152" s="5"/>
      <c r="P152" s="54"/>
      <c r="Q152" s="5"/>
      <c r="R152" s="5"/>
      <c r="S152" s="5"/>
      <c r="T152" s="5"/>
      <c r="U152" s="5"/>
      <c r="V152" s="5"/>
      <c r="W152" s="52"/>
      <c r="X152" s="52"/>
      <c r="Y152" s="52"/>
      <c r="AC152" s="53"/>
      <c r="AD152" s="52"/>
      <c r="AE152" s="53"/>
      <c r="AF152" s="53"/>
      <c r="AH152" s="5"/>
      <c r="AJ152" s="53"/>
      <c r="AM152" s="22">
        <f t="shared" si="10"/>
        <v>0</v>
      </c>
    </row>
    <row r="153" spans="1:39" ht="15.75" x14ac:dyDescent="0.25">
      <c r="A153" s="19" t="s">
        <v>55</v>
      </c>
      <c r="B153" s="19"/>
      <c r="C153" s="20"/>
      <c r="D153" s="20"/>
      <c r="E153" s="20"/>
      <c r="F153" s="19"/>
      <c r="G153" s="21"/>
      <c r="H153" s="21"/>
      <c r="I153" s="5"/>
      <c r="J153" s="5"/>
      <c r="K153" s="5"/>
      <c r="L153" s="5"/>
      <c r="M153" s="5"/>
      <c r="O153" s="5"/>
      <c r="P153" s="54"/>
      <c r="Q153" s="5"/>
      <c r="R153" s="5"/>
      <c r="S153" s="5"/>
      <c r="T153" s="5"/>
      <c r="U153" s="5"/>
      <c r="V153" s="5"/>
      <c r="W153" s="52"/>
      <c r="X153" s="52"/>
      <c r="Y153" s="52"/>
      <c r="AC153" s="53"/>
      <c r="AD153" s="52"/>
      <c r="AE153" s="53"/>
      <c r="AF153" s="53"/>
      <c r="AH153" s="5"/>
      <c r="AJ153" s="53"/>
      <c r="AM153" s="22">
        <f t="shared" si="10"/>
        <v>0</v>
      </c>
    </row>
    <row r="154" spans="1:39" ht="15.75" x14ac:dyDescent="0.25">
      <c r="A154" s="19" t="s">
        <v>55</v>
      </c>
      <c r="B154" s="19"/>
      <c r="C154" s="20"/>
      <c r="D154" s="20"/>
      <c r="E154" s="20"/>
      <c r="F154" s="19"/>
      <c r="G154" s="21"/>
      <c r="H154" s="21"/>
      <c r="I154" s="5"/>
      <c r="J154" s="5"/>
      <c r="K154" s="5"/>
      <c r="L154" s="5"/>
      <c r="M154" s="5"/>
      <c r="O154" s="5"/>
      <c r="P154" s="54"/>
      <c r="Q154" s="5"/>
      <c r="R154" s="5"/>
      <c r="S154" s="5"/>
      <c r="T154" s="5"/>
      <c r="U154" s="5"/>
      <c r="V154" s="5"/>
      <c r="W154" s="52"/>
      <c r="X154" s="52"/>
      <c r="Y154" s="52"/>
      <c r="AC154" s="53"/>
      <c r="AD154" s="52"/>
      <c r="AE154" s="53"/>
      <c r="AF154" s="53"/>
      <c r="AH154" s="5"/>
      <c r="AJ154" s="53"/>
      <c r="AM154" s="22">
        <f t="shared" si="10"/>
        <v>0</v>
      </c>
    </row>
    <row r="155" spans="1:39" ht="15.75" x14ac:dyDescent="0.25">
      <c r="A155" s="19" t="s">
        <v>55</v>
      </c>
      <c r="B155" s="19"/>
      <c r="C155" s="20"/>
      <c r="D155" s="20"/>
      <c r="E155" s="20"/>
      <c r="F155" s="19"/>
      <c r="G155" s="21"/>
      <c r="H155" s="21"/>
      <c r="I155" s="5"/>
      <c r="J155" s="5"/>
      <c r="K155" s="5"/>
      <c r="L155" s="5"/>
      <c r="M155" s="5"/>
      <c r="O155" s="5"/>
      <c r="P155" s="54"/>
      <c r="Q155" s="5"/>
      <c r="R155" s="5"/>
      <c r="S155" s="5"/>
      <c r="T155" s="5"/>
      <c r="U155" s="5"/>
      <c r="V155" s="5"/>
      <c r="W155" s="52"/>
      <c r="X155" s="52"/>
      <c r="Y155" s="52"/>
      <c r="AC155" s="53"/>
      <c r="AD155" s="52"/>
      <c r="AE155" s="53"/>
      <c r="AF155" s="53"/>
      <c r="AH155" s="5"/>
      <c r="AJ155" s="53"/>
      <c r="AM155" s="22">
        <f t="shared" si="10"/>
        <v>0</v>
      </c>
    </row>
    <row r="156" spans="1:39" ht="15.75" x14ac:dyDescent="0.25">
      <c r="A156" s="19" t="s">
        <v>55</v>
      </c>
      <c r="B156" s="19"/>
      <c r="C156" s="20"/>
      <c r="D156" s="20"/>
      <c r="E156" s="20"/>
      <c r="F156" s="19"/>
      <c r="G156" s="21"/>
      <c r="H156" s="21"/>
      <c r="I156" s="5"/>
      <c r="J156" s="5"/>
      <c r="K156" s="5"/>
      <c r="L156" s="5"/>
      <c r="M156" s="5"/>
      <c r="O156" s="52"/>
      <c r="P156" s="54"/>
      <c r="Q156" s="52"/>
      <c r="R156" s="52"/>
      <c r="S156" s="52"/>
      <c r="T156" s="5"/>
      <c r="U156" s="5"/>
      <c r="V156" s="52"/>
      <c r="W156" s="52"/>
      <c r="X156" s="52"/>
      <c r="Y156" s="52"/>
      <c r="Z156" s="53"/>
      <c r="AA156" s="5"/>
      <c r="AC156" s="53"/>
      <c r="AD156" s="52"/>
      <c r="AE156" s="53"/>
      <c r="AF156" s="53"/>
      <c r="AG156" s="52"/>
      <c r="AH156" s="5"/>
      <c r="AJ156" s="53"/>
      <c r="AM156" s="22">
        <f t="shared" si="10"/>
        <v>0</v>
      </c>
    </row>
    <row r="157" spans="1:39" ht="15.75" x14ac:dyDescent="0.25">
      <c r="A157" s="19" t="s">
        <v>55</v>
      </c>
      <c r="B157" s="19"/>
      <c r="C157" s="20"/>
      <c r="D157" s="20"/>
      <c r="E157" s="20"/>
      <c r="F157" s="19"/>
      <c r="G157" s="21"/>
      <c r="H157" s="21"/>
      <c r="I157" s="5"/>
      <c r="J157" s="5"/>
      <c r="K157" s="5"/>
      <c r="L157" s="52"/>
      <c r="M157" s="5"/>
      <c r="O157" s="52"/>
      <c r="P157" s="54"/>
      <c r="Q157" s="52"/>
      <c r="R157" s="52"/>
      <c r="S157" s="52"/>
      <c r="T157" s="5"/>
      <c r="U157" s="5"/>
      <c r="V157" s="52"/>
      <c r="W157" s="52"/>
      <c r="X157" s="52"/>
      <c r="Y157" s="52"/>
      <c r="Z157" s="53"/>
      <c r="AA157" s="5"/>
      <c r="AC157" s="53"/>
      <c r="AD157" s="52"/>
      <c r="AE157" s="53"/>
      <c r="AF157" s="53"/>
      <c r="AG157" s="52"/>
      <c r="AH157" s="5"/>
      <c r="AJ157" s="53"/>
      <c r="AM157" s="22">
        <f t="shared" si="10"/>
        <v>0</v>
      </c>
    </row>
    <row r="158" spans="1:39" ht="15.75" x14ac:dyDescent="0.25">
      <c r="A158" s="19" t="s">
        <v>55</v>
      </c>
      <c r="B158" s="19"/>
      <c r="C158" s="20"/>
      <c r="D158" s="20"/>
      <c r="E158" s="20"/>
      <c r="F158" s="19"/>
      <c r="G158" s="21"/>
      <c r="H158" s="21"/>
      <c r="I158" s="5"/>
      <c r="J158" s="5"/>
      <c r="K158" s="5"/>
      <c r="L158" s="52"/>
      <c r="M158" s="5"/>
      <c r="N158" s="5"/>
      <c r="O158" s="52"/>
      <c r="P158" s="54"/>
      <c r="Q158" s="52"/>
      <c r="R158" s="52"/>
      <c r="S158" s="52"/>
      <c r="T158" s="5"/>
      <c r="U158" s="5"/>
      <c r="V158" s="52"/>
      <c r="W158" s="52"/>
      <c r="X158" s="52"/>
      <c r="Y158" s="52"/>
      <c r="Z158" s="53"/>
      <c r="AA158" s="5"/>
      <c r="AC158" s="53"/>
      <c r="AD158" s="52"/>
      <c r="AE158" s="53"/>
      <c r="AF158" s="53"/>
      <c r="AG158" s="52"/>
      <c r="AH158" s="5"/>
      <c r="AJ158" s="53"/>
      <c r="AM158" s="22">
        <f t="shared" si="10"/>
        <v>0</v>
      </c>
    </row>
    <row r="159" spans="1:39" ht="15.75" x14ac:dyDescent="0.25">
      <c r="A159" s="19" t="s">
        <v>55</v>
      </c>
      <c r="B159" s="19"/>
      <c r="C159" s="20"/>
      <c r="D159" s="20"/>
      <c r="E159" s="20"/>
      <c r="F159" s="19"/>
      <c r="G159" s="21"/>
      <c r="H159" s="21"/>
      <c r="I159" s="5"/>
      <c r="J159" s="5"/>
      <c r="K159" s="5"/>
      <c r="L159" s="52"/>
      <c r="M159" s="5"/>
      <c r="O159" s="52"/>
      <c r="P159" s="54"/>
      <c r="Q159" s="52"/>
      <c r="R159" s="52"/>
      <c r="S159" s="52"/>
      <c r="T159" s="5"/>
      <c r="U159" s="5"/>
      <c r="V159" s="52"/>
      <c r="W159" s="52"/>
      <c r="X159" s="52"/>
      <c r="Y159" s="52"/>
      <c r="Z159" s="53"/>
      <c r="AA159" s="5"/>
      <c r="AC159" s="53"/>
      <c r="AD159" s="52"/>
      <c r="AE159" s="53"/>
      <c r="AF159" s="53"/>
      <c r="AG159" s="52"/>
      <c r="AH159" s="5"/>
      <c r="AJ159" s="53"/>
      <c r="AM159" s="22">
        <f t="shared" si="10"/>
        <v>0</v>
      </c>
    </row>
    <row r="160" spans="1:39" ht="15.75" x14ac:dyDescent="0.25">
      <c r="A160" s="19" t="s">
        <v>55</v>
      </c>
      <c r="B160" s="19"/>
      <c r="C160" s="20"/>
      <c r="D160" s="20"/>
      <c r="E160" s="20"/>
      <c r="F160" s="19"/>
      <c r="G160" s="21"/>
      <c r="H160" s="21"/>
      <c r="I160" s="5"/>
      <c r="J160" s="5"/>
      <c r="K160" s="5"/>
      <c r="L160" s="52"/>
      <c r="M160" s="5"/>
      <c r="N160" s="5"/>
      <c r="O160" s="52"/>
      <c r="P160" s="54"/>
      <c r="Q160" s="52"/>
      <c r="R160" s="52"/>
      <c r="S160" s="52"/>
      <c r="T160" s="5"/>
      <c r="U160" s="5"/>
      <c r="V160" s="52"/>
      <c r="W160" s="52"/>
      <c r="X160" s="52"/>
      <c r="Y160" s="52"/>
      <c r="Z160" s="53"/>
      <c r="AA160" s="5"/>
      <c r="AC160" s="53"/>
      <c r="AD160" s="52"/>
      <c r="AF160" s="53"/>
      <c r="AG160" s="52"/>
      <c r="AH160" s="5"/>
      <c r="AJ160" s="53"/>
      <c r="AM160" s="22">
        <f t="shared" si="10"/>
        <v>0</v>
      </c>
    </row>
    <row r="161" spans="1:39" ht="15.75" x14ac:dyDescent="0.25">
      <c r="A161" s="19" t="s">
        <v>55</v>
      </c>
      <c r="B161" s="19"/>
      <c r="C161" s="20"/>
      <c r="D161" s="20"/>
      <c r="E161" s="20"/>
      <c r="F161" s="19"/>
      <c r="G161" s="21"/>
      <c r="H161" s="21"/>
      <c r="I161" s="5"/>
      <c r="J161" s="5"/>
      <c r="K161" s="5"/>
      <c r="L161" s="52"/>
      <c r="M161" s="5"/>
      <c r="O161" s="5"/>
      <c r="P161" s="54"/>
      <c r="Q161" s="52"/>
      <c r="R161" s="5"/>
      <c r="S161" s="52"/>
      <c r="T161" s="5"/>
      <c r="U161" s="5"/>
      <c r="V161" s="52"/>
      <c r="W161" s="52"/>
      <c r="X161" s="52"/>
      <c r="Y161" s="52"/>
      <c r="Z161" s="53"/>
      <c r="AA161" s="5"/>
      <c r="AC161" s="53"/>
      <c r="AD161" s="52"/>
      <c r="AE161" s="53"/>
      <c r="AF161" s="53"/>
      <c r="AG161" s="52"/>
      <c r="AH161" s="5"/>
      <c r="AJ161" s="53"/>
      <c r="AM161" s="22">
        <f t="shared" si="10"/>
        <v>0</v>
      </c>
    </row>
    <row r="162" spans="1:39" ht="15.75" x14ac:dyDescent="0.25">
      <c r="A162" s="19" t="s">
        <v>55</v>
      </c>
      <c r="B162" s="19"/>
      <c r="C162" s="20"/>
      <c r="D162" s="20"/>
      <c r="E162" s="20"/>
      <c r="F162" s="19"/>
      <c r="G162" s="21"/>
      <c r="H162" s="21"/>
      <c r="I162" s="5"/>
      <c r="J162" s="5"/>
      <c r="K162" s="5"/>
      <c r="L162" s="52"/>
      <c r="M162" s="5"/>
      <c r="O162" s="52"/>
      <c r="P162" s="54"/>
      <c r="Q162" s="52"/>
      <c r="R162" s="52"/>
      <c r="S162" s="52"/>
      <c r="T162" s="5"/>
      <c r="U162" s="5"/>
      <c r="V162" s="52"/>
      <c r="W162" s="52"/>
      <c r="X162" s="52"/>
      <c r="Y162" s="52"/>
      <c r="Z162" s="53"/>
      <c r="AA162" s="5"/>
      <c r="AD162" s="5"/>
      <c r="AG162" s="5"/>
      <c r="AH162" s="5"/>
      <c r="AM162" s="22">
        <f t="shared" si="10"/>
        <v>0</v>
      </c>
    </row>
    <row r="163" spans="1:39" ht="15.75" x14ac:dyDescent="0.25">
      <c r="A163" s="19" t="s">
        <v>55</v>
      </c>
      <c r="B163" s="19"/>
      <c r="C163" s="20"/>
      <c r="D163" s="20"/>
      <c r="E163" s="20"/>
      <c r="F163" s="19"/>
      <c r="G163" s="21"/>
      <c r="H163" s="21"/>
      <c r="I163" s="5"/>
      <c r="J163" s="5"/>
      <c r="K163" s="5"/>
      <c r="L163" s="52"/>
      <c r="M163" s="5"/>
      <c r="O163" s="52"/>
      <c r="P163" s="54"/>
      <c r="Q163" s="52"/>
      <c r="R163" s="52"/>
      <c r="S163" s="5"/>
      <c r="T163" s="5"/>
      <c r="U163" s="5"/>
      <c r="V163" s="52"/>
      <c r="W163" s="52"/>
      <c r="X163" s="52"/>
      <c r="Y163" s="52"/>
      <c r="Z163" s="53"/>
      <c r="AA163" s="5"/>
      <c r="AC163" s="53"/>
      <c r="AD163" s="52"/>
      <c r="AE163" s="53"/>
      <c r="AF163" s="53"/>
      <c r="AG163" s="52"/>
      <c r="AH163" s="5"/>
      <c r="AJ163" s="53"/>
      <c r="AM163" s="22">
        <f t="shared" si="10"/>
        <v>0</v>
      </c>
    </row>
    <row r="164" spans="1:39" ht="15.75" x14ac:dyDescent="0.25">
      <c r="A164" s="19" t="s">
        <v>55</v>
      </c>
      <c r="B164" s="19"/>
      <c r="C164" s="20"/>
      <c r="D164" s="20"/>
      <c r="E164" s="20"/>
      <c r="F164" s="19"/>
      <c r="G164" s="21"/>
      <c r="H164" s="21"/>
      <c r="I164" s="5"/>
      <c r="J164" s="5"/>
      <c r="K164" s="5"/>
      <c r="L164" s="52"/>
      <c r="M164" s="5"/>
      <c r="O164" s="52"/>
      <c r="P164" s="54"/>
      <c r="Q164" s="52"/>
      <c r="R164" s="52"/>
      <c r="S164" s="52"/>
      <c r="T164" s="5"/>
      <c r="U164" s="5"/>
      <c r="V164" s="52"/>
      <c r="W164" s="52"/>
      <c r="X164" s="52"/>
      <c r="Y164" s="52"/>
      <c r="Z164" s="53"/>
      <c r="AA164" s="5"/>
      <c r="AD164" s="52"/>
      <c r="AE164" s="53"/>
      <c r="AG164" s="52"/>
      <c r="AH164" s="5"/>
      <c r="AJ164" s="53"/>
      <c r="AM164" s="22">
        <f t="shared" si="10"/>
        <v>0</v>
      </c>
    </row>
    <row r="165" spans="1:39" ht="15.75" x14ac:dyDescent="0.25">
      <c r="A165" s="19" t="s">
        <v>55</v>
      </c>
      <c r="B165" s="19"/>
      <c r="C165" s="20"/>
      <c r="D165" s="20"/>
      <c r="E165" s="20"/>
      <c r="F165" s="19"/>
      <c r="G165" s="21"/>
      <c r="H165" s="21"/>
      <c r="I165" s="5"/>
      <c r="J165" s="5"/>
      <c r="K165" s="5"/>
      <c r="L165" s="52"/>
      <c r="M165" s="5"/>
      <c r="O165" s="52"/>
      <c r="P165" s="54"/>
      <c r="Q165" s="5"/>
      <c r="R165" s="5"/>
      <c r="S165" s="5"/>
      <c r="T165" s="5"/>
      <c r="U165" s="5"/>
      <c r="V165" s="5"/>
      <c r="W165" s="5"/>
      <c r="X165" s="5"/>
      <c r="Y165" s="52"/>
      <c r="Z165" s="53"/>
      <c r="AA165" s="5"/>
      <c r="AC165" s="53"/>
      <c r="AD165" s="5"/>
      <c r="AF165" s="53"/>
      <c r="AG165" s="5"/>
      <c r="AH165" s="5"/>
      <c r="AM165" s="22">
        <f t="shared" si="10"/>
        <v>0</v>
      </c>
    </row>
    <row r="166" spans="1:39" ht="15.75" x14ac:dyDescent="0.25">
      <c r="A166" s="19" t="s">
        <v>55</v>
      </c>
      <c r="B166" s="19"/>
      <c r="C166" s="20"/>
      <c r="D166" s="20"/>
      <c r="E166" s="20"/>
      <c r="F166" s="19"/>
      <c r="G166" s="21"/>
      <c r="H166" s="21"/>
      <c r="I166" s="5"/>
      <c r="J166" s="5"/>
      <c r="K166" s="5"/>
      <c r="L166" s="5"/>
      <c r="M166" s="5"/>
      <c r="O166" s="5"/>
      <c r="P166" s="54"/>
      <c r="Q166" s="52"/>
      <c r="R166" s="52"/>
      <c r="S166" s="52"/>
      <c r="T166" s="5"/>
      <c r="U166" s="5"/>
      <c r="V166" s="52"/>
      <c r="W166" s="52"/>
      <c r="X166" s="52"/>
      <c r="Y166" s="52"/>
      <c r="Z166" s="53"/>
      <c r="AA166" s="5"/>
      <c r="AC166" s="53"/>
      <c r="AD166" s="52"/>
      <c r="AE166" s="53"/>
      <c r="AF166" s="53"/>
      <c r="AG166" s="52"/>
      <c r="AH166" s="5"/>
      <c r="AJ166" s="53"/>
      <c r="AM166" s="22">
        <f t="shared" si="10"/>
        <v>0</v>
      </c>
    </row>
    <row r="167" spans="1:39" ht="15.75" x14ac:dyDescent="0.25">
      <c r="A167" s="19" t="s">
        <v>55</v>
      </c>
      <c r="B167" s="19"/>
      <c r="C167" s="20"/>
      <c r="D167" s="20"/>
      <c r="E167" s="20"/>
      <c r="F167" s="19"/>
      <c r="G167" s="21"/>
      <c r="H167" s="21"/>
      <c r="I167" s="5"/>
      <c r="J167" s="5"/>
      <c r="K167" s="5"/>
      <c r="L167" s="52"/>
      <c r="M167" s="5"/>
      <c r="N167" s="5"/>
      <c r="O167" s="52"/>
      <c r="P167" s="54"/>
      <c r="Q167" s="52"/>
      <c r="R167" s="5"/>
      <c r="S167" s="52"/>
      <c r="T167" s="5"/>
      <c r="U167" s="5"/>
      <c r="V167" s="52"/>
      <c r="W167" s="52"/>
      <c r="X167" s="52"/>
      <c r="Y167" s="52"/>
      <c r="AA167" s="5"/>
      <c r="AD167" s="52"/>
      <c r="AE167" s="53"/>
      <c r="AF167" s="53"/>
      <c r="AH167" s="5"/>
      <c r="AJ167" s="53"/>
      <c r="AM167" s="22">
        <f t="shared" si="10"/>
        <v>0</v>
      </c>
    </row>
    <row r="168" spans="1:39" ht="15.75" x14ac:dyDescent="0.25">
      <c r="A168" s="19" t="s">
        <v>55</v>
      </c>
      <c r="B168" s="19"/>
      <c r="C168" s="20"/>
      <c r="D168" s="20"/>
      <c r="E168" s="20"/>
      <c r="F168" s="19"/>
      <c r="G168" s="21"/>
      <c r="H168" s="21"/>
      <c r="I168" s="5"/>
      <c r="J168" s="5"/>
      <c r="K168" s="5"/>
      <c r="L168" s="52"/>
      <c r="M168" s="5"/>
      <c r="O168" s="52"/>
      <c r="P168" s="54"/>
      <c r="Q168" s="52"/>
      <c r="R168" s="52"/>
      <c r="S168" s="52"/>
      <c r="T168" s="5"/>
      <c r="U168" s="5"/>
      <c r="V168" s="52"/>
      <c r="W168" s="52"/>
      <c r="X168" s="52"/>
      <c r="Y168" s="52"/>
      <c r="Z168" s="53"/>
      <c r="AA168" s="5"/>
      <c r="AC168" s="53"/>
      <c r="AD168" s="52"/>
      <c r="AE168" s="53"/>
      <c r="AF168" s="53"/>
      <c r="AG168" s="52"/>
      <c r="AH168" s="5"/>
      <c r="AJ168" s="53"/>
      <c r="AM168" s="22">
        <f t="shared" si="10"/>
        <v>0</v>
      </c>
    </row>
    <row r="169" spans="1:39" ht="15.75" x14ac:dyDescent="0.25">
      <c r="A169" s="19" t="s">
        <v>55</v>
      </c>
      <c r="B169" s="19"/>
      <c r="C169" s="20"/>
      <c r="D169" s="20"/>
      <c r="E169" s="20"/>
      <c r="F169" s="19"/>
      <c r="G169" s="21"/>
      <c r="H169" s="21"/>
      <c r="I169" s="5"/>
      <c r="J169" s="5"/>
      <c r="K169" s="5"/>
      <c r="L169" s="52"/>
      <c r="M169" s="5"/>
      <c r="O169" s="52"/>
      <c r="P169" s="54"/>
      <c r="Q169" s="5"/>
      <c r="R169" s="5"/>
      <c r="S169" s="52"/>
      <c r="T169" s="5"/>
      <c r="U169" s="5"/>
      <c r="V169" s="52"/>
      <c r="W169" s="52"/>
      <c r="X169" s="52"/>
      <c r="Y169" s="52"/>
      <c r="Z169" s="53"/>
      <c r="AA169" s="5"/>
      <c r="AC169" s="53"/>
      <c r="AD169" s="52"/>
      <c r="AE169" s="53"/>
      <c r="AF169" s="53"/>
      <c r="AG169" s="52"/>
      <c r="AH169" s="5"/>
      <c r="AJ169" s="53"/>
      <c r="AM169" s="22">
        <f t="shared" si="10"/>
        <v>0</v>
      </c>
    </row>
    <row r="170" spans="1:39" ht="15.75" x14ac:dyDescent="0.25">
      <c r="A170" s="19" t="s">
        <v>55</v>
      </c>
      <c r="B170" s="19"/>
      <c r="C170" s="20"/>
      <c r="D170" s="20"/>
      <c r="E170" s="20"/>
      <c r="F170" s="19"/>
      <c r="G170" s="21"/>
      <c r="H170" s="21"/>
      <c r="I170" s="5"/>
      <c r="J170" s="5"/>
      <c r="K170" s="5"/>
      <c r="L170" s="52"/>
      <c r="M170" s="5"/>
      <c r="N170" s="5"/>
      <c r="O170" s="52"/>
      <c r="P170" s="54"/>
      <c r="Q170" s="52"/>
      <c r="R170" s="52"/>
      <c r="S170" s="52"/>
      <c r="T170" s="5"/>
      <c r="U170" s="5"/>
      <c r="V170" s="52"/>
      <c r="W170" s="52"/>
      <c r="X170" s="52"/>
      <c r="Y170" s="52"/>
      <c r="Z170" s="53"/>
      <c r="AA170" s="5"/>
      <c r="AC170" s="53"/>
      <c r="AD170" s="52"/>
      <c r="AE170" s="53"/>
      <c r="AF170" s="53"/>
      <c r="AG170" s="52"/>
      <c r="AH170" s="5"/>
      <c r="AJ170" s="53"/>
      <c r="AM170" s="22">
        <f t="shared" si="10"/>
        <v>0</v>
      </c>
    </row>
    <row r="171" spans="1:39" ht="15.75" x14ac:dyDescent="0.25">
      <c r="A171" s="19" t="s">
        <v>55</v>
      </c>
      <c r="B171" s="19"/>
      <c r="C171" s="20"/>
      <c r="D171" s="20"/>
      <c r="E171" s="20"/>
      <c r="F171" s="19"/>
      <c r="G171" s="21"/>
      <c r="H171" s="21"/>
      <c r="I171" s="5"/>
      <c r="J171" s="5"/>
      <c r="K171" s="5"/>
      <c r="L171" s="52"/>
      <c r="M171" s="5"/>
      <c r="N171" s="5"/>
      <c r="O171" s="52"/>
      <c r="P171" s="54"/>
      <c r="Q171" s="52"/>
      <c r="R171" s="5"/>
      <c r="S171" s="52"/>
      <c r="T171" s="5"/>
      <c r="U171" s="5"/>
      <c r="V171" s="52"/>
      <c r="W171" s="52"/>
      <c r="X171" s="52"/>
      <c r="Y171" s="52"/>
      <c r="AA171" s="5"/>
      <c r="AD171" s="52"/>
      <c r="AE171" s="53"/>
      <c r="AF171" s="53"/>
      <c r="AG171" s="52"/>
      <c r="AH171" s="5"/>
      <c r="AJ171" s="53"/>
      <c r="AM171" s="22">
        <f t="shared" si="10"/>
        <v>0</v>
      </c>
    </row>
    <row r="172" spans="1:39" ht="15.75" x14ac:dyDescent="0.25">
      <c r="A172" s="19" t="s">
        <v>55</v>
      </c>
      <c r="B172" s="19"/>
      <c r="C172" s="20"/>
      <c r="D172" s="20"/>
      <c r="E172" s="20"/>
      <c r="F172" s="19"/>
      <c r="G172" s="21"/>
      <c r="H172" s="21"/>
      <c r="I172" s="5"/>
      <c r="J172" s="5"/>
      <c r="K172" s="5"/>
      <c r="L172" s="52"/>
      <c r="M172" s="5"/>
      <c r="N172" s="5"/>
      <c r="O172" s="5"/>
      <c r="P172" s="54"/>
      <c r="Q172" s="52"/>
      <c r="R172" s="5"/>
      <c r="S172" s="52"/>
      <c r="T172" s="5"/>
      <c r="U172" s="5"/>
      <c r="V172" s="52"/>
      <c r="W172" s="52"/>
      <c r="X172" s="52"/>
      <c r="Y172" s="52"/>
      <c r="AA172" s="5"/>
      <c r="AD172" s="52"/>
      <c r="AE172" s="53"/>
      <c r="AF172" s="53"/>
      <c r="AG172" s="52"/>
      <c r="AH172" s="5"/>
      <c r="AJ172" s="53"/>
      <c r="AM172" s="22">
        <f t="shared" si="10"/>
        <v>0</v>
      </c>
    </row>
    <row r="173" spans="1:39" ht="15.75" x14ac:dyDescent="0.25">
      <c r="A173" s="19" t="s">
        <v>55</v>
      </c>
      <c r="B173" s="19"/>
      <c r="C173" s="20"/>
      <c r="D173" s="20"/>
      <c r="E173" s="20"/>
      <c r="F173" s="19"/>
      <c r="G173" s="21"/>
      <c r="H173" s="21"/>
      <c r="I173" s="5"/>
      <c r="J173" s="5"/>
      <c r="K173" s="5"/>
      <c r="L173" s="52"/>
      <c r="M173" s="5"/>
      <c r="O173" s="52"/>
      <c r="P173" s="54"/>
      <c r="Q173" s="52"/>
      <c r="R173" s="52"/>
      <c r="S173" s="52"/>
      <c r="T173" s="5"/>
      <c r="U173" s="5"/>
      <c r="V173" s="52"/>
      <c r="W173" s="52"/>
      <c r="X173" s="52"/>
      <c r="Y173" s="52"/>
      <c r="Z173" s="53"/>
      <c r="AA173" s="5"/>
      <c r="AC173" s="53"/>
      <c r="AD173" s="52"/>
      <c r="AE173" s="53"/>
      <c r="AF173" s="53"/>
      <c r="AG173" s="5"/>
      <c r="AH173" s="5"/>
      <c r="AJ173" s="53"/>
      <c r="AM173" s="22">
        <f t="shared" si="10"/>
        <v>0</v>
      </c>
    </row>
    <row r="174" spans="1:39" ht="15.75" x14ac:dyDescent="0.25">
      <c r="A174" s="19" t="s">
        <v>55</v>
      </c>
      <c r="B174" s="19"/>
      <c r="C174" s="20"/>
      <c r="D174" s="20"/>
      <c r="E174" s="20"/>
      <c r="F174" s="19"/>
      <c r="G174" s="21"/>
      <c r="H174" s="21"/>
      <c r="I174" s="5"/>
      <c r="J174" s="5"/>
      <c r="K174" s="5"/>
      <c r="L174" s="5"/>
      <c r="M174" s="5"/>
      <c r="O174" s="5"/>
      <c r="P174" s="54"/>
      <c r="Q174" s="5"/>
      <c r="R174" s="5"/>
      <c r="S174" s="5"/>
      <c r="T174" s="5"/>
      <c r="U174" s="5"/>
      <c r="V174" s="5"/>
      <c r="W174" s="5"/>
      <c r="X174" s="5"/>
      <c r="Y174" s="5"/>
      <c r="AD174" s="52"/>
      <c r="AH174" s="5"/>
      <c r="AM174" s="22">
        <f t="shared" si="10"/>
        <v>0</v>
      </c>
    </row>
    <row r="175" spans="1:39" ht="15.75" x14ac:dyDescent="0.25">
      <c r="A175" s="19" t="s">
        <v>55</v>
      </c>
      <c r="B175" s="19"/>
      <c r="C175" s="20"/>
      <c r="D175" s="20"/>
      <c r="E175" s="20"/>
      <c r="F175" s="19"/>
      <c r="G175" s="21"/>
      <c r="H175" s="21"/>
      <c r="I175" s="5"/>
      <c r="J175" s="5"/>
      <c r="K175" s="5"/>
      <c r="L175" s="52"/>
      <c r="M175" s="52"/>
      <c r="N175" s="5"/>
      <c r="O175" s="52"/>
      <c r="P175" s="54"/>
      <c r="Q175" s="53"/>
      <c r="R175" s="52"/>
      <c r="S175" s="52"/>
      <c r="T175" s="52"/>
      <c r="U175" s="5"/>
      <c r="V175" s="52"/>
      <c r="W175" s="52"/>
      <c r="X175" s="52"/>
      <c r="Y175" s="52"/>
      <c r="Z175" s="53"/>
      <c r="AA175" s="53"/>
      <c r="AB175" s="5"/>
      <c r="AC175" s="53"/>
      <c r="AD175" s="52"/>
      <c r="AE175" s="53"/>
      <c r="AF175" s="53"/>
      <c r="AG175" s="52"/>
      <c r="AH175" s="52"/>
      <c r="AJ175" s="53"/>
      <c r="AM175" s="22">
        <f t="shared" si="10"/>
        <v>0</v>
      </c>
    </row>
    <row r="176" spans="1:39" ht="15.75" x14ac:dyDescent="0.25">
      <c r="A176" s="19" t="s">
        <v>55</v>
      </c>
      <c r="B176" s="19"/>
      <c r="C176" s="20"/>
      <c r="D176" s="20"/>
      <c r="E176" s="20"/>
      <c r="F176" s="19"/>
      <c r="G176" s="21"/>
      <c r="H176" s="21"/>
      <c r="I176" s="5"/>
      <c r="J176" s="5"/>
      <c r="K176" s="5"/>
      <c r="L176" s="52"/>
      <c r="M176" s="5"/>
      <c r="O176" s="5"/>
      <c r="P176" s="54"/>
      <c r="Q176" s="52"/>
      <c r="R176" s="52"/>
      <c r="S176" s="52"/>
      <c r="T176" s="5"/>
      <c r="U176" s="5"/>
      <c r="V176" s="5"/>
      <c r="W176" s="52"/>
      <c r="X176" s="52"/>
      <c r="Y176" s="5"/>
      <c r="AA176" s="53"/>
      <c r="AD176" s="52"/>
      <c r="AE176" s="53"/>
      <c r="AF176" s="53"/>
      <c r="AH176" s="5"/>
      <c r="AM176" s="22">
        <f t="shared" si="10"/>
        <v>0</v>
      </c>
    </row>
    <row r="177" spans="1:39" ht="15.75" x14ac:dyDescent="0.25">
      <c r="A177" s="19" t="s">
        <v>55</v>
      </c>
      <c r="B177" s="19"/>
      <c r="C177" s="20"/>
      <c r="D177" s="20"/>
      <c r="E177" s="20"/>
      <c r="F177" s="19"/>
      <c r="G177" s="21"/>
      <c r="H177" s="21"/>
      <c r="I177" s="5"/>
      <c r="J177" s="5"/>
      <c r="K177" s="5"/>
      <c r="L177" s="52"/>
      <c r="M177" s="5"/>
      <c r="O177" s="52"/>
      <c r="P177" s="54"/>
      <c r="Q177" s="5"/>
      <c r="R177" s="5"/>
      <c r="S177" s="5"/>
      <c r="T177" s="5"/>
      <c r="U177" s="5"/>
      <c r="V177" s="5"/>
      <c r="W177" s="5"/>
      <c r="X177" s="5"/>
      <c r="Y177" s="52"/>
      <c r="Z177" s="53"/>
      <c r="AC177" s="53"/>
      <c r="AD177" s="52"/>
      <c r="AE177" s="53"/>
      <c r="AF177" s="53"/>
      <c r="AH177" s="5"/>
      <c r="AJ177" s="53"/>
      <c r="AM177" s="22">
        <f t="shared" si="10"/>
        <v>0</v>
      </c>
    </row>
    <row r="178" spans="1:39" ht="15.75" x14ac:dyDescent="0.25">
      <c r="A178" s="19" t="s">
        <v>55</v>
      </c>
      <c r="B178" s="19"/>
      <c r="C178" s="20"/>
      <c r="D178" s="20"/>
      <c r="E178" s="20"/>
      <c r="F178" s="19"/>
      <c r="G178" s="21"/>
      <c r="H178" s="21"/>
      <c r="I178" s="5"/>
      <c r="J178" s="5"/>
      <c r="K178" s="5"/>
      <c r="L178" s="52"/>
      <c r="M178" s="5"/>
      <c r="O178" s="52"/>
      <c r="P178" s="54"/>
      <c r="Q178" s="52"/>
      <c r="R178" s="52"/>
      <c r="S178" s="52"/>
      <c r="T178" s="5"/>
      <c r="U178" s="5"/>
      <c r="V178" s="52"/>
      <c r="W178" s="5"/>
      <c r="X178" s="52"/>
      <c r="Y178" s="52"/>
      <c r="AD178" s="52"/>
      <c r="AH178" s="5"/>
      <c r="AJ178" s="53"/>
      <c r="AM178" s="22">
        <f t="shared" si="10"/>
        <v>0</v>
      </c>
    </row>
    <row r="179" spans="1:39" ht="15.75" x14ac:dyDescent="0.25">
      <c r="A179" s="19" t="s">
        <v>55</v>
      </c>
      <c r="B179" s="19"/>
      <c r="C179" s="20"/>
      <c r="D179" s="20"/>
      <c r="E179" s="20"/>
      <c r="F179" s="19"/>
      <c r="G179" s="21"/>
      <c r="H179" s="21"/>
      <c r="I179" s="5"/>
      <c r="J179" s="5"/>
      <c r="K179" s="5"/>
      <c r="L179" s="5"/>
      <c r="M179" s="5"/>
      <c r="O179" s="5"/>
      <c r="P179" s="54"/>
      <c r="Q179" s="5"/>
      <c r="R179" s="5"/>
      <c r="S179" s="5"/>
      <c r="T179" s="5"/>
      <c r="U179" s="5"/>
      <c r="V179" s="5"/>
      <c r="W179" s="52"/>
      <c r="X179" s="52"/>
      <c r="Y179" s="52"/>
      <c r="AC179" s="53"/>
      <c r="AD179" s="52"/>
      <c r="AE179" s="53"/>
      <c r="AF179" s="53"/>
      <c r="AH179" s="5"/>
      <c r="AJ179" s="53"/>
      <c r="AM179" s="22">
        <f t="shared" si="10"/>
        <v>0</v>
      </c>
    </row>
    <row r="180" spans="1:39" ht="15.75" x14ac:dyDescent="0.25">
      <c r="A180" s="19" t="s">
        <v>55</v>
      </c>
      <c r="B180" s="19"/>
      <c r="C180" s="20"/>
      <c r="D180" s="20"/>
      <c r="E180" s="20"/>
      <c r="F180" s="19"/>
      <c r="G180" s="21"/>
      <c r="H180" s="21"/>
      <c r="I180" s="5"/>
      <c r="J180" s="5"/>
      <c r="K180" s="5"/>
      <c r="L180" s="5"/>
      <c r="M180" s="5"/>
      <c r="O180" s="5"/>
      <c r="P180" s="54"/>
      <c r="Q180" s="5"/>
      <c r="R180" s="5"/>
      <c r="S180" s="5"/>
      <c r="T180" s="5"/>
      <c r="U180" s="5"/>
      <c r="V180" s="5"/>
      <c r="W180" s="52"/>
      <c r="X180" s="52"/>
      <c r="Y180" s="52"/>
      <c r="AH180" s="5"/>
      <c r="AM180" s="22">
        <f t="shared" si="10"/>
        <v>0</v>
      </c>
    </row>
    <row r="181" spans="1:39" ht="15.75" x14ac:dyDescent="0.25">
      <c r="A181" s="19" t="s">
        <v>55</v>
      </c>
      <c r="B181" s="19"/>
      <c r="C181" s="20"/>
      <c r="D181" s="20"/>
      <c r="E181" s="20"/>
      <c r="F181" s="19"/>
      <c r="G181" s="21"/>
      <c r="H181" s="21"/>
      <c r="I181" s="5"/>
      <c r="J181" s="5"/>
      <c r="K181" s="5"/>
      <c r="L181" s="5"/>
      <c r="M181" s="5"/>
      <c r="O181" s="5"/>
      <c r="P181" s="54"/>
      <c r="Q181" s="5"/>
      <c r="R181" s="5"/>
      <c r="S181" s="5"/>
      <c r="T181" s="5"/>
      <c r="U181" s="5"/>
      <c r="V181" s="5"/>
      <c r="W181" s="52"/>
      <c r="X181" s="52"/>
      <c r="Y181" s="52"/>
      <c r="AC181" s="53"/>
      <c r="AD181" s="52"/>
      <c r="AE181" s="53"/>
      <c r="AF181" s="53"/>
      <c r="AH181" s="5"/>
      <c r="AJ181" s="53"/>
      <c r="AM181" s="22">
        <f t="shared" si="10"/>
        <v>0</v>
      </c>
    </row>
    <row r="182" spans="1:39" ht="15.75" x14ac:dyDescent="0.25">
      <c r="A182" s="19" t="s">
        <v>55</v>
      </c>
      <c r="B182" s="19"/>
      <c r="C182" s="20"/>
      <c r="D182" s="20"/>
      <c r="E182" s="20"/>
      <c r="F182" s="19"/>
      <c r="G182" s="21"/>
      <c r="H182" s="21"/>
      <c r="I182" s="5"/>
      <c r="J182" s="5"/>
      <c r="K182" s="5"/>
      <c r="L182" s="5"/>
      <c r="M182" s="5"/>
      <c r="O182" s="5"/>
      <c r="P182" s="54"/>
      <c r="Q182" s="5"/>
      <c r="R182" s="5"/>
      <c r="S182" s="5"/>
      <c r="T182" s="5"/>
      <c r="U182" s="5"/>
      <c r="V182" s="5"/>
      <c r="W182" s="5"/>
      <c r="X182" s="52"/>
      <c r="Y182" s="52"/>
      <c r="AC182" s="53"/>
      <c r="AD182" s="52"/>
      <c r="AE182" s="53"/>
      <c r="AF182" s="53"/>
      <c r="AH182" s="5"/>
      <c r="AJ182" s="53"/>
      <c r="AM182" s="22">
        <f t="shared" si="10"/>
        <v>0</v>
      </c>
    </row>
    <row r="183" spans="1:39" ht="15.75" x14ac:dyDescent="0.25">
      <c r="A183" s="19" t="s">
        <v>55</v>
      </c>
      <c r="B183" s="19"/>
      <c r="C183" s="20"/>
      <c r="D183" s="20"/>
      <c r="E183" s="20"/>
      <c r="F183" s="19"/>
      <c r="G183" s="21"/>
      <c r="H183" s="21"/>
      <c r="I183" s="5"/>
      <c r="J183" s="5"/>
      <c r="K183" s="5"/>
      <c r="L183" s="52"/>
      <c r="M183" s="5"/>
      <c r="O183" s="52"/>
      <c r="P183" s="54"/>
      <c r="Q183" s="52"/>
      <c r="R183" s="52"/>
      <c r="S183" s="52"/>
      <c r="T183" s="5"/>
      <c r="U183" s="5"/>
      <c r="V183" s="52"/>
      <c r="W183" s="52"/>
      <c r="X183" s="5"/>
      <c r="Y183" s="52"/>
      <c r="Z183" s="53"/>
      <c r="AA183" s="5"/>
      <c r="AC183" s="53"/>
      <c r="AD183" s="52"/>
      <c r="AE183" s="53"/>
      <c r="AG183" s="52"/>
      <c r="AH183" s="5"/>
      <c r="AJ183" s="53"/>
      <c r="AM183" s="22">
        <f t="shared" si="10"/>
        <v>0</v>
      </c>
    </row>
    <row r="184" spans="1:39" ht="15.75" x14ac:dyDescent="0.25">
      <c r="A184" s="19" t="s">
        <v>55</v>
      </c>
      <c r="B184" s="19"/>
      <c r="C184" s="20"/>
      <c r="D184" s="20"/>
      <c r="E184" s="20"/>
      <c r="F184" s="19"/>
      <c r="G184" s="21"/>
      <c r="H184" s="21"/>
      <c r="I184" s="5"/>
      <c r="J184" s="5"/>
      <c r="K184" s="5"/>
      <c r="L184" s="5"/>
      <c r="M184" s="5"/>
      <c r="O184" s="52"/>
      <c r="P184" s="54"/>
      <c r="Q184" s="5"/>
      <c r="R184" s="5"/>
      <c r="S184" s="5"/>
      <c r="T184" s="5"/>
      <c r="U184" s="5"/>
      <c r="V184" s="5"/>
      <c r="W184" s="5"/>
      <c r="X184" s="5"/>
      <c r="Y184" s="52"/>
      <c r="AA184" s="5"/>
      <c r="AC184" s="53"/>
      <c r="AD184" s="5"/>
      <c r="AE184" s="53"/>
      <c r="AG184" s="5"/>
      <c r="AH184" s="5"/>
      <c r="AM184" s="22">
        <f t="shared" si="10"/>
        <v>0</v>
      </c>
    </row>
    <row r="185" spans="1:39" ht="15.75" x14ac:dyDescent="0.25">
      <c r="A185" s="19" t="s">
        <v>55</v>
      </c>
      <c r="B185" s="19"/>
      <c r="C185" s="20"/>
      <c r="D185" s="20"/>
      <c r="E185" s="20"/>
      <c r="F185" s="19"/>
      <c r="G185" s="21"/>
      <c r="H185" s="21"/>
      <c r="I185" s="5"/>
      <c r="J185" s="5"/>
      <c r="K185" s="5"/>
      <c r="L185" s="5"/>
      <c r="M185" s="5"/>
      <c r="N185" s="5"/>
      <c r="O185" s="52"/>
      <c r="P185" s="54"/>
      <c r="Q185" s="52"/>
      <c r="R185" s="5"/>
      <c r="S185" s="52"/>
      <c r="T185" s="5"/>
      <c r="U185" s="5"/>
      <c r="V185" s="52"/>
      <c r="W185" s="52"/>
      <c r="X185" s="52"/>
      <c r="Y185" s="52"/>
      <c r="AA185" s="5"/>
      <c r="AC185" s="53"/>
      <c r="AD185" s="52"/>
      <c r="AE185" s="53"/>
      <c r="AF185" s="53"/>
      <c r="AH185" s="5"/>
      <c r="AJ185" s="53"/>
      <c r="AM185" s="22">
        <f t="shared" si="10"/>
        <v>0</v>
      </c>
    </row>
    <row r="186" spans="1:39" ht="15.75" x14ac:dyDescent="0.25">
      <c r="A186" s="19" t="s">
        <v>55</v>
      </c>
      <c r="B186" s="19"/>
      <c r="C186" s="20"/>
      <c r="D186" s="20"/>
      <c r="E186" s="20"/>
      <c r="F186" s="19"/>
      <c r="G186" s="21"/>
      <c r="H186" s="21"/>
      <c r="I186" s="5"/>
      <c r="J186" s="5"/>
      <c r="K186" s="5"/>
      <c r="L186" s="52"/>
      <c r="M186" s="5"/>
      <c r="O186" s="52"/>
      <c r="P186" s="54"/>
      <c r="Q186" s="52"/>
      <c r="R186" s="52"/>
      <c r="S186" s="52"/>
      <c r="T186" s="5"/>
      <c r="U186" s="5"/>
      <c r="V186" s="52"/>
      <c r="W186" s="52"/>
      <c r="X186" s="52"/>
      <c r="Y186" s="5"/>
      <c r="Z186" s="53"/>
      <c r="AA186" s="5"/>
      <c r="AC186" s="53"/>
      <c r="AD186" s="52"/>
      <c r="AF186" s="53"/>
      <c r="AG186" s="52"/>
      <c r="AH186" s="5"/>
      <c r="AJ186" s="53"/>
      <c r="AM186" s="22">
        <f t="shared" si="10"/>
        <v>0</v>
      </c>
    </row>
    <row r="187" spans="1:39" ht="15.75" x14ac:dyDescent="0.25">
      <c r="A187" s="19" t="s">
        <v>55</v>
      </c>
      <c r="B187" s="19"/>
      <c r="C187" s="20"/>
      <c r="D187" s="20"/>
      <c r="E187" s="20"/>
      <c r="F187" s="19"/>
      <c r="G187" s="21"/>
      <c r="H187" s="21"/>
      <c r="I187" s="5"/>
      <c r="J187" s="5"/>
      <c r="K187" s="5"/>
      <c r="L187" s="52"/>
      <c r="M187" s="5"/>
      <c r="N187" s="5"/>
      <c r="O187" s="52"/>
      <c r="P187" s="54"/>
      <c r="Q187" s="52"/>
      <c r="R187" s="52"/>
      <c r="S187" s="52"/>
      <c r="T187" s="5"/>
      <c r="U187" s="5"/>
      <c r="V187" s="52"/>
      <c r="W187" s="52"/>
      <c r="X187" s="52"/>
      <c r="Y187" s="52"/>
      <c r="Z187" s="53"/>
      <c r="AA187" s="5"/>
      <c r="AC187" s="53"/>
      <c r="AD187" s="52"/>
      <c r="AE187" s="53"/>
      <c r="AF187" s="53"/>
      <c r="AG187" s="52"/>
      <c r="AH187" s="5"/>
      <c r="AJ187" s="53"/>
      <c r="AM187" s="22">
        <f t="shared" si="10"/>
        <v>0</v>
      </c>
    </row>
    <row r="188" spans="1:39" ht="15.75" x14ac:dyDescent="0.25">
      <c r="A188" s="19" t="s">
        <v>55</v>
      </c>
      <c r="B188" s="19"/>
      <c r="C188" s="20"/>
      <c r="D188" s="20"/>
      <c r="E188" s="20"/>
      <c r="F188" s="19"/>
      <c r="G188" s="21"/>
      <c r="H188" s="21"/>
      <c r="I188" s="5"/>
      <c r="J188" s="5"/>
      <c r="K188" s="5"/>
      <c r="L188" s="5"/>
      <c r="M188" s="5"/>
      <c r="O188" s="52"/>
      <c r="P188" s="54"/>
      <c r="Q188" s="52"/>
      <c r="R188" s="5"/>
      <c r="S188" s="52"/>
      <c r="T188" s="5"/>
      <c r="U188" s="5"/>
      <c r="V188" s="52"/>
      <c r="W188" s="52"/>
      <c r="X188" s="52"/>
      <c r="Y188" s="52"/>
      <c r="Z188" s="53"/>
      <c r="AA188" s="5"/>
      <c r="AC188" s="53"/>
      <c r="AD188" s="52"/>
      <c r="AE188" s="53"/>
      <c r="AF188" s="53"/>
      <c r="AG188" s="52"/>
      <c r="AH188" s="5"/>
      <c r="AJ188" s="53"/>
      <c r="AM188" s="22">
        <f t="shared" si="10"/>
        <v>0</v>
      </c>
    </row>
    <row r="189" spans="1:39" ht="15.75" x14ac:dyDescent="0.25">
      <c r="A189" s="19" t="s">
        <v>55</v>
      </c>
      <c r="B189" s="19"/>
      <c r="C189" s="20"/>
      <c r="D189" s="20"/>
      <c r="E189" s="20"/>
      <c r="F189" s="19"/>
      <c r="G189" s="21"/>
      <c r="H189" s="21"/>
      <c r="I189" s="5"/>
      <c r="J189" s="5"/>
      <c r="K189" s="5"/>
      <c r="L189" s="52"/>
      <c r="M189" s="5"/>
      <c r="O189" s="52"/>
      <c r="P189" s="54"/>
      <c r="Q189" s="52"/>
      <c r="R189" s="52"/>
      <c r="S189" s="52"/>
      <c r="T189" s="5"/>
      <c r="U189" s="5"/>
      <c r="V189" s="52"/>
      <c r="W189" s="5"/>
      <c r="X189" s="5"/>
      <c r="Y189" s="52"/>
      <c r="Z189" s="53"/>
      <c r="AA189" s="5"/>
      <c r="AC189" s="53"/>
      <c r="AD189" s="52"/>
      <c r="AE189" s="53"/>
      <c r="AF189" s="53"/>
      <c r="AH189" s="5"/>
      <c r="AJ189" s="53"/>
      <c r="AM189" s="22">
        <f t="shared" si="10"/>
        <v>0</v>
      </c>
    </row>
    <row r="190" spans="1:39" ht="15.75" x14ac:dyDescent="0.25">
      <c r="A190" s="19" t="s">
        <v>55</v>
      </c>
      <c r="B190" s="19"/>
      <c r="C190" s="20"/>
      <c r="D190" s="20"/>
      <c r="E190" s="20"/>
      <c r="F190" s="19"/>
      <c r="G190" s="21"/>
      <c r="H190" s="21"/>
      <c r="I190" s="5"/>
      <c r="J190" s="5"/>
      <c r="K190" s="5"/>
      <c r="L190" s="5"/>
      <c r="M190" s="5"/>
      <c r="O190" s="5"/>
      <c r="P190" s="54"/>
      <c r="Q190" s="52"/>
      <c r="R190" s="52"/>
      <c r="S190" s="52"/>
      <c r="T190" s="5"/>
      <c r="U190" s="5"/>
      <c r="V190" s="52"/>
      <c r="W190" s="52"/>
      <c r="X190" s="5"/>
      <c r="Y190" s="52"/>
      <c r="Z190" s="53"/>
      <c r="AC190" s="53"/>
      <c r="AD190" s="52"/>
      <c r="AE190" s="53"/>
      <c r="AF190" s="53"/>
      <c r="AH190" s="5"/>
      <c r="AJ190" s="53"/>
      <c r="AM190" s="22">
        <f t="shared" si="10"/>
        <v>0</v>
      </c>
    </row>
    <row r="191" spans="1:39" ht="15.75" x14ac:dyDescent="0.25">
      <c r="A191" s="19" t="s">
        <v>55</v>
      </c>
      <c r="B191" s="19"/>
      <c r="C191" s="20"/>
      <c r="D191" s="20"/>
      <c r="E191" s="20"/>
      <c r="F191" s="19"/>
      <c r="G191" s="21"/>
      <c r="H191" s="21"/>
      <c r="I191" s="5"/>
      <c r="J191" s="5"/>
      <c r="K191" s="5"/>
      <c r="L191" s="5"/>
      <c r="M191" s="5"/>
      <c r="O191" s="52"/>
      <c r="P191" s="54"/>
      <c r="Q191" s="5"/>
      <c r="R191" s="5"/>
      <c r="S191" s="52"/>
      <c r="T191" s="5"/>
      <c r="U191" s="5"/>
      <c r="V191" s="5"/>
      <c r="W191" s="5"/>
      <c r="X191" s="5"/>
      <c r="Y191" s="5"/>
      <c r="Z191" s="53"/>
      <c r="AE191" s="53"/>
      <c r="AF191" s="53"/>
      <c r="AH191" s="5"/>
      <c r="AM191" s="22">
        <f t="shared" si="10"/>
        <v>0</v>
      </c>
    </row>
    <row r="192" spans="1:39" ht="15.75" x14ac:dyDescent="0.25">
      <c r="A192" s="19" t="s">
        <v>55</v>
      </c>
      <c r="B192" s="19"/>
      <c r="C192" s="20"/>
      <c r="D192" s="20"/>
      <c r="E192" s="20"/>
      <c r="F192" s="19"/>
      <c r="G192" s="21"/>
      <c r="H192" s="21"/>
      <c r="I192" s="5"/>
      <c r="J192" s="5"/>
      <c r="K192" s="5"/>
      <c r="L192" s="5"/>
      <c r="M192" s="5"/>
      <c r="O192" s="5"/>
      <c r="P192" s="54"/>
      <c r="Q192" s="52"/>
      <c r="R192" s="52"/>
      <c r="S192" s="5"/>
      <c r="T192" s="5"/>
      <c r="U192" s="5"/>
      <c r="V192" s="52"/>
      <c r="W192" s="52"/>
      <c r="X192" s="52"/>
      <c r="Y192" s="5"/>
      <c r="AD192" s="52"/>
      <c r="AE192" s="53"/>
      <c r="AF192" s="53"/>
      <c r="AH192" s="5"/>
      <c r="AJ192" s="53"/>
      <c r="AM192" s="22">
        <f t="shared" si="10"/>
        <v>0</v>
      </c>
    </row>
    <row r="193" spans="1:39" ht="15.75" x14ac:dyDescent="0.25">
      <c r="A193" s="19" t="s">
        <v>55</v>
      </c>
      <c r="B193" s="19"/>
      <c r="C193" s="20"/>
      <c r="D193" s="20"/>
      <c r="E193" s="20"/>
      <c r="F193" s="19"/>
      <c r="G193" s="21"/>
      <c r="H193" s="21"/>
      <c r="I193" s="5"/>
      <c r="J193" s="5"/>
      <c r="K193" s="5"/>
      <c r="L193" s="52"/>
      <c r="M193" s="5"/>
      <c r="O193" s="52"/>
      <c r="P193" s="54"/>
      <c r="Q193" s="5"/>
      <c r="R193" s="52"/>
      <c r="S193" s="52"/>
      <c r="T193" s="5"/>
      <c r="U193" s="5"/>
      <c r="V193" s="5"/>
      <c r="W193" s="5"/>
      <c r="X193" s="5"/>
      <c r="Y193" s="5"/>
      <c r="AD193" s="52"/>
      <c r="AG193" s="5"/>
      <c r="AH193" s="5"/>
      <c r="AJ193" s="53"/>
      <c r="AM193" s="22">
        <f t="shared" si="10"/>
        <v>0</v>
      </c>
    </row>
    <row r="194" spans="1:39" ht="15.75" x14ac:dyDescent="0.25">
      <c r="A194" s="19" t="s">
        <v>55</v>
      </c>
      <c r="B194" s="19"/>
      <c r="C194" s="20"/>
      <c r="D194" s="20"/>
      <c r="E194" s="20"/>
      <c r="F194" s="19"/>
      <c r="G194" s="21"/>
      <c r="H194" s="21"/>
      <c r="I194" s="5"/>
      <c r="J194" s="5"/>
      <c r="K194" s="5"/>
      <c r="L194" s="52"/>
      <c r="M194" s="5"/>
      <c r="O194" s="52"/>
      <c r="P194" s="54"/>
      <c r="Q194" s="52"/>
      <c r="R194" s="52"/>
      <c r="S194" s="52"/>
      <c r="T194" s="5"/>
      <c r="U194" s="5"/>
      <c r="V194" s="52"/>
      <c r="W194" s="5"/>
      <c r="X194" s="5"/>
      <c r="Y194" s="52"/>
      <c r="AA194" s="5"/>
      <c r="AC194" s="53"/>
      <c r="AD194" s="52"/>
      <c r="AE194" s="53"/>
      <c r="AF194" s="53"/>
      <c r="AH194" s="5"/>
      <c r="AM194" s="22">
        <f t="shared" si="10"/>
        <v>0</v>
      </c>
    </row>
    <row r="195" spans="1:39" ht="15.75" x14ac:dyDescent="0.25">
      <c r="A195" s="19" t="s">
        <v>55</v>
      </c>
      <c r="B195" s="19"/>
      <c r="C195" s="20"/>
      <c r="D195" s="20"/>
      <c r="E195" s="20"/>
      <c r="F195" s="19"/>
      <c r="G195" s="21"/>
      <c r="H195" s="21"/>
      <c r="I195" s="5"/>
      <c r="J195" s="5"/>
      <c r="K195" s="5"/>
      <c r="L195" s="52"/>
      <c r="M195" s="5"/>
      <c r="O195" s="52"/>
      <c r="P195" s="54"/>
      <c r="Q195" s="54"/>
      <c r="R195" s="52"/>
      <c r="S195" s="52"/>
      <c r="T195" s="5"/>
      <c r="U195" s="5"/>
      <c r="V195" s="5"/>
      <c r="W195" s="52"/>
      <c r="X195" s="52"/>
      <c r="Y195" s="5"/>
      <c r="AD195" s="52"/>
      <c r="AE195" s="53"/>
      <c r="AG195" s="5"/>
      <c r="AH195" s="5"/>
      <c r="AM195" s="22">
        <f t="shared" si="10"/>
        <v>0</v>
      </c>
    </row>
    <row r="196" spans="1:39" ht="15.75" x14ac:dyDescent="0.25">
      <c r="A196" s="19" t="s">
        <v>55</v>
      </c>
      <c r="B196" s="19"/>
      <c r="C196" s="20"/>
      <c r="D196" s="20"/>
      <c r="E196" s="20"/>
      <c r="F196" s="19"/>
      <c r="G196" s="21"/>
      <c r="H196" s="21"/>
      <c r="I196" s="5"/>
      <c r="J196" s="5"/>
      <c r="K196" s="5"/>
      <c r="L196" s="5"/>
      <c r="M196" s="5"/>
      <c r="O196" s="5"/>
      <c r="P196" s="54"/>
      <c r="Q196" s="5"/>
      <c r="R196" s="5"/>
      <c r="S196" s="5"/>
      <c r="T196" s="5"/>
      <c r="U196" s="5"/>
      <c r="V196" s="5"/>
      <c r="W196" s="52"/>
      <c r="X196" s="52"/>
      <c r="Y196" s="52"/>
      <c r="AC196" s="53"/>
      <c r="AD196" s="52"/>
      <c r="AF196" s="53"/>
      <c r="AH196" s="5"/>
      <c r="AJ196" s="53"/>
      <c r="AM196" s="22">
        <f t="shared" si="10"/>
        <v>0</v>
      </c>
    </row>
    <row r="197" spans="1:39" ht="15.75" x14ac:dyDescent="0.25">
      <c r="A197" s="19" t="s">
        <v>55</v>
      </c>
      <c r="B197" s="19"/>
      <c r="C197" s="20"/>
      <c r="D197" s="20"/>
      <c r="E197" s="20"/>
      <c r="F197" s="19"/>
      <c r="G197" s="21"/>
      <c r="H197" s="21"/>
      <c r="I197" s="5"/>
      <c r="J197" s="5"/>
      <c r="K197" s="5"/>
      <c r="L197" s="5"/>
      <c r="M197" s="5"/>
      <c r="O197" s="5"/>
      <c r="P197" s="54"/>
      <c r="Q197" s="52"/>
      <c r="R197" s="52"/>
      <c r="S197" s="52"/>
      <c r="T197" s="5"/>
      <c r="U197" s="5"/>
      <c r="V197" s="52"/>
      <c r="W197" s="52"/>
      <c r="X197" s="52"/>
      <c r="Y197" s="52"/>
      <c r="Z197" s="53"/>
      <c r="AC197" s="53"/>
      <c r="AD197" s="52"/>
      <c r="AE197" s="53"/>
      <c r="AF197" s="53"/>
      <c r="AH197" s="5"/>
      <c r="AJ197" s="53"/>
      <c r="AM197" s="22">
        <f t="shared" si="10"/>
        <v>0</v>
      </c>
    </row>
    <row r="198" spans="1:39" ht="15.75" x14ac:dyDescent="0.25">
      <c r="A198" s="19" t="s">
        <v>55</v>
      </c>
      <c r="B198" s="19"/>
      <c r="C198" s="20"/>
      <c r="D198" s="20"/>
      <c r="E198" s="20"/>
      <c r="F198" s="19"/>
      <c r="G198" s="21"/>
      <c r="H198" s="21"/>
      <c r="I198" s="5"/>
      <c r="J198" s="5"/>
      <c r="K198" s="5"/>
      <c r="L198" s="52"/>
      <c r="M198" s="5"/>
      <c r="O198" s="52"/>
      <c r="P198" s="54"/>
      <c r="Q198" s="5"/>
      <c r="R198" s="52"/>
      <c r="S198" s="5"/>
      <c r="T198" s="5"/>
      <c r="U198" s="5"/>
      <c r="V198" s="5"/>
      <c r="W198" s="5"/>
      <c r="X198" s="5"/>
      <c r="Y198" s="5"/>
      <c r="AD198" s="52"/>
      <c r="AG198" s="5"/>
      <c r="AH198" s="5"/>
      <c r="AJ198" s="53"/>
      <c r="AM198" s="22">
        <f t="shared" si="10"/>
        <v>0</v>
      </c>
    </row>
    <row r="199" spans="1:39" ht="15.75" x14ac:dyDescent="0.25">
      <c r="A199" s="19" t="s">
        <v>55</v>
      </c>
      <c r="B199" s="19"/>
      <c r="C199" s="20"/>
      <c r="D199" s="20"/>
      <c r="E199" s="20"/>
      <c r="F199" s="19"/>
      <c r="G199" s="21"/>
      <c r="H199" s="21"/>
      <c r="I199" s="5"/>
      <c r="J199" s="5"/>
      <c r="K199" s="5"/>
      <c r="L199" s="52"/>
      <c r="M199" s="5"/>
      <c r="O199" s="5"/>
      <c r="P199" s="54"/>
      <c r="Q199" s="52"/>
      <c r="R199" s="52"/>
      <c r="S199" s="52"/>
      <c r="T199" s="5"/>
      <c r="U199" s="5"/>
      <c r="V199" s="5"/>
      <c r="W199" s="52"/>
      <c r="X199" s="52"/>
      <c r="Y199" s="5"/>
      <c r="AD199" s="52"/>
      <c r="AE199" s="53"/>
      <c r="AF199" s="53"/>
      <c r="AH199" s="5"/>
      <c r="AM199" s="22">
        <f t="shared" si="10"/>
        <v>0</v>
      </c>
    </row>
    <row r="200" spans="1:39" ht="15.75" x14ac:dyDescent="0.25">
      <c r="A200" s="19" t="s">
        <v>55</v>
      </c>
      <c r="B200" s="19"/>
      <c r="C200" s="20"/>
      <c r="D200" s="20"/>
      <c r="E200" s="20"/>
      <c r="F200" s="19"/>
      <c r="G200" s="21"/>
      <c r="H200" s="21"/>
      <c r="I200" s="5"/>
      <c r="J200" s="5"/>
      <c r="K200" s="5"/>
      <c r="L200" s="52"/>
      <c r="M200" s="5"/>
      <c r="O200" s="5"/>
      <c r="P200" s="54"/>
      <c r="Q200" s="5"/>
      <c r="R200" s="52"/>
      <c r="S200" s="5"/>
      <c r="T200" s="5"/>
      <c r="U200" s="5"/>
      <c r="V200" s="5"/>
      <c r="W200" s="5"/>
      <c r="X200" s="5"/>
      <c r="Y200" s="5"/>
      <c r="AD200" s="5"/>
      <c r="AH200" s="5"/>
      <c r="AM200" s="22">
        <f t="shared" si="10"/>
        <v>0</v>
      </c>
    </row>
    <row r="201" spans="1:39" ht="15.75" x14ac:dyDescent="0.25">
      <c r="A201" s="19" t="s">
        <v>55</v>
      </c>
      <c r="B201" s="19"/>
      <c r="C201" s="20"/>
      <c r="D201" s="20"/>
      <c r="E201" s="20"/>
      <c r="F201" s="19"/>
      <c r="G201" s="21"/>
      <c r="H201" s="21"/>
      <c r="I201" s="5"/>
      <c r="J201" s="5"/>
      <c r="K201" s="5"/>
      <c r="L201" s="52"/>
      <c r="M201" s="5"/>
      <c r="O201" s="52"/>
      <c r="P201" s="54"/>
      <c r="Q201" s="52"/>
      <c r="R201" s="52"/>
      <c r="S201" s="52"/>
      <c r="T201" s="5"/>
      <c r="U201" s="5"/>
      <c r="V201" s="52"/>
      <c r="W201" s="52"/>
      <c r="X201" s="52"/>
      <c r="Y201" s="52"/>
      <c r="AA201" s="5"/>
      <c r="AC201" s="53"/>
      <c r="AD201" s="52"/>
      <c r="AE201" s="53"/>
      <c r="AF201" s="53"/>
      <c r="AH201" s="5"/>
      <c r="AJ201" s="53"/>
      <c r="AM201" s="22">
        <f t="shared" si="10"/>
        <v>0</v>
      </c>
    </row>
    <row r="202" spans="1:39" ht="15.75" x14ac:dyDescent="0.25">
      <c r="A202" s="19" t="s">
        <v>55</v>
      </c>
      <c r="B202" s="19"/>
      <c r="C202" s="20"/>
      <c r="D202" s="20"/>
      <c r="E202" s="20"/>
      <c r="F202" s="19"/>
      <c r="G202" s="21"/>
      <c r="H202" s="21"/>
      <c r="I202" s="5"/>
      <c r="J202" s="5"/>
      <c r="K202" s="5"/>
      <c r="L202" s="52"/>
      <c r="M202" s="5"/>
      <c r="N202" s="5"/>
      <c r="O202" s="52"/>
      <c r="P202" s="54"/>
      <c r="Q202" s="52"/>
      <c r="R202" s="5"/>
      <c r="S202" s="52"/>
      <c r="T202" s="5"/>
      <c r="U202" s="5"/>
      <c r="V202" s="52"/>
      <c r="W202" s="52"/>
      <c r="X202" s="52"/>
      <c r="Y202" s="52"/>
      <c r="AA202" s="5"/>
      <c r="AC202" s="53"/>
      <c r="AD202" s="52"/>
      <c r="AE202" s="53"/>
      <c r="AF202" s="53"/>
      <c r="AG202" s="5"/>
      <c r="AH202" s="5"/>
      <c r="AJ202" s="53"/>
      <c r="AM202" s="22">
        <f t="shared" si="10"/>
        <v>0</v>
      </c>
    </row>
    <row r="203" spans="1:39" ht="15.75" x14ac:dyDescent="0.25">
      <c r="A203" s="19" t="s">
        <v>55</v>
      </c>
      <c r="B203" s="19"/>
      <c r="C203" s="20"/>
      <c r="D203" s="20"/>
      <c r="E203" s="20"/>
      <c r="F203" s="19"/>
      <c r="G203" s="21"/>
      <c r="H203" s="21"/>
      <c r="I203" s="5"/>
      <c r="J203" s="5"/>
      <c r="K203" s="5"/>
      <c r="L203" s="52"/>
      <c r="M203" s="5"/>
      <c r="N203" s="5"/>
      <c r="O203" s="52"/>
      <c r="P203" s="54"/>
      <c r="Q203" s="52"/>
      <c r="R203" s="5"/>
      <c r="S203" s="52"/>
      <c r="T203" s="5"/>
      <c r="U203" s="5"/>
      <c r="V203" s="52"/>
      <c r="W203" s="52"/>
      <c r="X203" s="52"/>
      <c r="Y203" s="52"/>
      <c r="Z203" s="53"/>
      <c r="AA203" s="5"/>
      <c r="AC203" s="53"/>
      <c r="AD203" s="52"/>
      <c r="AE203" s="53"/>
      <c r="AF203" s="53"/>
      <c r="AG203" s="52"/>
      <c r="AH203" s="5"/>
      <c r="AJ203" s="53"/>
      <c r="AM203" s="22">
        <f t="shared" si="10"/>
        <v>0</v>
      </c>
    </row>
    <row r="204" spans="1:39" ht="15.75" x14ac:dyDescent="0.25">
      <c r="A204" s="19" t="s">
        <v>55</v>
      </c>
      <c r="B204" s="19"/>
      <c r="C204" s="20"/>
      <c r="D204" s="20"/>
      <c r="E204" s="20"/>
      <c r="F204" s="19"/>
      <c r="G204" s="21"/>
      <c r="H204" s="21"/>
      <c r="I204" s="5"/>
      <c r="J204" s="5"/>
      <c r="K204" s="5"/>
      <c r="L204" s="52"/>
      <c r="M204" s="5"/>
      <c r="O204" s="5"/>
      <c r="P204" s="54"/>
      <c r="Q204" s="54"/>
      <c r="R204" s="52"/>
      <c r="S204" s="5"/>
      <c r="T204" s="5"/>
      <c r="U204" s="5"/>
      <c r="V204" s="5"/>
      <c r="W204" s="52"/>
      <c r="X204" s="52"/>
      <c r="Y204" s="5"/>
      <c r="AC204" s="53"/>
      <c r="AD204" s="5"/>
      <c r="AE204" s="53"/>
      <c r="AG204" s="5"/>
      <c r="AH204" s="5"/>
      <c r="AJ204" s="53"/>
      <c r="AM204" s="22">
        <f t="shared" si="10"/>
        <v>0</v>
      </c>
    </row>
    <row r="205" spans="1:39" ht="15.75" x14ac:dyDescent="0.25">
      <c r="A205" s="19" t="s">
        <v>55</v>
      </c>
      <c r="B205" s="19"/>
      <c r="C205" s="20"/>
      <c r="D205" s="20"/>
      <c r="E205" s="20"/>
      <c r="F205" s="19"/>
      <c r="G205" s="21"/>
      <c r="H205" s="21"/>
      <c r="I205" s="5"/>
      <c r="J205" s="5"/>
      <c r="K205" s="5"/>
      <c r="L205" s="52"/>
      <c r="M205" s="52"/>
      <c r="O205" s="5"/>
      <c r="P205" s="54"/>
      <c r="Q205" s="53"/>
      <c r="R205" s="52"/>
      <c r="S205" s="52"/>
      <c r="T205" s="52"/>
      <c r="U205" s="5"/>
      <c r="V205" s="52"/>
      <c r="W205" s="52"/>
      <c r="X205" s="52"/>
      <c r="Y205" s="52"/>
      <c r="Z205" s="53"/>
      <c r="AA205" s="53"/>
      <c r="AC205" s="53"/>
      <c r="AD205" s="52"/>
      <c r="AE205" s="53"/>
      <c r="AF205" s="53"/>
      <c r="AG205" s="52"/>
      <c r="AH205" s="52"/>
      <c r="AJ205" s="53"/>
      <c r="AM205" s="22">
        <f t="shared" si="10"/>
        <v>0</v>
      </c>
    </row>
    <row r="206" spans="1:39" ht="15.75" x14ac:dyDescent="0.25">
      <c r="A206" s="19" t="s">
        <v>55</v>
      </c>
      <c r="B206" s="19"/>
      <c r="C206" s="20"/>
      <c r="D206" s="20"/>
      <c r="E206" s="20"/>
      <c r="F206" s="19"/>
      <c r="G206" s="21"/>
      <c r="H206" s="21"/>
      <c r="I206" s="5"/>
      <c r="J206" s="5"/>
      <c r="K206" s="5"/>
      <c r="L206" s="52"/>
      <c r="M206" s="5"/>
      <c r="O206" s="52"/>
      <c r="P206" s="54"/>
      <c r="Q206" s="52"/>
      <c r="R206" s="52"/>
      <c r="S206" s="52"/>
      <c r="T206" s="5"/>
      <c r="U206" s="5"/>
      <c r="V206" s="52"/>
      <c r="W206" s="52"/>
      <c r="X206" s="52"/>
      <c r="Y206" s="52"/>
      <c r="Z206" s="53"/>
      <c r="AA206" s="5"/>
      <c r="AC206" s="53"/>
      <c r="AD206" s="52"/>
      <c r="AE206" s="53"/>
      <c r="AF206" s="53"/>
      <c r="AG206" s="52"/>
      <c r="AH206" s="5"/>
      <c r="AJ206" s="53"/>
      <c r="AM206" s="22">
        <f t="shared" si="10"/>
        <v>0</v>
      </c>
    </row>
    <row r="207" spans="1:39" ht="15.75" x14ac:dyDescent="0.25">
      <c r="A207" s="19" t="s">
        <v>55</v>
      </c>
      <c r="B207" s="19"/>
      <c r="C207" s="20"/>
      <c r="D207" s="20"/>
      <c r="E207" s="20"/>
      <c r="F207" s="19"/>
      <c r="G207" s="21"/>
      <c r="H207" s="21"/>
      <c r="I207" s="5"/>
      <c r="J207" s="5"/>
      <c r="K207" s="5"/>
      <c r="L207" s="5"/>
      <c r="M207" s="5"/>
      <c r="O207" s="5"/>
      <c r="P207" s="54"/>
      <c r="Q207" s="5"/>
      <c r="R207" s="5"/>
      <c r="S207" s="5"/>
      <c r="T207" s="5"/>
      <c r="U207" s="5"/>
      <c r="V207" s="5"/>
      <c r="W207" s="5"/>
      <c r="X207" s="5"/>
      <c r="Y207" s="5"/>
      <c r="AH207" s="5"/>
      <c r="AM207" s="22">
        <f t="shared" si="10"/>
        <v>0</v>
      </c>
    </row>
    <row r="208" spans="1:39" ht="15.75" x14ac:dyDescent="0.25">
      <c r="A208" s="19" t="s">
        <v>55</v>
      </c>
      <c r="B208" s="19"/>
      <c r="C208" s="20"/>
      <c r="D208" s="20"/>
      <c r="E208" s="20"/>
      <c r="F208" s="19"/>
      <c r="G208" s="21"/>
      <c r="H208" s="21"/>
      <c r="I208" s="5"/>
      <c r="J208" s="5"/>
      <c r="K208" s="5"/>
      <c r="L208" s="5"/>
      <c r="M208" s="5"/>
      <c r="O208" s="5"/>
      <c r="P208" s="54"/>
      <c r="Q208" s="52"/>
      <c r="R208" s="52"/>
      <c r="S208" s="52"/>
      <c r="T208" s="5"/>
      <c r="U208" s="5"/>
      <c r="V208" s="5"/>
      <c r="W208" s="52"/>
      <c r="X208" s="52"/>
      <c r="Y208" s="52"/>
      <c r="AH208" s="5"/>
      <c r="AM208" s="22">
        <f t="shared" si="10"/>
        <v>0</v>
      </c>
    </row>
    <row r="209" spans="1:39" ht="15.75" x14ac:dyDescent="0.25">
      <c r="A209" s="19" t="s">
        <v>55</v>
      </c>
      <c r="B209" s="19"/>
      <c r="C209" s="20"/>
      <c r="D209" s="20"/>
      <c r="E209" s="20"/>
      <c r="F209" s="19"/>
      <c r="G209" s="21"/>
      <c r="H209" s="21"/>
      <c r="I209" s="5"/>
      <c r="J209" s="5"/>
      <c r="K209" s="5"/>
      <c r="L209" s="5"/>
      <c r="M209" s="5"/>
      <c r="O209" s="5"/>
      <c r="P209" s="54"/>
      <c r="Q209" s="5"/>
      <c r="R209" s="5"/>
      <c r="S209" s="5"/>
      <c r="T209" s="5"/>
      <c r="U209" s="5"/>
      <c r="V209" s="5"/>
      <c r="W209" s="52"/>
      <c r="X209" s="52"/>
      <c r="Y209" s="52"/>
      <c r="AC209" s="53"/>
      <c r="AD209" s="52"/>
      <c r="AE209" s="53"/>
      <c r="AF209" s="53"/>
      <c r="AH209" s="5"/>
      <c r="AJ209" s="53"/>
      <c r="AM209" s="22">
        <f t="shared" si="10"/>
        <v>0</v>
      </c>
    </row>
    <row r="210" spans="1:39" ht="15.75" x14ac:dyDescent="0.25">
      <c r="A210" s="19" t="s">
        <v>55</v>
      </c>
      <c r="B210" s="19"/>
      <c r="C210" s="20"/>
      <c r="D210" s="20"/>
      <c r="E210" s="20"/>
      <c r="F210" s="19"/>
      <c r="G210" s="21"/>
      <c r="H210" s="21"/>
      <c r="I210" s="5"/>
      <c r="J210" s="5"/>
      <c r="K210" s="5"/>
      <c r="L210" s="5"/>
      <c r="M210" s="5"/>
      <c r="O210" s="5"/>
      <c r="P210" s="54"/>
      <c r="Q210" s="5"/>
      <c r="R210" s="5"/>
      <c r="S210" s="5"/>
      <c r="T210" s="5"/>
      <c r="U210" s="5"/>
      <c r="V210" s="5"/>
      <c r="W210" s="52"/>
      <c r="X210" s="52"/>
      <c r="Y210" s="52"/>
      <c r="AC210" s="53"/>
      <c r="AD210" s="52"/>
      <c r="AE210" s="53"/>
      <c r="AF210" s="53"/>
      <c r="AH210" s="5"/>
      <c r="AJ210" s="53"/>
      <c r="AM210" s="22">
        <f t="shared" ref="AM210:AM273" si="11">COUNTA(I210:AL210)</f>
        <v>0</v>
      </c>
    </row>
    <row r="211" spans="1:39" ht="15.75" x14ac:dyDescent="0.25">
      <c r="A211" s="19" t="s">
        <v>55</v>
      </c>
      <c r="B211" s="19"/>
      <c r="C211" s="20"/>
      <c r="D211" s="20"/>
      <c r="E211" s="20"/>
      <c r="F211" s="19"/>
      <c r="G211" s="21"/>
      <c r="H211" s="21"/>
      <c r="I211" s="5"/>
      <c r="J211" s="5"/>
      <c r="K211" s="5"/>
      <c r="L211" s="5"/>
      <c r="M211" s="5"/>
      <c r="O211" s="5"/>
      <c r="P211" s="54"/>
      <c r="Q211" s="52"/>
      <c r="R211" s="5"/>
      <c r="S211" s="5"/>
      <c r="T211" s="5"/>
      <c r="U211" s="5"/>
      <c r="V211" s="5"/>
      <c r="W211" s="52"/>
      <c r="X211" s="5"/>
      <c r="Y211" s="52"/>
      <c r="AC211" s="53"/>
      <c r="AD211" s="52"/>
      <c r="AE211" s="53"/>
      <c r="AF211" s="53"/>
      <c r="AH211" s="5"/>
      <c r="AJ211" s="53"/>
      <c r="AM211" s="22">
        <f t="shared" si="11"/>
        <v>0</v>
      </c>
    </row>
    <row r="212" spans="1:39" ht="15.75" x14ac:dyDescent="0.25">
      <c r="A212" s="19" t="s">
        <v>55</v>
      </c>
      <c r="B212" s="19"/>
      <c r="C212" s="20"/>
      <c r="D212" s="20"/>
      <c r="E212" s="20"/>
      <c r="F212" s="19"/>
      <c r="G212" s="21"/>
      <c r="H212" s="21"/>
      <c r="I212" s="5"/>
      <c r="J212" s="5"/>
      <c r="K212" s="5"/>
      <c r="L212" s="5"/>
      <c r="M212" s="5"/>
      <c r="O212" s="5"/>
      <c r="P212" s="54"/>
      <c r="Q212" s="5"/>
      <c r="R212" s="5"/>
      <c r="S212" s="5"/>
      <c r="T212" s="5"/>
      <c r="U212" s="5"/>
      <c r="V212" s="5"/>
      <c r="W212" s="52"/>
      <c r="X212" s="52"/>
      <c r="Y212" s="52"/>
      <c r="AC212" s="53"/>
      <c r="AD212" s="52"/>
      <c r="AE212" s="53"/>
      <c r="AF212" s="53"/>
      <c r="AH212" s="5"/>
      <c r="AJ212" s="53"/>
      <c r="AM212" s="22">
        <f t="shared" si="11"/>
        <v>0</v>
      </c>
    </row>
    <row r="213" spans="1:39" ht="15.75" x14ac:dyDescent="0.25">
      <c r="A213" s="19" t="s">
        <v>55</v>
      </c>
      <c r="B213" s="19"/>
      <c r="C213" s="20"/>
      <c r="D213" s="20"/>
      <c r="E213" s="20"/>
      <c r="F213" s="19"/>
      <c r="G213" s="21"/>
      <c r="H213" s="21"/>
      <c r="I213" s="5"/>
      <c r="J213" s="5"/>
      <c r="K213" s="5"/>
      <c r="L213" s="5"/>
      <c r="M213" s="5"/>
      <c r="O213" s="5"/>
      <c r="P213" s="54"/>
      <c r="Q213" s="5"/>
      <c r="R213" s="5"/>
      <c r="S213" s="5"/>
      <c r="T213" s="5"/>
      <c r="U213" s="5"/>
      <c r="V213" s="5"/>
      <c r="W213" s="52"/>
      <c r="X213" s="5"/>
      <c r="Y213" s="52"/>
      <c r="AC213" s="53"/>
      <c r="AD213" s="52"/>
      <c r="AE213" s="53"/>
      <c r="AF213" s="53"/>
      <c r="AH213" s="5"/>
      <c r="AJ213" s="53"/>
      <c r="AM213" s="22">
        <f t="shared" si="11"/>
        <v>0</v>
      </c>
    </row>
    <row r="214" spans="1:39" ht="15.75" x14ac:dyDescent="0.25">
      <c r="A214" s="19" t="s">
        <v>55</v>
      </c>
      <c r="B214" s="19"/>
      <c r="C214" s="20"/>
      <c r="D214" s="20"/>
      <c r="E214" s="20"/>
      <c r="F214" s="19"/>
      <c r="G214" s="21"/>
      <c r="H214" s="21"/>
      <c r="I214" s="5"/>
      <c r="J214" s="5"/>
      <c r="K214" s="5"/>
      <c r="L214" s="5"/>
      <c r="M214" s="5"/>
      <c r="O214" s="5"/>
      <c r="P214" s="54"/>
      <c r="Q214" s="5"/>
      <c r="R214" s="5"/>
      <c r="S214" s="5"/>
      <c r="T214" s="5"/>
      <c r="U214" s="5"/>
      <c r="V214" s="5"/>
      <c r="W214" s="52"/>
      <c r="X214" s="52"/>
      <c r="Y214" s="52"/>
      <c r="AC214" s="53"/>
      <c r="AD214" s="52"/>
      <c r="AE214" s="53"/>
      <c r="AF214" s="53"/>
      <c r="AH214" s="5"/>
      <c r="AJ214" s="53"/>
      <c r="AM214" s="22">
        <f t="shared" si="11"/>
        <v>0</v>
      </c>
    </row>
    <row r="215" spans="1:39" ht="15.75" x14ac:dyDescent="0.25">
      <c r="A215" s="19" t="s">
        <v>55</v>
      </c>
      <c r="B215" s="19"/>
      <c r="C215" s="20"/>
      <c r="D215" s="20"/>
      <c r="E215" s="20"/>
      <c r="F215" s="19"/>
      <c r="G215" s="21"/>
      <c r="H215" s="21"/>
      <c r="I215" s="5"/>
      <c r="J215" s="5"/>
      <c r="K215" s="5"/>
      <c r="L215" s="5"/>
      <c r="M215" s="5"/>
      <c r="O215" s="5"/>
      <c r="P215" s="54"/>
      <c r="Q215" s="5"/>
      <c r="R215" s="5"/>
      <c r="S215" s="5"/>
      <c r="T215" s="5"/>
      <c r="U215" s="5"/>
      <c r="V215" s="5"/>
      <c r="W215" s="52"/>
      <c r="X215" s="52"/>
      <c r="Y215" s="52"/>
      <c r="AC215" s="53"/>
      <c r="AD215" s="52"/>
      <c r="AE215" s="53"/>
      <c r="AF215" s="53"/>
      <c r="AH215" s="5"/>
      <c r="AJ215" s="53"/>
      <c r="AM215" s="22">
        <f t="shared" si="11"/>
        <v>0</v>
      </c>
    </row>
    <row r="216" spans="1:39" ht="15.75" x14ac:dyDescent="0.25">
      <c r="A216" s="19" t="s">
        <v>55</v>
      </c>
      <c r="B216" s="19"/>
      <c r="C216" s="20"/>
      <c r="D216" s="20"/>
      <c r="E216" s="20"/>
      <c r="F216" s="19"/>
      <c r="G216" s="21"/>
      <c r="H216" s="21"/>
      <c r="I216" s="5"/>
      <c r="J216" s="5"/>
      <c r="K216" s="5"/>
      <c r="L216" s="52"/>
      <c r="M216" s="5"/>
      <c r="O216" s="52"/>
      <c r="P216" s="54"/>
      <c r="Q216" s="5"/>
      <c r="R216" s="5"/>
      <c r="S216" s="5"/>
      <c r="T216" s="5"/>
      <c r="U216" s="5"/>
      <c r="V216" s="5"/>
      <c r="W216" s="5"/>
      <c r="X216" s="52"/>
      <c r="Y216" s="52"/>
      <c r="Z216" s="53"/>
      <c r="AC216" s="53"/>
      <c r="AD216" s="52"/>
      <c r="AE216" s="53"/>
      <c r="AF216" s="53"/>
      <c r="AH216" s="5"/>
      <c r="AJ216" s="53"/>
      <c r="AM216" s="22">
        <f t="shared" si="11"/>
        <v>0</v>
      </c>
    </row>
    <row r="217" spans="1:39" ht="15.75" x14ac:dyDescent="0.25">
      <c r="A217" s="19" t="s">
        <v>55</v>
      </c>
      <c r="B217" s="19"/>
      <c r="C217" s="20"/>
      <c r="D217" s="20"/>
      <c r="E217" s="20"/>
      <c r="F217" s="19"/>
      <c r="G217" s="21"/>
      <c r="H217" s="21"/>
      <c r="I217" s="5"/>
      <c r="J217" s="5"/>
      <c r="K217" s="5"/>
      <c r="L217" s="5"/>
      <c r="M217" s="5"/>
      <c r="O217" s="5"/>
      <c r="P217" s="54"/>
      <c r="Q217" s="5"/>
      <c r="R217" s="5"/>
      <c r="S217" s="5"/>
      <c r="T217" s="5"/>
      <c r="U217" s="5"/>
      <c r="V217" s="5"/>
      <c r="W217" s="52"/>
      <c r="X217" s="52"/>
      <c r="Y217" s="52"/>
      <c r="AC217" s="53"/>
      <c r="AD217" s="52"/>
      <c r="AE217" s="53"/>
      <c r="AF217" s="53"/>
      <c r="AH217" s="5"/>
      <c r="AJ217" s="53"/>
      <c r="AM217" s="22">
        <f t="shared" si="11"/>
        <v>0</v>
      </c>
    </row>
    <row r="218" spans="1:39" ht="15.75" x14ac:dyDescent="0.25">
      <c r="A218" s="19" t="s">
        <v>55</v>
      </c>
      <c r="B218" s="19"/>
      <c r="C218" s="20"/>
      <c r="D218" s="20"/>
      <c r="E218" s="20"/>
      <c r="F218" s="19"/>
      <c r="G218" s="21"/>
      <c r="H218" s="21"/>
      <c r="I218" s="5"/>
      <c r="J218" s="5"/>
      <c r="K218" s="5"/>
      <c r="L218" s="5"/>
      <c r="M218" s="5"/>
      <c r="O218" s="5"/>
      <c r="P218" s="54"/>
      <c r="Q218" s="5"/>
      <c r="R218" s="5"/>
      <c r="S218" s="5"/>
      <c r="T218" s="5"/>
      <c r="U218" s="5"/>
      <c r="V218" s="5"/>
      <c r="W218" s="52"/>
      <c r="X218" s="52"/>
      <c r="Y218" s="52"/>
      <c r="AC218" s="53"/>
      <c r="AD218" s="52"/>
      <c r="AE218" s="53"/>
      <c r="AF218" s="53"/>
      <c r="AH218" s="5"/>
      <c r="AJ218" s="53"/>
      <c r="AM218" s="22">
        <f t="shared" si="11"/>
        <v>0</v>
      </c>
    </row>
    <row r="219" spans="1:39" ht="15.75" x14ac:dyDescent="0.25">
      <c r="A219" s="19" t="s">
        <v>55</v>
      </c>
      <c r="B219" s="19"/>
      <c r="C219" s="20"/>
      <c r="D219" s="20"/>
      <c r="E219" s="20"/>
      <c r="F219" s="19"/>
      <c r="G219" s="21"/>
      <c r="H219" s="21"/>
      <c r="I219" s="5"/>
      <c r="J219" s="5"/>
      <c r="K219" s="5"/>
      <c r="L219" s="5"/>
      <c r="M219" s="5"/>
      <c r="O219" s="5"/>
      <c r="P219" s="54"/>
      <c r="Q219" s="5"/>
      <c r="R219" s="5"/>
      <c r="S219" s="5"/>
      <c r="T219" s="5"/>
      <c r="U219" s="5"/>
      <c r="V219" s="5"/>
      <c r="W219" s="52"/>
      <c r="X219" s="52"/>
      <c r="Y219" s="52"/>
      <c r="AC219" s="53"/>
      <c r="AD219" s="52"/>
      <c r="AE219" s="53"/>
      <c r="AF219" s="53"/>
      <c r="AH219" s="5"/>
      <c r="AJ219" s="53"/>
      <c r="AM219" s="22">
        <f t="shared" si="11"/>
        <v>0</v>
      </c>
    </row>
    <row r="220" spans="1:39" ht="15.75" x14ac:dyDescent="0.25">
      <c r="A220" s="19" t="s">
        <v>55</v>
      </c>
      <c r="B220" s="19"/>
      <c r="C220" s="20"/>
      <c r="D220" s="20"/>
      <c r="E220" s="20"/>
      <c r="F220" s="19"/>
      <c r="G220" s="21"/>
      <c r="H220" s="21"/>
      <c r="I220" s="5"/>
      <c r="J220" s="5"/>
      <c r="K220" s="5"/>
      <c r="L220" s="5"/>
      <c r="M220" s="5"/>
      <c r="O220" s="5"/>
      <c r="P220" s="54"/>
      <c r="Q220" s="5"/>
      <c r="R220" s="5"/>
      <c r="S220" s="5"/>
      <c r="T220" s="5"/>
      <c r="U220" s="5"/>
      <c r="V220" s="5"/>
      <c r="W220" s="52"/>
      <c r="X220" s="52"/>
      <c r="Y220" s="52"/>
      <c r="AC220" s="53"/>
      <c r="AD220" s="52"/>
      <c r="AE220" s="53"/>
      <c r="AH220" s="5"/>
      <c r="AM220" s="22">
        <f t="shared" si="11"/>
        <v>0</v>
      </c>
    </row>
    <row r="221" spans="1:39" ht="15.75" x14ac:dyDescent="0.25">
      <c r="A221" s="19" t="s">
        <v>55</v>
      </c>
      <c r="B221" s="19"/>
      <c r="C221" s="20"/>
      <c r="D221" s="20"/>
      <c r="E221" s="20"/>
      <c r="F221" s="19"/>
      <c r="G221" s="21"/>
      <c r="H221" s="21"/>
      <c r="I221" s="5"/>
      <c r="J221" s="5"/>
      <c r="K221" s="5"/>
      <c r="L221" s="5"/>
      <c r="M221" s="5"/>
      <c r="O221" s="5"/>
      <c r="P221" s="54"/>
      <c r="Q221" s="52"/>
      <c r="R221" s="5"/>
      <c r="S221" s="5"/>
      <c r="T221" s="5"/>
      <c r="U221" s="5"/>
      <c r="V221" s="5"/>
      <c r="W221" s="52"/>
      <c r="X221" s="52"/>
      <c r="Y221" s="52"/>
      <c r="AC221" s="53"/>
      <c r="AD221" s="52"/>
      <c r="AE221" s="53"/>
      <c r="AF221" s="53"/>
      <c r="AH221" s="5"/>
      <c r="AJ221" s="53"/>
      <c r="AM221" s="22">
        <f t="shared" si="11"/>
        <v>0</v>
      </c>
    </row>
    <row r="222" spans="1:39" ht="15.75" x14ac:dyDescent="0.25">
      <c r="A222" s="19" t="s">
        <v>55</v>
      </c>
      <c r="B222" s="19"/>
      <c r="C222" s="20"/>
      <c r="D222" s="20"/>
      <c r="E222" s="20"/>
      <c r="F222" s="19"/>
      <c r="G222" s="21"/>
      <c r="H222" s="21"/>
      <c r="I222" s="5"/>
      <c r="J222" s="5"/>
      <c r="K222" s="5"/>
      <c r="L222" s="5"/>
      <c r="M222" s="5"/>
      <c r="O222" s="5"/>
      <c r="P222" s="54"/>
      <c r="Q222" s="5"/>
      <c r="R222" s="5"/>
      <c r="S222" s="5"/>
      <c r="T222" s="5"/>
      <c r="U222" s="5"/>
      <c r="V222" s="5"/>
      <c r="W222" s="52"/>
      <c r="X222" s="52"/>
      <c r="Y222" s="52"/>
      <c r="AC222" s="53"/>
      <c r="AD222" s="52"/>
      <c r="AE222" s="53"/>
      <c r="AF222" s="53"/>
      <c r="AH222" s="5"/>
      <c r="AM222" s="22">
        <f t="shared" si="11"/>
        <v>0</v>
      </c>
    </row>
    <row r="223" spans="1:39" ht="15.75" x14ac:dyDescent="0.25">
      <c r="A223" s="19" t="s">
        <v>55</v>
      </c>
      <c r="B223" s="19"/>
      <c r="C223" s="20"/>
      <c r="D223" s="20"/>
      <c r="E223" s="20"/>
      <c r="F223" s="19"/>
      <c r="G223" s="21"/>
      <c r="H223" s="21"/>
      <c r="I223" s="5"/>
      <c r="J223" s="5"/>
      <c r="K223" s="5"/>
      <c r="L223" s="5"/>
      <c r="M223" s="5"/>
      <c r="O223" s="5"/>
      <c r="P223" s="54"/>
      <c r="Q223" s="5"/>
      <c r="R223" s="5"/>
      <c r="S223" s="5"/>
      <c r="T223" s="5"/>
      <c r="U223" s="5"/>
      <c r="V223" s="5"/>
      <c r="W223" s="5"/>
      <c r="X223" s="52"/>
      <c r="Y223" s="52"/>
      <c r="AC223" s="53"/>
      <c r="AD223" s="52"/>
      <c r="AE223" s="53"/>
      <c r="AF223" s="53"/>
      <c r="AH223" s="5"/>
      <c r="AM223" s="22">
        <f t="shared" si="11"/>
        <v>0</v>
      </c>
    </row>
    <row r="224" spans="1:39" ht="15.75" x14ac:dyDescent="0.25">
      <c r="A224" s="19" t="s">
        <v>55</v>
      </c>
      <c r="B224" s="19"/>
      <c r="C224" s="20"/>
      <c r="D224" s="20"/>
      <c r="E224" s="20"/>
      <c r="F224" s="19"/>
      <c r="G224" s="21"/>
      <c r="H224" s="21"/>
      <c r="I224" s="5"/>
      <c r="J224" s="5"/>
      <c r="K224" s="5"/>
      <c r="L224" s="52"/>
      <c r="M224" s="5"/>
      <c r="O224" s="52"/>
      <c r="P224" s="54"/>
      <c r="Q224" s="52"/>
      <c r="R224" s="52"/>
      <c r="S224" s="52"/>
      <c r="T224" s="5"/>
      <c r="U224" s="5"/>
      <c r="V224" s="52"/>
      <c r="W224" s="52"/>
      <c r="X224" s="52"/>
      <c r="Y224" s="52"/>
      <c r="Z224" s="53"/>
      <c r="AA224" s="5"/>
      <c r="AC224" s="53"/>
      <c r="AD224" s="52"/>
      <c r="AE224" s="53"/>
      <c r="AG224" s="52"/>
      <c r="AH224" s="5"/>
      <c r="AJ224" s="53"/>
      <c r="AM224" s="22">
        <f t="shared" si="11"/>
        <v>0</v>
      </c>
    </row>
    <row r="225" spans="1:39" ht="15.75" x14ac:dyDescent="0.25">
      <c r="A225" s="19" t="s">
        <v>55</v>
      </c>
      <c r="B225" s="19"/>
      <c r="C225" s="20"/>
      <c r="D225" s="20"/>
      <c r="E225" s="20"/>
      <c r="F225" s="19"/>
      <c r="G225" s="21"/>
      <c r="H225" s="21"/>
      <c r="I225" s="5"/>
      <c r="J225" s="5"/>
      <c r="K225" s="5"/>
      <c r="L225" s="5"/>
      <c r="M225" s="5"/>
      <c r="O225" s="5"/>
      <c r="P225" s="54"/>
      <c r="Q225" s="5"/>
      <c r="R225" s="5"/>
      <c r="S225" s="5"/>
      <c r="T225" s="5"/>
      <c r="U225" s="5"/>
      <c r="V225" s="5"/>
      <c r="W225" s="5"/>
      <c r="X225" s="5"/>
      <c r="Y225" s="5"/>
      <c r="AH225" s="5"/>
      <c r="AM225" s="22">
        <f t="shared" si="11"/>
        <v>0</v>
      </c>
    </row>
    <row r="226" spans="1:39" ht="15.75" x14ac:dyDescent="0.25">
      <c r="A226" s="19" t="s">
        <v>55</v>
      </c>
      <c r="B226" s="19"/>
      <c r="C226" s="20"/>
      <c r="D226" s="20"/>
      <c r="E226" s="20"/>
      <c r="F226" s="19"/>
      <c r="G226" s="21"/>
      <c r="H226" s="21"/>
      <c r="I226" s="5"/>
      <c r="J226" s="5"/>
      <c r="K226" s="5"/>
      <c r="L226" s="52"/>
      <c r="M226" s="5"/>
      <c r="O226" s="52"/>
      <c r="P226" s="54"/>
      <c r="Q226" s="52"/>
      <c r="R226" s="52"/>
      <c r="S226" s="52"/>
      <c r="T226" s="5"/>
      <c r="U226" s="5"/>
      <c r="V226" s="52"/>
      <c r="W226" s="52"/>
      <c r="X226" s="52"/>
      <c r="Y226" s="52"/>
      <c r="Z226" s="53"/>
      <c r="AA226" s="5"/>
      <c r="AC226" s="53"/>
      <c r="AD226" s="52"/>
      <c r="AE226" s="53"/>
      <c r="AF226" s="53"/>
      <c r="AG226" s="52"/>
      <c r="AH226" s="5"/>
      <c r="AJ226" s="53"/>
      <c r="AM226" s="22">
        <f t="shared" si="11"/>
        <v>0</v>
      </c>
    </row>
    <row r="227" spans="1:39" ht="15.75" x14ac:dyDescent="0.25">
      <c r="A227" s="19" t="s">
        <v>55</v>
      </c>
      <c r="B227" s="19"/>
      <c r="C227" s="20"/>
      <c r="D227" s="20"/>
      <c r="E227" s="20"/>
      <c r="F227" s="19"/>
      <c r="G227" s="21"/>
      <c r="H227" s="21"/>
      <c r="I227" s="5"/>
      <c r="J227" s="5"/>
      <c r="K227" s="5"/>
      <c r="L227" s="52"/>
      <c r="M227" s="5"/>
      <c r="O227" s="52"/>
      <c r="P227" s="54"/>
      <c r="Q227" s="52"/>
      <c r="R227" s="52"/>
      <c r="S227" s="52"/>
      <c r="T227" s="5"/>
      <c r="U227" s="5"/>
      <c r="V227" s="52"/>
      <c r="W227" s="52"/>
      <c r="X227" s="52"/>
      <c r="Y227" s="52"/>
      <c r="Z227" s="53"/>
      <c r="AA227" s="5"/>
      <c r="AC227" s="53"/>
      <c r="AD227" s="52"/>
      <c r="AE227" s="53"/>
      <c r="AG227" s="52"/>
      <c r="AH227" s="5"/>
      <c r="AJ227" s="53"/>
      <c r="AM227" s="22">
        <f t="shared" si="11"/>
        <v>0</v>
      </c>
    </row>
    <row r="228" spans="1:39" ht="15.75" x14ac:dyDescent="0.25">
      <c r="A228" s="19" t="s">
        <v>55</v>
      </c>
      <c r="B228" s="19"/>
      <c r="C228" s="20"/>
      <c r="D228" s="20"/>
      <c r="E228" s="20"/>
      <c r="F228" s="19"/>
      <c r="G228" s="21"/>
      <c r="H228" s="21"/>
      <c r="I228" s="5"/>
      <c r="J228" s="5"/>
      <c r="K228" s="5"/>
      <c r="L228" s="5"/>
      <c r="M228" s="5"/>
      <c r="O228" s="5"/>
      <c r="P228" s="54"/>
      <c r="Q228" s="5"/>
      <c r="R228" s="5"/>
      <c r="S228" s="5"/>
      <c r="T228" s="5"/>
      <c r="U228" s="5"/>
      <c r="V228" s="5"/>
      <c r="W228" s="5"/>
      <c r="X228" s="5"/>
      <c r="Y228" s="5"/>
      <c r="AH228" s="5"/>
      <c r="AM228" s="22">
        <f t="shared" si="11"/>
        <v>0</v>
      </c>
    </row>
    <row r="229" spans="1:39" ht="15.75" x14ac:dyDescent="0.25">
      <c r="A229" s="19" t="s">
        <v>55</v>
      </c>
      <c r="B229" s="19"/>
      <c r="C229" s="20"/>
      <c r="D229" s="20"/>
      <c r="E229" s="20"/>
      <c r="F229" s="19"/>
      <c r="G229" s="21"/>
      <c r="H229" s="21"/>
      <c r="I229" s="5"/>
      <c r="J229" s="5"/>
      <c r="K229" s="5"/>
      <c r="L229" s="52"/>
      <c r="M229" s="5"/>
      <c r="O229" s="52"/>
      <c r="P229" s="54"/>
      <c r="Q229" s="52"/>
      <c r="R229" s="52"/>
      <c r="S229" s="52"/>
      <c r="T229" s="5"/>
      <c r="U229" s="5"/>
      <c r="V229" s="52"/>
      <c r="W229" s="52"/>
      <c r="X229" s="52"/>
      <c r="Y229" s="52"/>
      <c r="Z229" s="53"/>
      <c r="AA229" s="5"/>
      <c r="AC229" s="53"/>
      <c r="AD229" s="52"/>
      <c r="AE229" s="53"/>
      <c r="AF229" s="53"/>
      <c r="AG229" s="52"/>
      <c r="AH229" s="5"/>
      <c r="AJ229" s="53"/>
      <c r="AM229" s="22">
        <f t="shared" si="11"/>
        <v>0</v>
      </c>
    </row>
    <row r="230" spans="1:39" ht="15.75" x14ac:dyDescent="0.25">
      <c r="A230" s="19" t="s">
        <v>55</v>
      </c>
      <c r="B230" s="19"/>
      <c r="C230" s="20"/>
      <c r="D230" s="20"/>
      <c r="E230" s="20"/>
      <c r="F230" s="19"/>
      <c r="G230" s="21"/>
      <c r="H230" s="21"/>
      <c r="I230" s="5"/>
      <c r="J230" s="5"/>
      <c r="K230" s="5"/>
      <c r="L230" s="5"/>
      <c r="M230" s="5"/>
      <c r="O230" s="5"/>
      <c r="P230" s="54"/>
      <c r="Q230" s="5"/>
      <c r="R230" s="5"/>
      <c r="S230" s="5"/>
      <c r="T230" s="5"/>
      <c r="U230" s="5"/>
      <c r="V230" s="5"/>
      <c r="W230" s="5"/>
      <c r="X230" s="5"/>
      <c r="Y230" s="5"/>
      <c r="AH230" s="5"/>
      <c r="AM230" s="22">
        <f t="shared" si="11"/>
        <v>0</v>
      </c>
    </row>
    <row r="231" spans="1:39" ht="15.75" x14ac:dyDescent="0.25">
      <c r="A231" s="19" t="s">
        <v>55</v>
      </c>
      <c r="B231" s="19"/>
      <c r="C231" s="20"/>
      <c r="D231" s="20"/>
      <c r="E231" s="20"/>
      <c r="F231" s="19"/>
      <c r="G231" s="21"/>
      <c r="H231" s="21"/>
      <c r="I231" s="5"/>
      <c r="J231" s="5"/>
      <c r="K231" s="5"/>
      <c r="L231" s="52"/>
      <c r="M231" s="5"/>
      <c r="N231" s="5"/>
      <c r="O231" s="52"/>
      <c r="P231" s="54"/>
      <c r="Q231" s="52"/>
      <c r="R231" s="5"/>
      <c r="S231" s="52"/>
      <c r="T231" s="5"/>
      <c r="U231" s="5"/>
      <c r="V231" s="52"/>
      <c r="W231" s="52"/>
      <c r="X231" s="52"/>
      <c r="Y231" s="52"/>
      <c r="Z231" s="53"/>
      <c r="AA231" s="5"/>
      <c r="AC231" s="53"/>
      <c r="AD231" s="52"/>
      <c r="AE231" s="53"/>
      <c r="AF231" s="53"/>
      <c r="AG231" s="52"/>
      <c r="AH231" s="5"/>
      <c r="AJ231" s="53"/>
      <c r="AM231" s="22">
        <f t="shared" si="11"/>
        <v>0</v>
      </c>
    </row>
    <row r="232" spans="1:39" ht="15.75" x14ac:dyDescent="0.25">
      <c r="A232" s="19" t="s">
        <v>55</v>
      </c>
      <c r="B232" s="19"/>
      <c r="C232" s="20"/>
      <c r="D232" s="20"/>
      <c r="E232" s="20"/>
      <c r="F232" s="19"/>
      <c r="G232" s="21"/>
      <c r="H232" s="21"/>
      <c r="I232" s="5"/>
      <c r="J232" s="5"/>
      <c r="K232" s="5"/>
      <c r="L232" s="52"/>
      <c r="M232" s="5"/>
      <c r="O232" s="52"/>
      <c r="P232" s="54"/>
      <c r="Q232" s="5"/>
      <c r="R232" s="52"/>
      <c r="S232" s="5"/>
      <c r="T232" s="5"/>
      <c r="U232" s="5"/>
      <c r="V232" s="52"/>
      <c r="W232" s="52"/>
      <c r="X232" s="5"/>
      <c r="Y232" s="52"/>
      <c r="Z232" s="53"/>
      <c r="AC232" s="53"/>
      <c r="AE232" s="53"/>
      <c r="AF232" s="53"/>
      <c r="AH232" s="5"/>
      <c r="AJ232" s="53"/>
      <c r="AM232" s="22">
        <f t="shared" si="11"/>
        <v>0</v>
      </c>
    </row>
    <row r="233" spans="1:39" ht="15.75" x14ac:dyDescent="0.25">
      <c r="A233" s="19" t="s">
        <v>55</v>
      </c>
      <c r="B233" s="19"/>
      <c r="C233" s="20"/>
      <c r="D233" s="20"/>
      <c r="E233" s="20"/>
      <c r="F233" s="19"/>
      <c r="G233" s="21"/>
      <c r="H233" s="21"/>
      <c r="I233" s="5"/>
      <c r="J233" s="5"/>
      <c r="K233" s="5"/>
      <c r="L233" s="52"/>
      <c r="M233" s="5"/>
      <c r="O233" s="52"/>
      <c r="P233" s="54"/>
      <c r="Q233" s="52"/>
      <c r="R233" s="52"/>
      <c r="S233" s="52"/>
      <c r="T233" s="5"/>
      <c r="U233" s="5"/>
      <c r="V233" s="52"/>
      <c r="W233" s="52"/>
      <c r="X233" s="52"/>
      <c r="Y233" s="52"/>
      <c r="Z233" s="53"/>
      <c r="AA233" s="5"/>
      <c r="AC233" s="53"/>
      <c r="AD233" s="52"/>
      <c r="AE233" s="53"/>
      <c r="AF233" s="53"/>
      <c r="AG233" s="52"/>
      <c r="AH233" s="5"/>
      <c r="AJ233" s="53"/>
      <c r="AM233" s="22">
        <f t="shared" si="11"/>
        <v>0</v>
      </c>
    </row>
    <row r="234" spans="1:39" ht="15.75" x14ac:dyDescent="0.25">
      <c r="A234" s="19" t="s">
        <v>55</v>
      </c>
      <c r="B234" s="19"/>
      <c r="C234" s="20"/>
      <c r="D234" s="20"/>
      <c r="E234" s="20"/>
      <c r="F234" s="19"/>
      <c r="G234" s="21"/>
      <c r="H234" s="21"/>
      <c r="I234" s="5"/>
      <c r="J234" s="5"/>
      <c r="K234" s="5"/>
      <c r="L234" s="5"/>
      <c r="M234" s="5"/>
      <c r="O234" s="5"/>
      <c r="P234" s="54"/>
      <c r="Q234" s="5"/>
      <c r="R234" s="5"/>
      <c r="S234" s="5"/>
      <c r="T234" s="5"/>
      <c r="U234" s="5"/>
      <c r="V234" s="5"/>
      <c r="W234" s="5"/>
      <c r="X234" s="5"/>
      <c r="Y234" s="5"/>
      <c r="AH234" s="5"/>
      <c r="AM234" s="22">
        <f t="shared" si="11"/>
        <v>0</v>
      </c>
    </row>
    <row r="235" spans="1:39" ht="15.75" x14ac:dyDescent="0.25">
      <c r="A235" s="19" t="s">
        <v>55</v>
      </c>
      <c r="B235" s="19"/>
      <c r="C235" s="20"/>
      <c r="D235" s="20"/>
      <c r="E235" s="20"/>
      <c r="F235" s="19"/>
      <c r="G235" s="21"/>
      <c r="H235" s="21"/>
      <c r="I235" s="5"/>
      <c r="J235" s="5"/>
      <c r="K235" s="5"/>
      <c r="L235" s="52"/>
      <c r="M235" s="5"/>
      <c r="O235" s="52"/>
      <c r="P235" s="54"/>
      <c r="Q235" s="5"/>
      <c r="R235" s="52"/>
      <c r="S235" s="52"/>
      <c r="T235" s="5"/>
      <c r="U235" s="5"/>
      <c r="V235" s="52"/>
      <c r="W235" s="52"/>
      <c r="X235" s="52"/>
      <c r="Y235" s="52"/>
      <c r="Z235" s="53"/>
      <c r="AA235" s="5"/>
      <c r="AC235" s="53"/>
      <c r="AD235" s="52"/>
      <c r="AE235" s="53"/>
      <c r="AG235" s="52"/>
      <c r="AH235" s="5"/>
      <c r="AM235" s="22">
        <f t="shared" si="11"/>
        <v>0</v>
      </c>
    </row>
    <row r="236" spans="1:39" ht="15.75" x14ac:dyDescent="0.25">
      <c r="A236" s="19" t="s">
        <v>55</v>
      </c>
      <c r="B236" s="19"/>
      <c r="C236" s="20"/>
      <c r="D236" s="20"/>
      <c r="E236" s="20"/>
      <c r="F236" s="19"/>
      <c r="G236" s="21"/>
      <c r="H236" s="21"/>
      <c r="I236" s="5"/>
      <c r="J236" s="5"/>
      <c r="K236" s="5"/>
      <c r="L236" s="5"/>
      <c r="M236" s="5"/>
      <c r="O236" s="5"/>
      <c r="P236" s="54"/>
      <c r="Q236" s="5"/>
      <c r="R236" s="5"/>
      <c r="S236" s="5"/>
      <c r="T236" s="5"/>
      <c r="U236" s="5"/>
      <c r="V236" s="5"/>
      <c r="W236" s="5"/>
      <c r="X236" s="5"/>
      <c r="Y236" s="5"/>
      <c r="AH236" s="5"/>
      <c r="AJ236" s="53"/>
      <c r="AM236" s="22">
        <f t="shared" si="11"/>
        <v>0</v>
      </c>
    </row>
    <row r="237" spans="1:39" ht="15.75" x14ac:dyDescent="0.25">
      <c r="A237" s="19" t="s">
        <v>55</v>
      </c>
      <c r="B237" s="19"/>
      <c r="C237" s="20"/>
      <c r="D237" s="20"/>
      <c r="E237" s="20"/>
      <c r="F237" s="19"/>
      <c r="G237" s="21"/>
      <c r="H237" s="21"/>
      <c r="I237" s="5"/>
      <c r="J237" s="5"/>
      <c r="K237" s="5"/>
      <c r="L237" s="52"/>
      <c r="M237" s="5"/>
      <c r="O237" s="52"/>
      <c r="P237" s="54"/>
      <c r="Q237" s="52"/>
      <c r="R237" s="5"/>
      <c r="S237" s="52"/>
      <c r="T237" s="5"/>
      <c r="U237" s="5"/>
      <c r="V237" s="52"/>
      <c r="W237" s="52"/>
      <c r="X237" s="5"/>
      <c r="Y237" s="52"/>
      <c r="Z237" s="53"/>
      <c r="AA237" s="5"/>
      <c r="AC237" s="53"/>
      <c r="AD237" s="5"/>
      <c r="AF237" s="53"/>
      <c r="AG237" s="5"/>
      <c r="AH237" s="5"/>
      <c r="AJ237" s="53"/>
      <c r="AM237" s="22">
        <f t="shared" si="11"/>
        <v>0</v>
      </c>
    </row>
    <row r="238" spans="1:39" ht="15.75" x14ac:dyDescent="0.25">
      <c r="A238" s="19" t="s">
        <v>55</v>
      </c>
      <c r="B238" s="19"/>
      <c r="C238" s="20"/>
      <c r="D238" s="20"/>
      <c r="E238" s="20"/>
      <c r="F238" s="19"/>
      <c r="G238" s="21"/>
      <c r="H238" s="21"/>
      <c r="I238" s="5"/>
      <c r="J238" s="5"/>
      <c r="K238" s="5"/>
      <c r="L238" s="52"/>
      <c r="M238" s="5"/>
      <c r="N238" s="5"/>
      <c r="O238" s="52"/>
      <c r="P238" s="54"/>
      <c r="Q238" s="52"/>
      <c r="R238" s="5"/>
      <c r="S238" s="52"/>
      <c r="T238" s="5"/>
      <c r="U238" s="5"/>
      <c r="V238" s="52"/>
      <c r="W238" s="52"/>
      <c r="X238" s="52"/>
      <c r="Y238" s="52"/>
      <c r="Z238" s="53"/>
      <c r="AA238" s="5"/>
      <c r="AC238" s="53"/>
      <c r="AD238" s="52"/>
      <c r="AE238" s="53"/>
      <c r="AF238" s="53"/>
      <c r="AG238" s="52"/>
      <c r="AH238" s="5"/>
      <c r="AJ238" s="53"/>
      <c r="AM238" s="22">
        <f t="shared" si="11"/>
        <v>0</v>
      </c>
    </row>
    <row r="239" spans="1:39" ht="15.75" x14ac:dyDescent="0.25">
      <c r="A239" s="19" t="s">
        <v>55</v>
      </c>
      <c r="B239" s="19"/>
      <c r="C239" s="20"/>
      <c r="D239" s="20"/>
      <c r="E239" s="20"/>
      <c r="F239" s="19"/>
      <c r="G239" s="21"/>
      <c r="H239" s="21"/>
      <c r="I239" s="5"/>
      <c r="J239" s="5"/>
      <c r="K239" s="5"/>
      <c r="L239" s="5"/>
      <c r="M239" s="5"/>
      <c r="O239" s="5"/>
      <c r="P239" s="54"/>
      <c r="Q239" s="52"/>
      <c r="R239" s="52"/>
      <c r="S239" s="52"/>
      <c r="T239" s="5"/>
      <c r="U239" s="5"/>
      <c r="V239" s="5"/>
      <c r="W239" s="52"/>
      <c r="X239" s="5"/>
      <c r="Y239" s="5"/>
      <c r="AH239" s="5"/>
      <c r="AM239" s="22">
        <f t="shared" si="11"/>
        <v>0</v>
      </c>
    </row>
    <row r="240" spans="1:39" ht="15.75" x14ac:dyDescent="0.25">
      <c r="A240" s="19" t="s">
        <v>55</v>
      </c>
      <c r="B240" s="19"/>
      <c r="C240" s="20"/>
      <c r="D240" s="20"/>
      <c r="E240" s="20"/>
      <c r="F240" s="19"/>
      <c r="G240" s="21"/>
      <c r="H240" s="21"/>
      <c r="I240" s="5"/>
      <c r="J240" s="5"/>
      <c r="K240" s="5"/>
      <c r="L240" s="5"/>
      <c r="M240" s="5"/>
      <c r="O240" s="5"/>
      <c r="P240" s="54"/>
      <c r="Q240" s="5"/>
      <c r="R240" s="5"/>
      <c r="S240" s="5"/>
      <c r="T240" s="5"/>
      <c r="U240" s="5"/>
      <c r="V240" s="5"/>
      <c r="W240" s="5"/>
      <c r="X240" s="5"/>
      <c r="Y240" s="52"/>
      <c r="Z240" s="53"/>
      <c r="AC240" s="53"/>
      <c r="AD240" s="52"/>
      <c r="AE240" s="53"/>
      <c r="AF240" s="53"/>
      <c r="AH240" s="5"/>
      <c r="AJ240" s="53"/>
      <c r="AM240" s="22">
        <f t="shared" si="11"/>
        <v>0</v>
      </c>
    </row>
    <row r="241" spans="1:39" ht="15.75" x14ac:dyDescent="0.25">
      <c r="A241" s="19" t="s">
        <v>55</v>
      </c>
      <c r="B241" s="19"/>
      <c r="C241" s="20"/>
      <c r="D241" s="20"/>
      <c r="E241" s="20"/>
      <c r="F241" s="19"/>
      <c r="G241" s="21"/>
      <c r="H241" s="21"/>
      <c r="I241" s="5"/>
      <c r="J241" s="5"/>
      <c r="K241" s="5"/>
      <c r="L241" s="52"/>
      <c r="M241" s="5"/>
      <c r="O241" s="52"/>
      <c r="P241" s="54"/>
      <c r="Q241" s="5"/>
      <c r="R241" s="5"/>
      <c r="S241" s="5"/>
      <c r="T241" s="5"/>
      <c r="U241" s="5"/>
      <c r="V241" s="5"/>
      <c r="W241" s="5"/>
      <c r="X241" s="52"/>
      <c r="Y241" s="52"/>
      <c r="Z241" s="53"/>
      <c r="AC241" s="53"/>
      <c r="AD241" s="52"/>
      <c r="AE241" s="53"/>
      <c r="AF241" s="53"/>
      <c r="AH241" s="5"/>
      <c r="AJ241" s="53"/>
      <c r="AM241" s="22">
        <f t="shared" si="11"/>
        <v>0</v>
      </c>
    </row>
    <row r="242" spans="1:39" ht="15.75" x14ac:dyDescent="0.25">
      <c r="A242" s="19" t="s">
        <v>55</v>
      </c>
      <c r="B242" s="19"/>
      <c r="C242" s="20"/>
      <c r="D242" s="20"/>
      <c r="E242" s="20"/>
      <c r="F242" s="19"/>
      <c r="G242" s="21"/>
      <c r="H242" s="21"/>
      <c r="I242" s="5"/>
      <c r="J242" s="5"/>
      <c r="K242" s="5"/>
      <c r="L242" s="52"/>
      <c r="M242" s="52"/>
      <c r="N242" s="5"/>
      <c r="O242" s="52"/>
      <c r="P242" s="54"/>
      <c r="Q242" s="52"/>
      <c r="R242" s="52"/>
      <c r="S242" s="5"/>
      <c r="T242" s="5"/>
      <c r="U242" s="5"/>
      <c r="V242" s="52"/>
      <c r="W242" s="52"/>
      <c r="X242" s="52"/>
      <c r="Y242" s="52"/>
      <c r="Z242" s="52"/>
      <c r="AA242" s="52"/>
      <c r="AB242" s="5"/>
      <c r="AC242" s="52"/>
      <c r="AD242" s="52"/>
      <c r="AE242" s="52"/>
      <c r="AF242" s="52"/>
      <c r="AG242" s="52"/>
      <c r="AH242" s="52"/>
      <c r="AJ242" s="52"/>
      <c r="AK242" s="52"/>
      <c r="AL242" s="52"/>
      <c r="AM242" s="22">
        <f t="shared" si="11"/>
        <v>0</v>
      </c>
    </row>
    <row r="243" spans="1:39" ht="15.75" x14ac:dyDescent="0.25">
      <c r="A243" s="19" t="s">
        <v>55</v>
      </c>
      <c r="B243" s="19"/>
      <c r="C243" s="20"/>
      <c r="D243" s="20"/>
      <c r="E243" s="20"/>
      <c r="F243" s="19"/>
      <c r="G243" s="21"/>
      <c r="H243" s="21"/>
      <c r="I243" s="5"/>
      <c r="J243" s="5"/>
      <c r="K243" s="5"/>
      <c r="L243" s="52"/>
      <c r="M243" s="52"/>
      <c r="N243" s="5"/>
      <c r="O243" s="52"/>
      <c r="P243" s="54"/>
      <c r="Q243" s="52"/>
      <c r="R243" s="52"/>
      <c r="S243" s="5"/>
      <c r="T243" s="5"/>
      <c r="U243" s="5"/>
      <c r="V243" s="52"/>
      <c r="W243" s="52"/>
      <c r="X243" s="52"/>
      <c r="Y243" s="52"/>
      <c r="Z243" s="52"/>
      <c r="AA243" s="52"/>
      <c r="AB243" s="5"/>
      <c r="AC243" s="52"/>
      <c r="AD243" s="52"/>
      <c r="AE243" s="52"/>
      <c r="AF243" s="52"/>
      <c r="AG243" s="52"/>
      <c r="AH243" s="52"/>
      <c r="AJ243" s="52"/>
      <c r="AK243" s="52"/>
      <c r="AL243" s="52"/>
      <c r="AM243" s="22">
        <f t="shared" si="11"/>
        <v>0</v>
      </c>
    </row>
    <row r="244" spans="1:39" ht="15.75" x14ac:dyDescent="0.25">
      <c r="A244" s="19" t="s">
        <v>55</v>
      </c>
      <c r="B244" s="19"/>
      <c r="C244" s="20"/>
      <c r="D244" s="20"/>
      <c r="E244" s="20"/>
      <c r="F244" s="19"/>
      <c r="G244" s="21"/>
      <c r="H244" s="21"/>
      <c r="I244" s="5"/>
      <c r="J244" s="5"/>
      <c r="K244" s="5"/>
      <c r="L244" s="5"/>
      <c r="M244" s="5"/>
      <c r="O244" s="5"/>
      <c r="P244" s="54"/>
      <c r="Q244" s="5"/>
      <c r="R244" s="5"/>
      <c r="S244" s="5"/>
      <c r="T244" s="5"/>
      <c r="U244" s="5"/>
      <c r="V244" s="5"/>
      <c r="W244" s="52"/>
      <c r="X244" s="52"/>
      <c r="Y244" s="52"/>
      <c r="AC244" s="53"/>
      <c r="AD244" s="53"/>
      <c r="AE244" s="53"/>
      <c r="AH244" s="5"/>
      <c r="AJ244" s="53"/>
      <c r="AM244" s="22">
        <f t="shared" si="11"/>
        <v>0</v>
      </c>
    </row>
    <row r="245" spans="1:39" ht="15.75" x14ac:dyDescent="0.25">
      <c r="A245" s="19" t="s">
        <v>55</v>
      </c>
      <c r="B245" s="19"/>
      <c r="C245" s="20"/>
      <c r="D245" s="20"/>
      <c r="E245" s="20"/>
      <c r="F245" s="19"/>
      <c r="G245" s="21"/>
      <c r="H245" s="21"/>
      <c r="I245" s="5"/>
      <c r="J245" s="5"/>
      <c r="K245" s="5"/>
      <c r="L245" s="52"/>
      <c r="M245" s="5"/>
      <c r="O245" s="52"/>
      <c r="P245" s="54"/>
      <c r="Q245" s="52"/>
      <c r="R245" s="52"/>
      <c r="S245" s="52"/>
      <c r="T245" s="5"/>
      <c r="U245" s="5"/>
      <c r="V245" s="52"/>
      <c r="W245" s="52"/>
      <c r="X245" s="52"/>
      <c r="Y245" s="52"/>
      <c r="Z245" s="53"/>
      <c r="AA245" s="5"/>
      <c r="AC245" s="53"/>
      <c r="AD245" s="52"/>
      <c r="AE245" s="53"/>
      <c r="AG245" s="52"/>
      <c r="AH245" s="5"/>
      <c r="AJ245" s="53"/>
      <c r="AM245" s="22">
        <f t="shared" si="11"/>
        <v>0</v>
      </c>
    </row>
    <row r="246" spans="1:39" ht="15.75" x14ac:dyDescent="0.25">
      <c r="A246" s="19" t="s">
        <v>55</v>
      </c>
      <c r="B246" s="19"/>
      <c r="C246" s="20"/>
      <c r="D246" s="20"/>
      <c r="E246" s="20"/>
      <c r="F246" s="19"/>
      <c r="G246" s="21"/>
      <c r="H246" s="21"/>
      <c r="I246" s="5"/>
      <c r="J246" s="5"/>
      <c r="K246" s="5"/>
      <c r="L246" s="5"/>
      <c r="M246" s="5"/>
      <c r="O246" s="5"/>
      <c r="P246" s="54"/>
      <c r="Q246" s="5"/>
      <c r="R246" s="5"/>
      <c r="S246" s="5"/>
      <c r="T246" s="5"/>
      <c r="U246" s="5"/>
      <c r="V246" s="5"/>
      <c r="W246" s="5"/>
      <c r="X246" s="5"/>
      <c r="Y246" s="5"/>
      <c r="AA246" s="5"/>
      <c r="AD246" s="5"/>
      <c r="AH246" s="5"/>
      <c r="AM246" s="22">
        <f t="shared" si="11"/>
        <v>0</v>
      </c>
    </row>
    <row r="247" spans="1:39" ht="15.75" x14ac:dyDescent="0.25">
      <c r="A247" s="19" t="s">
        <v>55</v>
      </c>
      <c r="B247" s="19"/>
      <c r="C247" s="20"/>
      <c r="D247" s="20"/>
      <c r="E247" s="20"/>
      <c r="F247" s="19"/>
      <c r="G247" s="21"/>
      <c r="H247" s="21"/>
      <c r="I247" s="5"/>
      <c r="J247" s="5"/>
      <c r="K247" s="5"/>
      <c r="L247" s="5"/>
      <c r="M247" s="5"/>
      <c r="O247" s="5"/>
      <c r="P247" s="54"/>
      <c r="Q247" s="5"/>
      <c r="R247" s="5"/>
      <c r="S247" s="5"/>
      <c r="T247" s="5"/>
      <c r="U247" s="5"/>
      <c r="V247" s="5"/>
      <c r="W247" s="52"/>
      <c r="X247" s="52"/>
      <c r="Y247" s="52"/>
      <c r="AC247" s="53"/>
      <c r="AD247" s="52"/>
      <c r="AE247" s="53"/>
      <c r="AF247" s="53"/>
      <c r="AH247" s="52"/>
      <c r="AJ247" s="53"/>
      <c r="AM247" s="22">
        <f t="shared" si="11"/>
        <v>0</v>
      </c>
    </row>
    <row r="248" spans="1:39" ht="15.75" x14ac:dyDescent="0.25">
      <c r="A248" s="19" t="s">
        <v>55</v>
      </c>
      <c r="B248" s="19"/>
      <c r="C248" s="20"/>
      <c r="D248" s="20"/>
      <c r="E248" s="20"/>
      <c r="F248" s="19"/>
      <c r="G248" s="21"/>
      <c r="H248" s="21"/>
      <c r="I248" s="5"/>
      <c r="J248" s="5"/>
      <c r="K248" s="5"/>
      <c r="L248" s="5"/>
      <c r="M248" s="5"/>
      <c r="O248" s="5"/>
      <c r="P248" s="54"/>
      <c r="Q248" s="5"/>
      <c r="R248" s="5"/>
      <c r="S248" s="5"/>
      <c r="T248" s="5"/>
      <c r="U248" s="5"/>
      <c r="V248" s="5"/>
      <c r="W248" s="52"/>
      <c r="X248" s="52"/>
      <c r="Y248" s="52"/>
      <c r="AC248" s="53"/>
      <c r="AD248" s="52"/>
      <c r="AE248" s="53"/>
      <c r="AF248" s="53"/>
      <c r="AH248" s="5"/>
      <c r="AJ248" s="53"/>
      <c r="AM248" s="22">
        <f t="shared" si="11"/>
        <v>0</v>
      </c>
    </row>
    <row r="249" spans="1:39" ht="15.75" x14ac:dyDescent="0.25">
      <c r="A249" s="19" t="s">
        <v>55</v>
      </c>
      <c r="B249" s="19"/>
      <c r="C249" s="20"/>
      <c r="D249" s="20"/>
      <c r="E249" s="20"/>
      <c r="F249" s="19"/>
      <c r="G249" s="21"/>
      <c r="H249" s="21"/>
      <c r="I249" s="5"/>
      <c r="J249" s="5"/>
      <c r="K249" s="5"/>
      <c r="L249" s="5"/>
      <c r="M249" s="5"/>
      <c r="O249" s="5"/>
      <c r="P249" s="54"/>
      <c r="Q249" s="5"/>
      <c r="R249" s="5"/>
      <c r="S249" s="5"/>
      <c r="T249" s="5"/>
      <c r="U249" s="5"/>
      <c r="V249" s="5"/>
      <c r="W249" s="52"/>
      <c r="X249" s="52"/>
      <c r="Y249" s="52"/>
      <c r="AC249" s="53"/>
      <c r="AD249" s="52"/>
      <c r="AE249" s="53"/>
      <c r="AF249" s="53"/>
      <c r="AH249" s="5"/>
      <c r="AJ249" s="53"/>
      <c r="AM249" s="22">
        <f t="shared" si="11"/>
        <v>0</v>
      </c>
    </row>
    <row r="250" spans="1:39" ht="15.75" x14ac:dyDescent="0.25">
      <c r="A250" s="19" t="s">
        <v>55</v>
      </c>
      <c r="B250" s="19"/>
      <c r="C250" s="20"/>
      <c r="D250" s="20"/>
      <c r="E250" s="20"/>
      <c r="F250" s="19"/>
      <c r="G250" s="21"/>
      <c r="H250" s="21"/>
      <c r="I250" s="5"/>
      <c r="J250" s="5"/>
      <c r="K250" s="5"/>
      <c r="L250" s="5"/>
      <c r="M250" s="5"/>
      <c r="O250" s="5"/>
      <c r="P250" s="54"/>
      <c r="Q250" s="5"/>
      <c r="R250" s="5"/>
      <c r="S250" s="5"/>
      <c r="T250" s="5"/>
      <c r="U250" s="5"/>
      <c r="V250" s="5"/>
      <c r="W250" s="52"/>
      <c r="X250" s="52"/>
      <c r="Y250" s="52"/>
      <c r="AC250" s="53"/>
      <c r="AD250" s="52"/>
      <c r="AE250" s="53"/>
      <c r="AF250" s="53"/>
      <c r="AH250" s="5"/>
      <c r="AJ250" s="53"/>
      <c r="AM250" s="22">
        <f t="shared" si="11"/>
        <v>0</v>
      </c>
    </row>
    <row r="251" spans="1:39" ht="15.75" x14ac:dyDescent="0.25">
      <c r="A251" s="19" t="s">
        <v>55</v>
      </c>
      <c r="B251" s="19"/>
      <c r="C251" s="20"/>
      <c r="D251" s="20"/>
      <c r="E251" s="20"/>
      <c r="F251" s="19"/>
      <c r="G251" s="21"/>
      <c r="H251" s="21"/>
      <c r="I251" s="5"/>
      <c r="J251" s="5"/>
      <c r="K251" s="5"/>
      <c r="L251" s="5"/>
      <c r="M251" s="5"/>
      <c r="O251" s="5"/>
      <c r="P251" s="54"/>
      <c r="Q251" s="5"/>
      <c r="R251" s="5"/>
      <c r="S251" s="5"/>
      <c r="T251" s="5"/>
      <c r="U251" s="5"/>
      <c r="V251" s="5"/>
      <c r="W251" s="52"/>
      <c r="X251" s="52"/>
      <c r="Y251" s="52"/>
      <c r="AC251" s="53"/>
      <c r="AD251" s="52"/>
      <c r="AE251" s="53"/>
      <c r="AF251" s="53"/>
      <c r="AH251" s="5"/>
      <c r="AJ251" s="53"/>
      <c r="AM251" s="22">
        <f t="shared" si="11"/>
        <v>0</v>
      </c>
    </row>
    <row r="252" spans="1:39" ht="15.75" x14ac:dyDescent="0.25">
      <c r="A252" s="19" t="s">
        <v>55</v>
      </c>
      <c r="B252" s="19"/>
      <c r="C252" s="20"/>
      <c r="D252" s="20"/>
      <c r="E252" s="20"/>
      <c r="F252" s="19"/>
      <c r="G252" s="21"/>
      <c r="H252" s="21"/>
      <c r="I252" s="5"/>
      <c r="J252" s="5"/>
      <c r="K252" s="5"/>
      <c r="L252" s="5"/>
      <c r="M252" s="5"/>
      <c r="O252" s="5"/>
      <c r="P252" s="54"/>
      <c r="Q252" s="5"/>
      <c r="R252" s="5"/>
      <c r="S252" s="5"/>
      <c r="T252" s="5"/>
      <c r="U252" s="5"/>
      <c r="V252" s="5"/>
      <c r="W252" s="52"/>
      <c r="X252" s="52"/>
      <c r="Y252" s="52"/>
      <c r="AC252" s="53"/>
      <c r="AD252" s="52"/>
      <c r="AE252" s="53"/>
      <c r="AF252" s="53"/>
      <c r="AH252" s="5"/>
      <c r="AJ252" s="53"/>
      <c r="AM252" s="22">
        <f t="shared" si="11"/>
        <v>0</v>
      </c>
    </row>
    <row r="253" spans="1:39" ht="15.75" x14ac:dyDescent="0.25">
      <c r="A253" s="19" t="s">
        <v>55</v>
      </c>
      <c r="B253" s="19"/>
      <c r="C253" s="20"/>
      <c r="D253" s="20"/>
      <c r="E253" s="20"/>
      <c r="F253" s="19"/>
      <c r="G253" s="21"/>
      <c r="H253" s="21"/>
      <c r="I253" s="5"/>
      <c r="J253" s="5"/>
      <c r="K253" s="5"/>
      <c r="L253" s="5"/>
      <c r="M253" s="5"/>
      <c r="O253" s="5"/>
      <c r="P253" s="54"/>
      <c r="Q253" s="5"/>
      <c r="R253" s="5"/>
      <c r="S253" s="5"/>
      <c r="T253" s="5"/>
      <c r="U253" s="5"/>
      <c r="V253" s="5"/>
      <c r="W253" s="52"/>
      <c r="X253" s="52"/>
      <c r="Y253" s="52"/>
      <c r="AC253" s="53"/>
      <c r="AD253" s="52"/>
      <c r="AE253" s="53"/>
      <c r="AF253" s="53"/>
      <c r="AH253" s="5"/>
      <c r="AJ253" s="53"/>
      <c r="AM253" s="22">
        <f t="shared" si="11"/>
        <v>0</v>
      </c>
    </row>
    <row r="254" spans="1:39" ht="15.75" x14ac:dyDescent="0.25">
      <c r="A254" s="19" t="s">
        <v>55</v>
      </c>
      <c r="B254" s="19"/>
      <c r="C254" s="20"/>
      <c r="D254" s="20"/>
      <c r="E254" s="20"/>
      <c r="F254" s="19"/>
      <c r="G254" s="21"/>
      <c r="H254" s="21"/>
      <c r="I254" s="5"/>
      <c r="J254" s="5"/>
      <c r="K254" s="5"/>
      <c r="L254" s="5"/>
      <c r="M254" s="5"/>
      <c r="O254" s="5"/>
      <c r="P254" s="54"/>
      <c r="Q254" s="5"/>
      <c r="R254" s="5"/>
      <c r="S254" s="5"/>
      <c r="T254" s="5"/>
      <c r="U254" s="5"/>
      <c r="V254" s="5"/>
      <c r="W254" s="52"/>
      <c r="X254" s="52"/>
      <c r="Y254" s="52"/>
      <c r="AC254" s="53"/>
      <c r="AD254" s="52"/>
      <c r="AE254" s="53"/>
      <c r="AF254" s="53"/>
      <c r="AH254" s="5"/>
      <c r="AJ254" s="53"/>
      <c r="AM254" s="22">
        <f t="shared" si="11"/>
        <v>0</v>
      </c>
    </row>
    <row r="255" spans="1:39" ht="15.75" x14ac:dyDescent="0.25">
      <c r="A255" s="19" t="s">
        <v>55</v>
      </c>
      <c r="B255" s="19"/>
      <c r="C255" s="20"/>
      <c r="D255" s="20"/>
      <c r="E255" s="20"/>
      <c r="F255" s="19"/>
      <c r="G255" s="21"/>
      <c r="H255" s="21"/>
      <c r="I255" s="5"/>
      <c r="J255" s="5"/>
      <c r="K255" s="5"/>
      <c r="L255" s="5"/>
      <c r="M255" s="5"/>
      <c r="O255" s="5"/>
      <c r="P255" s="54"/>
      <c r="Q255" s="5"/>
      <c r="R255" s="5"/>
      <c r="S255" s="5"/>
      <c r="T255" s="5"/>
      <c r="U255" s="5"/>
      <c r="V255" s="5"/>
      <c r="W255" s="52"/>
      <c r="X255" s="52"/>
      <c r="Y255" s="5"/>
      <c r="Z255" s="53"/>
      <c r="AC255" s="53"/>
      <c r="AD255" s="52"/>
      <c r="AE255" s="53"/>
      <c r="AF255" s="53"/>
      <c r="AH255" s="5"/>
      <c r="AJ255" s="53"/>
      <c r="AM255" s="22">
        <f t="shared" si="11"/>
        <v>0</v>
      </c>
    </row>
    <row r="256" spans="1:39" ht="15.75" x14ac:dyDescent="0.25">
      <c r="A256" s="19" t="s">
        <v>55</v>
      </c>
      <c r="B256" s="19"/>
      <c r="C256" s="20"/>
      <c r="D256" s="20"/>
      <c r="E256" s="20"/>
      <c r="F256" s="19"/>
      <c r="G256" s="21"/>
      <c r="H256" s="21"/>
      <c r="I256" s="5"/>
      <c r="J256" s="5"/>
      <c r="K256" s="5"/>
      <c r="L256" s="5"/>
      <c r="M256" s="5"/>
      <c r="O256" s="5"/>
      <c r="P256" s="54"/>
      <c r="Q256" s="5"/>
      <c r="R256" s="5"/>
      <c r="S256" s="5"/>
      <c r="T256" s="5"/>
      <c r="U256" s="5"/>
      <c r="V256" s="5"/>
      <c r="W256" s="5"/>
      <c r="X256" s="52"/>
      <c r="Y256" s="52"/>
      <c r="AE256" s="53"/>
      <c r="AF256" s="53"/>
      <c r="AH256" s="5"/>
      <c r="AJ256" s="53"/>
      <c r="AM256" s="22">
        <f t="shared" si="11"/>
        <v>0</v>
      </c>
    </row>
    <row r="257" spans="1:39 16360:16378" ht="15.75" x14ac:dyDescent="0.25">
      <c r="A257" s="19" t="s">
        <v>55</v>
      </c>
      <c r="B257" s="19"/>
      <c r="C257" s="20"/>
      <c r="D257" s="20"/>
      <c r="E257" s="20"/>
      <c r="F257" s="19"/>
      <c r="G257" s="21"/>
      <c r="H257" s="21"/>
      <c r="I257" s="5"/>
      <c r="J257" s="5"/>
      <c r="K257" s="5"/>
      <c r="L257" s="5"/>
      <c r="M257" s="5"/>
      <c r="O257" s="5"/>
      <c r="P257" s="54"/>
      <c r="Q257" s="5"/>
      <c r="R257" s="5"/>
      <c r="S257" s="5"/>
      <c r="T257" s="5"/>
      <c r="U257" s="5"/>
      <c r="V257" s="5"/>
      <c r="W257" s="52"/>
      <c r="X257" s="52"/>
      <c r="Y257" s="52"/>
      <c r="AC257" s="53"/>
      <c r="AD257" s="52"/>
      <c r="AE257" s="53"/>
      <c r="AF257" s="53"/>
      <c r="AH257" s="5"/>
      <c r="AJ257" s="53"/>
      <c r="AM257" s="22">
        <f t="shared" si="11"/>
        <v>0</v>
      </c>
    </row>
    <row r="258" spans="1:39 16360:16378" ht="15.75" x14ac:dyDescent="0.25">
      <c r="A258" s="19" t="s">
        <v>55</v>
      </c>
      <c r="B258" s="19"/>
      <c r="C258" s="20"/>
      <c r="D258" s="20"/>
      <c r="E258" s="20"/>
      <c r="F258" s="19"/>
      <c r="G258" s="21"/>
      <c r="H258" s="21"/>
      <c r="I258" s="5"/>
      <c r="J258" s="5"/>
      <c r="K258" s="5"/>
      <c r="L258" s="52"/>
      <c r="M258" s="5"/>
      <c r="O258" s="5"/>
      <c r="P258" s="54"/>
      <c r="Q258" s="52"/>
      <c r="R258" s="5"/>
      <c r="S258" s="52"/>
      <c r="T258" s="5"/>
      <c r="U258" s="5"/>
      <c r="V258" s="52"/>
      <c r="W258" s="52"/>
      <c r="X258" s="52"/>
      <c r="Y258" s="52"/>
      <c r="Z258" s="53"/>
      <c r="AA258" s="5"/>
      <c r="AC258" s="53"/>
      <c r="AD258" s="52"/>
      <c r="AE258" s="53"/>
      <c r="AF258" s="53"/>
      <c r="AG258" s="52"/>
      <c r="AH258" s="5"/>
      <c r="AM258" s="22">
        <f t="shared" si="11"/>
        <v>0</v>
      </c>
    </row>
    <row r="259" spans="1:39 16360:16378" ht="15.75" x14ac:dyDescent="0.25">
      <c r="A259" s="19" t="s">
        <v>55</v>
      </c>
      <c r="B259" s="19"/>
      <c r="C259" s="20"/>
      <c r="D259" s="20"/>
      <c r="E259" s="20"/>
      <c r="F259" s="19"/>
      <c r="G259" s="21"/>
      <c r="H259" s="21"/>
      <c r="I259" s="5"/>
      <c r="J259" s="5"/>
      <c r="K259" s="5"/>
      <c r="L259" s="52"/>
      <c r="M259" s="5"/>
      <c r="O259" s="52"/>
      <c r="P259" s="54"/>
      <c r="Q259" s="5"/>
      <c r="R259" s="5"/>
      <c r="S259" s="5"/>
      <c r="T259" s="5"/>
      <c r="U259" s="5"/>
      <c r="V259" s="5"/>
      <c r="W259" s="5"/>
      <c r="X259" s="5"/>
      <c r="Y259" s="5"/>
      <c r="AA259" s="5"/>
      <c r="AG259" s="5"/>
      <c r="AH259" s="5"/>
      <c r="AM259" s="22">
        <f t="shared" si="11"/>
        <v>0</v>
      </c>
    </row>
    <row r="260" spans="1:39 16360:16378" ht="15.75" x14ac:dyDescent="0.25">
      <c r="A260" s="19" t="s">
        <v>55</v>
      </c>
      <c r="B260" s="19"/>
      <c r="C260" s="20"/>
      <c r="D260" s="20"/>
      <c r="E260" s="20"/>
      <c r="F260" s="19"/>
      <c r="G260" s="21"/>
      <c r="H260" s="21"/>
      <c r="I260" s="5"/>
      <c r="J260" s="5"/>
      <c r="K260" s="5"/>
      <c r="L260" s="52"/>
      <c r="M260" s="5"/>
      <c r="O260" s="52"/>
      <c r="P260" s="54"/>
      <c r="Q260" s="52"/>
      <c r="R260" s="5"/>
      <c r="S260" s="52"/>
      <c r="T260" s="5"/>
      <c r="U260" s="5"/>
      <c r="V260" s="52"/>
      <c r="W260" s="52"/>
      <c r="X260" s="52"/>
      <c r="Y260" s="52"/>
      <c r="Z260" s="53"/>
      <c r="AA260" s="5"/>
      <c r="AC260" s="53"/>
      <c r="AD260" s="52"/>
      <c r="AE260" s="53"/>
      <c r="AF260" s="53"/>
      <c r="AG260" s="52"/>
      <c r="AH260" s="5"/>
      <c r="AM260" s="22">
        <f t="shared" si="11"/>
        <v>0</v>
      </c>
    </row>
    <row r="261" spans="1:39 16360:16378" ht="15.75" x14ac:dyDescent="0.25">
      <c r="A261" s="19" t="s">
        <v>55</v>
      </c>
      <c r="B261" s="19"/>
      <c r="C261" s="20"/>
      <c r="D261" s="20"/>
      <c r="E261" s="20"/>
      <c r="F261" s="19"/>
      <c r="G261" s="21"/>
      <c r="H261" s="21"/>
      <c r="I261" s="5"/>
      <c r="J261" s="5"/>
      <c r="K261" s="5"/>
      <c r="L261" s="52"/>
      <c r="M261" s="5"/>
      <c r="O261" s="52"/>
      <c r="P261" s="54"/>
      <c r="Q261" s="52"/>
      <c r="R261" s="52"/>
      <c r="S261" s="52"/>
      <c r="T261" s="5"/>
      <c r="U261" s="5"/>
      <c r="V261" s="52"/>
      <c r="W261" s="52"/>
      <c r="X261" s="52"/>
      <c r="Y261" s="52"/>
      <c r="Z261" s="53"/>
      <c r="AC261" s="53"/>
      <c r="AD261" s="52"/>
      <c r="AE261" s="53"/>
      <c r="AH261" s="5"/>
      <c r="AJ261" s="53"/>
      <c r="AM261" s="22">
        <f t="shared" si="11"/>
        <v>0</v>
      </c>
    </row>
    <row r="262" spans="1:39 16360:16378" ht="15.75" x14ac:dyDescent="0.25">
      <c r="A262" s="19" t="s">
        <v>55</v>
      </c>
      <c r="B262" s="19"/>
      <c r="C262" s="20"/>
      <c r="D262" s="20"/>
      <c r="E262" s="20"/>
      <c r="F262" s="19"/>
      <c r="G262" s="21"/>
      <c r="H262" s="21"/>
      <c r="I262" s="5"/>
      <c r="J262" s="5"/>
      <c r="K262" s="5"/>
      <c r="L262" s="5"/>
      <c r="M262" s="5"/>
      <c r="O262" s="52"/>
      <c r="P262" s="54"/>
      <c r="Q262" s="52"/>
      <c r="R262" s="5"/>
      <c r="S262" s="5"/>
      <c r="T262" s="5"/>
      <c r="U262" s="5"/>
      <c r="V262" s="5"/>
      <c r="W262" s="5"/>
      <c r="X262" s="5"/>
      <c r="Y262" s="5"/>
      <c r="AA262" s="5"/>
      <c r="AD262" s="5"/>
      <c r="AG262" s="5"/>
      <c r="AH262" s="5"/>
      <c r="AM262" s="22">
        <f t="shared" si="11"/>
        <v>0</v>
      </c>
    </row>
    <row r="263" spans="1:39 16360:16378" ht="15.75" x14ac:dyDescent="0.25">
      <c r="A263" s="19" t="s">
        <v>55</v>
      </c>
      <c r="B263" s="19"/>
      <c r="C263" s="20"/>
      <c r="D263" s="20"/>
      <c r="E263" s="20"/>
      <c r="F263" s="19"/>
      <c r="G263" s="21"/>
      <c r="H263" s="21"/>
      <c r="I263" s="5"/>
      <c r="J263" s="5"/>
      <c r="K263" s="5"/>
      <c r="L263" s="5"/>
      <c r="M263" s="5"/>
      <c r="O263" s="5"/>
      <c r="P263" s="54"/>
      <c r="Q263" s="5"/>
      <c r="R263" s="5"/>
      <c r="S263" s="5"/>
      <c r="T263" s="5"/>
      <c r="U263" s="5"/>
      <c r="V263" s="5"/>
      <c r="W263" s="5"/>
      <c r="X263" s="5"/>
      <c r="Y263" s="5"/>
      <c r="AH263" s="5"/>
      <c r="AM263" s="22">
        <f t="shared" si="11"/>
        <v>0</v>
      </c>
    </row>
    <row r="264" spans="1:39 16360:16378" ht="15.75" x14ac:dyDescent="0.25">
      <c r="A264" s="19" t="s">
        <v>55</v>
      </c>
      <c r="B264" s="19"/>
      <c r="C264" s="20"/>
      <c r="D264" s="20"/>
      <c r="E264" s="20"/>
      <c r="F264" s="19"/>
      <c r="G264" s="21"/>
      <c r="H264" s="21"/>
      <c r="I264" s="5"/>
      <c r="J264" s="5"/>
      <c r="K264" s="5"/>
      <c r="L264" s="5"/>
      <c r="M264" s="5"/>
      <c r="O264" s="5"/>
      <c r="P264" s="54"/>
      <c r="Q264" s="5"/>
      <c r="R264" s="5"/>
      <c r="S264" s="5"/>
      <c r="T264" s="5"/>
      <c r="U264" s="5"/>
      <c r="V264" s="5"/>
      <c r="W264" s="52"/>
      <c r="X264" s="5"/>
      <c r="Y264" s="5"/>
      <c r="AC264" s="53"/>
      <c r="AD264" s="52"/>
      <c r="AE264" s="53"/>
      <c r="AF264" s="53"/>
      <c r="AH264" s="5"/>
      <c r="AM264" s="22">
        <f t="shared" si="11"/>
        <v>0</v>
      </c>
    </row>
    <row r="265" spans="1:39 16360:16378" ht="15.75" x14ac:dyDescent="0.25">
      <c r="A265" s="19" t="s">
        <v>55</v>
      </c>
      <c r="B265" s="19"/>
      <c r="C265" s="20"/>
      <c r="D265" s="20"/>
      <c r="E265" s="20"/>
      <c r="F265" s="19"/>
      <c r="G265" s="21"/>
      <c r="H265" s="21"/>
      <c r="I265" s="5"/>
      <c r="J265" s="5"/>
      <c r="K265" s="5"/>
      <c r="L265" s="5"/>
      <c r="M265" s="5"/>
      <c r="O265" s="5"/>
      <c r="P265" s="54"/>
      <c r="Q265" s="5"/>
      <c r="R265" s="5"/>
      <c r="S265" s="5"/>
      <c r="T265" s="5"/>
      <c r="U265" s="5"/>
      <c r="V265" s="52"/>
      <c r="W265" s="52"/>
      <c r="X265" s="52"/>
      <c r="Y265" s="52"/>
      <c r="Z265" s="53"/>
      <c r="AC265" s="53"/>
      <c r="AD265" s="52"/>
      <c r="AE265" s="53"/>
      <c r="AF265" s="53"/>
      <c r="AH265" s="5"/>
      <c r="AM265" s="22">
        <f t="shared" si="11"/>
        <v>0</v>
      </c>
    </row>
    <row r="266" spans="1:39 16360:16378" ht="15.75" x14ac:dyDescent="0.25">
      <c r="A266" s="19" t="s">
        <v>55</v>
      </c>
      <c r="B266" s="19"/>
      <c r="C266" s="20"/>
      <c r="D266" s="20"/>
      <c r="E266" s="20"/>
      <c r="F266" s="19"/>
      <c r="G266" s="21"/>
      <c r="H266" s="21"/>
      <c r="I266" s="5"/>
      <c r="J266" s="5"/>
      <c r="K266" s="5"/>
      <c r="L266" s="5"/>
      <c r="M266" s="5"/>
      <c r="O266" s="5"/>
      <c r="P266" s="54"/>
      <c r="Q266" s="5"/>
      <c r="R266" s="5"/>
      <c r="S266" s="5"/>
      <c r="T266" s="5"/>
      <c r="U266" s="5"/>
      <c r="V266" s="52"/>
      <c r="W266" s="52"/>
      <c r="X266" s="52"/>
      <c r="Y266" s="52"/>
      <c r="Z266" s="53"/>
      <c r="AC266" s="53"/>
      <c r="AD266" s="52"/>
      <c r="AE266" s="53"/>
      <c r="AF266" s="53"/>
      <c r="AH266" s="5"/>
      <c r="AM266" s="22">
        <f t="shared" si="11"/>
        <v>0</v>
      </c>
    </row>
    <row r="267" spans="1:39 16360:16378" ht="15.75" x14ac:dyDescent="0.25">
      <c r="A267" s="19" t="s">
        <v>55</v>
      </c>
      <c r="B267" s="19"/>
      <c r="C267" s="20"/>
      <c r="D267" s="20"/>
      <c r="E267" s="20"/>
      <c r="F267" s="19"/>
      <c r="G267" s="21"/>
      <c r="H267" s="21"/>
      <c r="I267" s="5"/>
      <c r="J267" s="5"/>
      <c r="K267" s="5"/>
      <c r="L267" s="52"/>
      <c r="M267" s="5"/>
      <c r="O267" s="5"/>
      <c r="P267" s="54"/>
      <c r="Q267" s="5"/>
      <c r="R267" s="5"/>
      <c r="S267" s="5"/>
      <c r="T267" s="5"/>
      <c r="U267" s="5"/>
      <c r="V267" s="5"/>
      <c r="W267" s="5"/>
      <c r="X267" s="5"/>
      <c r="Y267" s="5"/>
      <c r="AF267" s="53"/>
      <c r="AH267" s="5"/>
      <c r="AJ267" s="53"/>
      <c r="AM267" s="22">
        <f t="shared" si="11"/>
        <v>0</v>
      </c>
    </row>
    <row r="268" spans="1:39 16360:16378" ht="15.75" x14ac:dyDescent="0.25">
      <c r="A268" s="19" t="s">
        <v>55</v>
      </c>
      <c r="B268" s="19"/>
      <c r="C268" s="20"/>
      <c r="D268" s="20"/>
      <c r="E268" s="20"/>
      <c r="F268" s="19"/>
      <c r="G268" s="21"/>
      <c r="H268" s="21"/>
      <c r="I268" s="5"/>
      <c r="J268" s="5"/>
      <c r="K268" s="5"/>
      <c r="L268" s="5"/>
      <c r="M268" s="5"/>
      <c r="N268" s="5"/>
      <c r="P268" s="54"/>
      <c r="W268" s="52"/>
      <c r="X268" s="5"/>
      <c r="Y268" s="5"/>
      <c r="AC268" s="53"/>
      <c r="AD268" s="52"/>
      <c r="AE268" s="53"/>
      <c r="AF268" s="53"/>
      <c r="AG268" s="5"/>
      <c r="AH268" s="5"/>
      <c r="AI268" s="5"/>
      <c r="AJ268" s="53"/>
      <c r="AK268" s="5"/>
      <c r="AL268" s="5"/>
      <c r="AM268" s="22">
        <f t="shared" si="11"/>
        <v>0</v>
      </c>
      <c r="XEQ268" s="19"/>
      <c r="XER268" s="19"/>
      <c r="XES268" s="20"/>
      <c r="XET268" s="20"/>
      <c r="XEU268" s="20"/>
      <c r="XEV268" s="19"/>
      <c r="XEW268" s="21"/>
      <c r="XEX268" s="21"/>
    </row>
    <row r="269" spans="1:39 16360:16378" ht="15.75" x14ac:dyDescent="0.25">
      <c r="A269" s="19" t="s">
        <v>55</v>
      </c>
      <c r="B269" s="19"/>
      <c r="C269" s="20"/>
      <c r="D269" s="20"/>
      <c r="E269" s="20"/>
      <c r="F269" s="19"/>
      <c r="G269" s="21"/>
      <c r="H269" s="21"/>
      <c r="L269" s="52"/>
      <c r="O269" s="52"/>
      <c r="P269" s="54"/>
      <c r="Q269" s="52"/>
      <c r="R269" s="52"/>
      <c r="T269" s="22"/>
      <c r="U269" s="5"/>
      <c r="V269" s="52"/>
      <c r="W269" s="52"/>
      <c r="X269" s="52"/>
      <c r="Y269" s="5"/>
      <c r="Z269" s="5"/>
      <c r="AA269" s="5"/>
      <c r="AB269" s="5"/>
      <c r="AC269" s="5"/>
      <c r="AD269" s="52"/>
      <c r="AE269" s="53"/>
      <c r="AH269" s="5"/>
      <c r="AI269" s="5"/>
      <c r="AJ269" s="5"/>
      <c r="AL269" s="5"/>
      <c r="AM269" s="22">
        <f t="shared" si="11"/>
        <v>0</v>
      </c>
      <c r="XEF269" s="19"/>
      <c r="XEG269" s="19"/>
      <c r="XEH269" s="20"/>
      <c r="XEI269" s="20"/>
      <c r="XEJ269" s="20"/>
      <c r="XEK269" s="19"/>
      <c r="XEL269" s="21"/>
      <c r="XEM269" s="21"/>
      <c r="XEQ269" s="19"/>
      <c r="XER269" s="19"/>
      <c r="XES269" s="20"/>
      <c r="XET269" s="20"/>
      <c r="XEU269" s="20"/>
      <c r="XEV269" s="19"/>
      <c r="XEW269" s="21"/>
      <c r="XEX269" s="21"/>
    </row>
    <row r="270" spans="1:39 16360:16378" ht="15.75" x14ac:dyDescent="0.25">
      <c r="A270" s="19" t="s">
        <v>55</v>
      </c>
      <c r="B270" s="19"/>
      <c r="C270" s="20"/>
      <c r="D270" s="20"/>
      <c r="E270" s="20"/>
      <c r="F270" s="19"/>
      <c r="G270" s="21"/>
      <c r="H270" s="21"/>
      <c r="I270" s="5"/>
      <c r="J270" s="5"/>
      <c r="K270" s="5"/>
      <c r="L270" s="5"/>
      <c r="M270" s="5"/>
      <c r="N270" s="5"/>
      <c r="P270" s="54"/>
      <c r="W270" s="52"/>
      <c r="X270" s="52"/>
      <c r="Y270" s="52"/>
      <c r="AC270" s="53"/>
      <c r="AD270" s="52"/>
      <c r="AE270" s="53"/>
      <c r="AF270" s="53"/>
      <c r="AG270" s="5"/>
      <c r="AH270" s="5"/>
      <c r="AI270" s="5"/>
      <c r="AJ270" s="53"/>
      <c r="AK270" s="5"/>
      <c r="AL270" s="5"/>
      <c r="AM270" s="22">
        <f t="shared" si="11"/>
        <v>0</v>
      </c>
      <c r="XEQ270" s="19"/>
      <c r="XER270" s="19"/>
      <c r="XES270" s="20"/>
      <c r="XET270" s="20"/>
      <c r="XEU270" s="20"/>
      <c r="XEV270" s="19"/>
      <c r="XEW270" s="21"/>
      <c r="XEX270" s="21"/>
    </row>
    <row r="271" spans="1:39 16360:16378" ht="15.75" x14ac:dyDescent="0.25">
      <c r="A271" s="19" t="s">
        <v>55</v>
      </c>
      <c r="B271" s="19"/>
      <c r="C271" s="20"/>
      <c r="D271" s="20"/>
      <c r="E271" s="20"/>
      <c r="F271" s="19"/>
      <c r="G271" s="21"/>
      <c r="H271" s="21"/>
      <c r="I271" s="5"/>
      <c r="J271" s="5"/>
      <c r="K271" s="5"/>
      <c r="L271" s="5"/>
      <c r="M271" s="5"/>
      <c r="O271" s="5"/>
      <c r="P271" s="54"/>
      <c r="Q271" s="5"/>
      <c r="R271" s="5"/>
      <c r="S271" s="5"/>
      <c r="T271" s="5"/>
      <c r="U271" s="5"/>
      <c r="V271" s="5"/>
      <c r="W271" s="52"/>
      <c r="X271" s="52"/>
      <c r="Y271" s="52"/>
      <c r="AC271" s="53"/>
      <c r="AD271" s="52"/>
      <c r="AE271" s="53"/>
      <c r="AF271" s="53"/>
      <c r="AH271" s="5"/>
      <c r="AM271" s="22">
        <f t="shared" si="11"/>
        <v>0</v>
      </c>
    </row>
    <row r="272" spans="1:39 16360:16378" ht="15.75" x14ac:dyDescent="0.25">
      <c r="A272" s="19" t="s">
        <v>55</v>
      </c>
      <c r="B272" s="19"/>
      <c r="C272" s="20"/>
      <c r="D272" s="20"/>
      <c r="E272" s="20"/>
      <c r="F272" s="19"/>
      <c r="G272" s="21"/>
      <c r="H272" s="21"/>
      <c r="I272" s="5"/>
      <c r="J272" s="5"/>
      <c r="K272" s="5"/>
      <c r="L272" s="5"/>
      <c r="M272" s="5"/>
      <c r="O272" s="5"/>
      <c r="P272" s="54"/>
      <c r="Q272" s="5"/>
      <c r="R272" s="5"/>
      <c r="S272" s="5"/>
      <c r="T272" s="5"/>
      <c r="U272" s="5"/>
      <c r="V272" s="5"/>
      <c r="W272" s="52"/>
      <c r="X272" s="52"/>
      <c r="Y272" s="52"/>
      <c r="AC272" s="53"/>
      <c r="AD272" s="52"/>
      <c r="AE272" s="53"/>
      <c r="AF272" s="53"/>
      <c r="AH272" s="5"/>
      <c r="AJ272" s="53"/>
      <c r="AM272" s="22">
        <f t="shared" si="11"/>
        <v>0</v>
      </c>
    </row>
    <row r="273" spans="1:39 16346:16371" ht="15.75" x14ac:dyDescent="0.25">
      <c r="A273" s="19" t="s">
        <v>55</v>
      </c>
      <c r="B273" s="19"/>
      <c r="C273" s="20"/>
      <c r="D273" s="20"/>
      <c r="E273" s="20"/>
      <c r="F273" s="19"/>
      <c r="G273" s="21"/>
      <c r="H273" s="21"/>
      <c r="I273" s="5"/>
      <c r="J273" s="5"/>
      <c r="K273" s="5"/>
      <c r="L273" s="5"/>
      <c r="M273" s="5"/>
      <c r="O273" s="5"/>
      <c r="P273" s="54"/>
      <c r="Q273" s="5"/>
      <c r="R273" s="5"/>
      <c r="S273" s="5"/>
      <c r="T273" s="5"/>
      <c r="U273" s="5"/>
      <c r="V273" s="5"/>
      <c r="W273" s="52"/>
      <c r="X273" s="52"/>
      <c r="Y273" s="52"/>
      <c r="AC273" s="53"/>
      <c r="AD273" s="52"/>
      <c r="AE273" s="53"/>
      <c r="AF273" s="53"/>
      <c r="AH273" s="5"/>
      <c r="AM273" s="22">
        <f t="shared" si="11"/>
        <v>0</v>
      </c>
    </row>
    <row r="274" spans="1:39 16346:16371" ht="15.75" x14ac:dyDescent="0.25">
      <c r="A274" s="19" t="s">
        <v>55</v>
      </c>
      <c r="B274" s="19"/>
      <c r="C274" s="20"/>
      <c r="D274" s="20"/>
      <c r="E274" s="20"/>
      <c r="F274" s="19"/>
      <c r="G274" s="21"/>
      <c r="H274" s="21"/>
      <c r="I274" s="5"/>
      <c r="J274" s="5"/>
      <c r="K274" s="5"/>
      <c r="L274" s="5"/>
      <c r="M274" s="5"/>
      <c r="O274" s="5"/>
      <c r="P274" s="54"/>
      <c r="Q274" s="5"/>
      <c r="R274" s="5"/>
      <c r="S274" s="5"/>
      <c r="T274" s="5"/>
      <c r="U274" s="5"/>
      <c r="V274" s="5"/>
      <c r="W274" s="52"/>
      <c r="X274" s="52"/>
      <c r="Y274" s="52"/>
      <c r="AC274" s="53"/>
      <c r="AD274" s="52"/>
      <c r="AE274" s="53"/>
      <c r="AF274" s="53"/>
      <c r="AH274" s="5"/>
      <c r="AJ274" s="53"/>
      <c r="AM274" s="22">
        <f t="shared" ref="AM274:AM337" si="12">COUNTA(I274:AL274)</f>
        <v>0</v>
      </c>
    </row>
    <row r="275" spans="1:39 16346:16371" ht="15.75" x14ac:dyDescent="0.25">
      <c r="A275" s="19" t="s">
        <v>55</v>
      </c>
      <c r="B275" s="19"/>
      <c r="C275" s="20"/>
      <c r="D275" s="20"/>
      <c r="E275" s="20"/>
      <c r="F275" s="19"/>
      <c r="G275" s="21"/>
      <c r="H275" s="21"/>
      <c r="I275" s="5"/>
      <c r="J275" s="5"/>
      <c r="K275" s="5"/>
      <c r="L275" s="5"/>
      <c r="M275" s="5"/>
      <c r="O275" s="5"/>
      <c r="P275" s="54"/>
      <c r="Q275" s="5"/>
      <c r="R275" s="5"/>
      <c r="S275" s="5"/>
      <c r="T275" s="5"/>
      <c r="U275" s="5"/>
      <c r="V275" s="5"/>
      <c r="W275" s="5"/>
      <c r="X275" s="52"/>
      <c r="Y275" s="52"/>
      <c r="AC275" s="53"/>
      <c r="AD275" s="52"/>
      <c r="AE275" s="53"/>
      <c r="AF275" s="53"/>
      <c r="AH275" s="5"/>
      <c r="AJ275" s="53"/>
      <c r="AM275" s="22">
        <f t="shared" si="12"/>
        <v>0</v>
      </c>
    </row>
    <row r="276" spans="1:39 16346:16371" ht="15.75" x14ac:dyDescent="0.25">
      <c r="A276" s="19" t="s">
        <v>55</v>
      </c>
      <c r="B276" s="19"/>
      <c r="C276" s="20"/>
      <c r="D276" s="20"/>
      <c r="E276" s="20"/>
      <c r="F276" s="19"/>
      <c r="G276" s="21"/>
      <c r="H276" s="21"/>
      <c r="I276" s="5"/>
      <c r="J276" s="5"/>
      <c r="K276" s="5"/>
      <c r="L276" s="5"/>
      <c r="M276" s="5"/>
      <c r="O276" s="5"/>
      <c r="P276" s="54"/>
      <c r="Q276" s="5"/>
      <c r="R276" s="5"/>
      <c r="S276" s="5"/>
      <c r="T276" s="5"/>
      <c r="U276" s="5"/>
      <c r="V276" s="5"/>
      <c r="W276" s="52"/>
      <c r="X276" s="52"/>
      <c r="Y276" s="52"/>
      <c r="AC276" s="53"/>
      <c r="AD276" s="52"/>
      <c r="AE276" s="53"/>
      <c r="AF276" s="53"/>
      <c r="AH276" s="5"/>
      <c r="AJ276" s="53"/>
      <c r="AM276" s="22">
        <f t="shared" si="12"/>
        <v>0</v>
      </c>
    </row>
    <row r="277" spans="1:39 16346:16371" ht="15.75" x14ac:dyDescent="0.25">
      <c r="A277" s="19" t="s">
        <v>55</v>
      </c>
      <c r="B277" s="19"/>
      <c r="C277" s="20"/>
      <c r="D277" s="20"/>
      <c r="E277" s="20"/>
      <c r="F277" s="19"/>
      <c r="G277" s="21"/>
      <c r="H277" s="21"/>
      <c r="I277" s="5"/>
      <c r="J277" s="5"/>
      <c r="K277" s="5"/>
      <c r="L277" s="5"/>
      <c r="M277" s="5"/>
      <c r="O277" s="5"/>
      <c r="P277" s="54"/>
      <c r="Q277" s="5"/>
      <c r="R277" s="5"/>
      <c r="S277" s="5"/>
      <c r="T277" s="5"/>
      <c r="U277" s="5"/>
      <c r="V277" s="5"/>
      <c r="W277" s="52"/>
      <c r="X277" s="52"/>
      <c r="Y277" s="52"/>
      <c r="AC277" s="53"/>
      <c r="AD277" s="52"/>
      <c r="AE277" s="53"/>
      <c r="AF277" s="53"/>
      <c r="AH277" s="5"/>
      <c r="AJ277" s="53"/>
      <c r="AM277" s="22">
        <f t="shared" si="12"/>
        <v>0</v>
      </c>
    </row>
    <row r="278" spans="1:39 16346:16371" ht="15.75" x14ac:dyDescent="0.25">
      <c r="A278" s="19" t="s">
        <v>55</v>
      </c>
      <c r="B278" s="19"/>
      <c r="C278" s="20"/>
      <c r="D278" s="20"/>
      <c r="E278" s="20"/>
      <c r="F278" s="19"/>
      <c r="G278" s="21"/>
      <c r="H278" s="21"/>
      <c r="I278" s="5"/>
      <c r="J278" s="5"/>
      <c r="K278" s="5"/>
      <c r="L278" s="5"/>
      <c r="M278" s="5"/>
      <c r="O278" s="5"/>
      <c r="P278" s="54"/>
      <c r="Q278" s="5"/>
      <c r="R278" s="5"/>
      <c r="S278" s="5"/>
      <c r="T278" s="5"/>
      <c r="U278" s="5"/>
      <c r="V278" s="5"/>
      <c r="W278" s="52"/>
      <c r="X278" s="52"/>
      <c r="Y278" s="52"/>
      <c r="AC278" s="53"/>
      <c r="AD278" s="52"/>
      <c r="AE278" s="53"/>
      <c r="AF278" s="53"/>
      <c r="AH278" s="5"/>
      <c r="AJ278" s="53"/>
      <c r="AM278" s="22">
        <f t="shared" si="12"/>
        <v>0</v>
      </c>
    </row>
    <row r="279" spans="1:39 16346:16371" ht="15.75" x14ac:dyDescent="0.25">
      <c r="A279" s="19" t="s">
        <v>55</v>
      </c>
      <c r="B279" s="19"/>
      <c r="C279" s="23"/>
      <c r="D279" s="20"/>
      <c r="E279" s="20"/>
      <c r="F279" s="19"/>
      <c r="G279" s="21"/>
      <c r="H279" s="21"/>
      <c r="P279" s="54"/>
      <c r="Q279" s="54"/>
      <c r="R279" s="52"/>
      <c r="W279" s="5"/>
      <c r="AM279" s="22">
        <f t="shared" si="12"/>
        <v>0</v>
      </c>
    </row>
    <row r="280" spans="1:39 16346:16371" ht="15.75" x14ac:dyDescent="0.25">
      <c r="A280" s="19" t="s">
        <v>55</v>
      </c>
      <c r="B280" s="19"/>
      <c r="C280" s="23"/>
      <c r="D280" s="20"/>
      <c r="E280" s="20"/>
      <c r="F280" s="19"/>
      <c r="G280" s="21"/>
      <c r="H280" s="21"/>
      <c r="O280" s="52"/>
      <c r="P280" s="54"/>
      <c r="V280" s="52"/>
      <c r="W280" s="52"/>
      <c r="X280" s="52"/>
      <c r="AD280" s="52"/>
      <c r="AE280" s="53"/>
      <c r="AM280" s="22">
        <f t="shared" si="12"/>
        <v>0</v>
      </c>
    </row>
    <row r="281" spans="1:39 16346:16371" ht="15.75" x14ac:dyDescent="0.25">
      <c r="A281" s="19" t="s">
        <v>55</v>
      </c>
      <c r="B281" s="19"/>
      <c r="C281" s="23"/>
      <c r="D281" s="20"/>
      <c r="E281" s="20"/>
      <c r="F281" s="19"/>
      <c r="G281" s="21"/>
      <c r="H281" s="21"/>
      <c r="P281" s="54"/>
      <c r="Q281" s="52"/>
      <c r="W281" s="5"/>
      <c r="X281" s="5"/>
      <c r="Y281" s="5"/>
      <c r="AD281" s="53"/>
      <c r="AM281" s="22">
        <f t="shared" si="12"/>
        <v>0</v>
      </c>
    </row>
    <row r="282" spans="1:39 16346:16371" ht="15.75" x14ac:dyDescent="0.25">
      <c r="A282" s="19" t="s">
        <v>55</v>
      </c>
      <c r="B282" s="19"/>
      <c r="C282" s="23"/>
      <c r="D282" s="20"/>
      <c r="E282" s="20"/>
      <c r="F282" s="19"/>
      <c r="G282" s="21"/>
      <c r="H282" s="21"/>
      <c r="L282" s="52"/>
      <c r="P282" s="54"/>
      <c r="W282" s="5"/>
      <c r="X282" s="5"/>
      <c r="Y282" s="5"/>
      <c r="AM282" s="22">
        <f t="shared" si="12"/>
        <v>0</v>
      </c>
    </row>
    <row r="283" spans="1:39 16346:16371" ht="15.75" x14ac:dyDescent="0.25">
      <c r="A283" s="19" t="s">
        <v>55</v>
      </c>
      <c r="B283" s="19"/>
      <c r="C283" s="20"/>
      <c r="D283" s="20"/>
      <c r="E283" s="20"/>
      <c r="F283" s="19"/>
      <c r="G283" s="21"/>
      <c r="H283" s="21"/>
      <c r="I283" s="5"/>
      <c r="L283" s="52"/>
      <c r="O283" s="52"/>
      <c r="P283" s="54"/>
      <c r="Q283" s="52"/>
      <c r="R283" s="52"/>
      <c r="S283" s="52"/>
      <c r="V283" s="52"/>
      <c r="W283" s="52"/>
      <c r="X283" s="52"/>
      <c r="Y283" s="52"/>
      <c r="Z283" s="53"/>
      <c r="AA283" s="5"/>
      <c r="AB283" s="5"/>
      <c r="AC283" s="5"/>
      <c r="AD283" s="52"/>
      <c r="AE283" s="53"/>
      <c r="AF283" s="53"/>
      <c r="AG283" s="52"/>
      <c r="AH283" s="5"/>
      <c r="AI283" s="5"/>
      <c r="AJ283" s="53"/>
      <c r="AK283" s="5"/>
      <c r="AL283" s="5"/>
      <c r="AM283" s="22">
        <f t="shared" si="12"/>
        <v>0</v>
      </c>
      <c r="XEJ283" s="19"/>
      <c r="XEK283" s="19"/>
      <c r="XEL283" s="20"/>
      <c r="XEM283" s="20"/>
      <c r="XEN283" s="20"/>
      <c r="XEO283" s="19"/>
      <c r="XEP283" s="21"/>
      <c r="XEQ283" s="21"/>
    </row>
    <row r="284" spans="1:39 16346:16371" ht="15.75" x14ac:dyDescent="0.25">
      <c r="A284" s="19" t="s">
        <v>55</v>
      </c>
      <c r="B284" s="19"/>
      <c r="C284" s="20"/>
      <c r="D284" s="20"/>
      <c r="E284" s="20"/>
      <c r="F284" s="19"/>
      <c r="G284" s="21"/>
      <c r="H284" s="21"/>
      <c r="I284" s="5"/>
      <c r="J284" s="5"/>
      <c r="K284" s="5"/>
      <c r="L284" s="5"/>
      <c r="M284" s="5"/>
      <c r="N284" s="5"/>
      <c r="O284" s="52"/>
      <c r="P284" s="54"/>
      <c r="Q284" s="52"/>
      <c r="R284" s="52"/>
      <c r="S284" s="52"/>
      <c r="T284" s="5"/>
      <c r="U284" s="5"/>
      <c r="V284" s="52"/>
      <c r="W284" s="52"/>
      <c r="X284" s="52"/>
      <c r="Y284" s="52"/>
      <c r="Z284" s="53"/>
      <c r="AA284" s="5"/>
      <c r="AB284" s="5"/>
      <c r="AC284" s="53"/>
      <c r="AD284" s="52"/>
      <c r="AE284" s="53"/>
      <c r="AF284" s="53"/>
      <c r="AG284" s="52"/>
      <c r="AH284" s="5"/>
      <c r="AI284" s="5"/>
      <c r="AJ284" s="53"/>
      <c r="AK284" s="5"/>
      <c r="AL284" s="5"/>
      <c r="AM284" s="22">
        <f t="shared" si="12"/>
        <v>0</v>
      </c>
      <c r="XDR284" s="19"/>
      <c r="XDS284" s="19"/>
      <c r="XDT284" s="20"/>
      <c r="XDU284" s="20"/>
      <c r="XDV284" s="20"/>
      <c r="XDW284" s="19"/>
      <c r="XDX284" s="21"/>
      <c r="XDY284" s="21"/>
      <c r="XEJ284" s="19"/>
      <c r="XEK284" s="19"/>
      <c r="XEL284" s="20"/>
      <c r="XEM284" s="20"/>
      <c r="XEN284" s="20"/>
      <c r="XEO284" s="19"/>
      <c r="XEP284" s="21"/>
      <c r="XEQ284" s="21"/>
    </row>
    <row r="285" spans="1:39 16346:16371" ht="15.75" x14ac:dyDescent="0.25">
      <c r="A285" s="19" t="s">
        <v>55</v>
      </c>
      <c r="B285" s="19"/>
      <c r="C285" s="20"/>
      <c r="D285" s="20"/>
      <c r="E285" s="20"/>
      <c r="F285" s="19"/>
      <c r="G285" s="21"/>
      <c r="H285" s="21"/>
      <c r="I285" s="5"/>
      <c r="P285" s="54"/>
      <c r="X285" s="22"/>
      <c r="Y285" s="5"/>
      <c r="Z285" s="5"/>
      <c r="AA285" s="5"/>
      <c r="AB285" s="5"/>
      <c r="AC285" s="5"/>
      <c r="AD285" s="5"/>
      <c r="AE285" s="5"/>
      <c r="AF285" s="53"/>
      <c r="AG285" s="5"/>
      <c r="AH285" s="5"/>
      <c r="AI285" s="5"/>
      <c r="AJ285" s="5"/>
      <c r="AK285" s="5"/>
      <c r="AL285" s="5"/>
      <c r="AM285" s="22">
        <f t="shared" si="12"/>
        <v>0</v>
      </c>
      <c r="XEJ285" s="19"/>
      <c r="XEK285" s="19"/>
      <c r="XEL285" s="20"/>
      <c r="XEM285" s="20"/>
      <c r="XEN285" s="20"/>
      <c r="XEO285" s="19"/>
      <c r="XEP285" s="21"/>
      <c r="XEQ285" s="21"/>
    </row>
    <row r="286" spans="1:39 16346:16371" ht="15.75" x14ac:dyDescent="0.25">
      <c r="A286" s="19" t="s">
        <v>55</v>
      </c>
      <c r="B286" s="19"/>
      <c r="C286" s="20"/>
      <c r="D286" s="20"/>
      <c r="E286" s="20"/>
      <c r="F286" s="19"/>
      <c r="G286" s="21"/>
      <c r="H286" s="21"/>
      <c r="I286" s="5"/>
      <c r="P286" s="54"/>
      <c r="V286" s="52"/>
      <c r="X286" s="22"/>
      <c r="Y286" s="5"/>
      <c r="Z286" s="5"/>
      <c r="AB286" s="5"/>
      <c r="AC286" s="5"/>
      <c r="AE286" s="5"/>
      <c r="AF286" s="53"/>
      <c r="AG286" s="5"/>
      <c r="AH286" s="5"/>
      <c r="AI286" s="5"/>
      <c r="AJ286" s="5"/>
      <c r="AK286" s="5"/>
      <c r="AL286" s="5"/>
      <c r="AM286" s="22">
        <f t="shared" si="12"/>
        <v>0</v>
      </c>
      <c r="XEJ286" s="19"/>
      <c r="XEK286" s="19"/>
      <c r="XEL286" s="20"/>
      <c r="XEM286" s="20"/>
      <c r="XEN286" s="20"/>
      <c r="XEO286" s="19"/>
      <c r="XEP286" s="21"/>
      <c r="XEQ286" s="21"/>
    </row>
    <row r="287" spans="1:39 16346:16371" ht="15.75" x14ac:dyDescent="0.25">
      <c r="A287" s="19" t="s">
        <v>55</v>
      </c>
      <c r="B287" s="19"/>
      <c r="C287" s="20"/>
      <c r="D287" s="20"/>
      <c r="E287" s="20"/>
      <c r="F287" s="19"/>
      <c r="G287" s="21"/>
      <c r="H287" s="21"/>
      <c r="I287" s="5"/>
      <c r="P287" s="54"/>
      <c r="S287" s="52"/>
      <c r="V287" s="52"/>
      <c r="W287" s="52"/>
      <c r="X287" s="22"/>
      <c r="Y287" s="5"/>
      <c r="Z287" s="53"/>
      <c r="AB287" s="5"/>
      <c r="AC287" s="5"/>
      <c r="AD287" s="52"/>
      <c r="AE287" s="53"/>
      <c r="AF287" s="53"/>
      <c r="AG287" s="5"/>
      <c r="AH287" s="5"/>
      <c r="AI287" s="5"/>
      <c r="AJ287" s="53"/>
      <c r="AK287" s="5"/>
      <c r="AL287" s="5"/>
      <c r="AM287" s="22">
        <f t="shared" si="12"/>
        <v>0</v>
      </c>
      <c r="XEJ287" s="19"/>
      <c r="XEK287" s="19"/>
      <c r="XEL287" s="20"/>
      <c r="XEM287" s="20"/>
      <c r="XEN287" s="20"/>
      <c r="XEO287" s="19"/>
      <c r="XEP287" s="21"/>
      <c r="XEQ287" s="21"/>
    </row>
    <row r="288" spans="1:39 16346:16371" ht="15.75" x14ac:dyDescent="0.25">
      <c r="A288" s="19" t="s">
        <v>55</v>
      </c>
      <c r="B288" s="19"/>
      <c r="C288" s="20"/>
      <c r="D288" s="20"/>
      <c r="E288" s="20"/>
      <c r="F288" s="19"/>
      <c r="G288" s="21"/>
      <c r="H288" s="21"/>
      <c r="I288" s="5"/>
      <c r="P288" s="54"/>
      <c r="X288" s="22"/>
      <c r="Y288" s="52"/>
      <c r="Z288" s="53"/>
      <c r="AB288" s="5"/>
      <c r="AC288" s="53"/>
      <c r="AD288" s="52"/>
      <c r="AE288" s="53"/>
      <c r="AF288" s="53"/>
      <c r="AG288" s="5"/>
      <c r="AH288" s="5"/>
      <c r="AI288" s="5"/>
      <c r="AJ288" s="5"/>
      <c r="AK288" s="5"/>
      <c r="AL288" s="5"/>
      <c r="AM288" s="22">
        <f t="shared" si="12"/>
        <v>0</v>
      </c>
      <c r="XEJ288" s="19"/>
      <c r="XEK288" s="19"/>
      <c r="XEL288" s="20"/>
      <c r="XEM288" s="20"/>
      <c r="XEN288" s="20"/>
      <c r="XEO288" s="19"/>
      <c r="XEP288" s="21"/>
      <c r="XEQ288" s="21"/>
    </row>
    <row r="289" spans="1:39 16361:16371" ht="15.75" x14ac:dyDescent="0.25">
      <c r="A289" s="19" t="s">
        <v>55</v>
      </c>
      <c r="B289" s="19"/>
      <c r="C289" s="20"/>
      <c r="D289" s="20"/>
      <c r="E289" s="20"/>
      <c r="F289" s="19"/>
      <c r="G289" s="21"/>
      <c r="H289" s="21"/>
      <c r="I289" s="5"/>
      <c r="P289" s="54"/>
      <c r="X289" s="22"/>
      <c r="Y289" s="5"/>
      <c r="Z289" s="5"/>
      <c r="AB289" s="5"/>
      <c r="AC289" s="5"/>
      <c r="AE289" s="5"/>
      <c r="AF289" s="5"/>
      <c r="AG289" s="5"/>
      <c r="AH289" s="5"/>
      <c r="AI289" s="5"/>
      <c r="AJ289" s="5"/>
      <c r="AK289" s="5"/>
      <c r="AL289" s="5"/>
      <c r="AM289" s="22">
        <f t="shared" si="12"/>
        <v>0</v>
      </c>
      <c r="XEJ289" s="19"/>
      <c r="XEK289" s="19"/>
      <c r="XEL289" s="20"/>
      <c r="XEM289" s="20"/>
      <c r="XEN289" s="20"/>
      <c r="XEO289" s="19"/>
      <c r="XEP289" s="21"/>
      <c r="XEQ289" s="21"/>
    </row>
    <row r="290" spans="1:39 16361:16371" ht="15.75" x14ac:dyDescent="0.25">
      <c r="A290" s="19" t="s">
        <v>55</v>
      </c>
      <c r="B290" s="19"/>
      <c r="C290" s="20"/>
      <c r="D290" s="20"/>
      <c r="E290" s="20"/>
      <c r="F290" s="19"/>
      <c r="G290" s="21"/>
      <c r="H290" s="21"/>
      <c r="I290" s="5"/>
      <c r="L290" s="52"/>
      <c r="M290" s="52"/>
      <c r="P290" s="54"/>
      <c r="Q290" s="53"/>
      <c r="R290" s="52"/>
      <c r="S290" s="52"/>
      <c r="T290" s="52"/>
      <c r="U290" s="22"/>
      <c r="V290" s="52"/>
      <c r="W290" s="52"/>
      <c r="X290" s="52"/>
      <c r="Y290" s="52"/>
      <c r="Z290" s="53"/>
      <c r="AA290" s="53"/>
      <c r="AB290" s="5"/>
      <c r="AC290" s="53"/>
      <c r="AD290" s="52"/>
      <c r="AE290" s="53"/>
      <c r="AF290" s="53"/>
      <c r="AG290" s="52"/>
      <c r="AH290" s="52"/>
      <c r="AJ290" s="53"/>
      <c r="AL290" s="5"/>
      <c r="AM290" s="22">
        <f t="shared" si="12"/>
        <v>0</v>
      </c>
      <c r="XEG290" s="19"/>
      <c r="XEH290" s="19"/>
      <c r="XEI290" s="20"/>
      <c r="XEJ290" s="20"/>
      <c r="XEK290" s="20"/>
      <c r="XEL290" s="19"/>
      <c r="XEM290" s="21"/>
      <c r="XEN290" s="21"/>
    </row>
    <row r="291" spans="1:39 16361:16371" ht="15.75" x14ac:dyDescent="0.25">
      <c r="A291" s="19" t="s">
        <v>55</v>
      </c>
      <c r="B291" s="19"/>
      <c r="C291" s="23"/>
      <c r="D291" s="20"/>
      <c r="E291" s="20"/>
      <c r="F291" s="19"/>
      <c r="G291" s="21"/>
      <c r="H291" s="21"/>
      <c r="P291" s="54"/>
      <c r="AD291" s="5"/>
      <c r="AM291" s="22">
        <f t="shared" si="12"/>
        <v>0</v>
      </c>
    </row>
    <row r="292" spans="1:39 16361:16371" ht="15.75" x14ac:dyDescent="0.25">
      <c r="A292" s="19" t="s">
        <v>55</v>
      </c>
      <c r="B292" s="19"/>
      <c r="C292" s="23"/>
      <c r="D292" s="20"/>
      <c r="E292" s="20"/>
      <c r="F292" s="19"/>
      <c r="G292" s="21"/>
      <c r="H292" s="21"/>
      <c r="L292" s="52"/>
      <c r="O292" s="52"/>
      <c r="P292" s="54"/>
      <c r="Y292" s="52"/>
      <c r="Z292" s="53"/>
      <c r="AC292" s="53"/>
      <c r="AD292" s="52"/>
      <c r="AE292" s="53"/>
      <c r="AF292" s="53"/>
      <c r="AH292" s="5"/>
      <c r="AJ292" s="53"/>
      <c r="AM292" s="22">
        <f t="shared" si="12"/>
        <v>0</v>
      </c>
    </row>
    <row r="293" spans="1:39 16361:16371" ht="15.75" x14ac:dyDescent="0.25">
      <c r="A293" s="19" t="s">
        <v>55</v>
      </c>
      <c r="B293" s="19"/>
      <c r="C293" s="23"/>
      <c r="D293" s="20"/>
      <c r="E293" s="20"/>
      <c r="F293" s="19"/>
      <c r="G293" s="21"/>
      <c r="H293" s="21"/>
      <c r="O293" s="52"/>
      <c r="P293" s="54"/>
      <c r="Q293" s="52"/>
      <c r="R293" s="52"/>
      <c r="Y293" s="52"/>
      <c r="Z293" s="53"/>
      <c r="AH293" s="5"/>
      <c r="AM293" s="22">
        <f t="shared" si="12"/>
        <v>0</v>
      </c>
    </row>
    <row r="294" spans="1:39 16361:16371" ht="15.75" x14ac:dyDescent="0.25">
      <c r="A294" s="19" t="s">
        <v>55</v>
      </c>
      <c r="B294" s="19"/>
      <c r="C294" s="23"/>
      <c r="D294" s="20"/>
      <c r="E294" s="20"/>
      <c r="F294" s="19"/>
      <c r="G294" s="21"/>
      <c r="H294" s="21"/>
      <c r="P294" s="54"/>
      <c r="R294" s="52"/>
      <c r="AH294" s="5"/>
      <c r="AM294" s="22">
        <f t="shared" si="12"/>
        <v>0</v>
      </c>
    </row>
    <row r="295" spans="1:39 16361:16371" ht="15.75" x14ac:dyDescent="0.25">
      <c r="A295" s="19" t="s">
        <v>55</v>
      </c>
      <c r="B295" s="19"/>
      <c r="C295" s="20"/>
      <c r="D295" s="20"/>
      <c r="E295" s="20"/>
      <c r="F295" s="19"/>
      <c r="G295" s="21"/>
      <c r="H295" s="21"/>
      <c r="I295" s="5"/>
      <c r="L295" s="52"/>
      <c r="M295" s="52"/>
      <c r="P295" s="54"/>
      <c r="Q295" s="53"/>
      <c r="R295" s="52"/>
      <c r="S295" s="52"/>
      <c r="T295" s="52"/>
      <c r="V295" s="52"/>
      <c r="W295" s="52"/>
      <c r="X295" s="52"/>
      <c r="Y295" s="52"/>
      <c r="Z295" s="53"/>
      <c r="AA295" s="53"/>
      <c r="AC295" s="53"/>
      <c r="AD295" s="52"/>
      <c r="AE295" s="53"/>
      <c r="AF295" s="53"/>
      <c r="AG295" s="52"/>
      <c r="AH295" s="5"/>
      <c r="AJ295" s="53"/>
      <c r="AM295" s="22">
        <f t="shared" si="12"/>
        <v>0</v>
      </c>
    </row>
    <row r="296" spans="1:39 16361:16371" ht="15.75" x14ac:dyDescent="0.25">
      <c r="A296" s="19" t="s">
        <v>55</v>
      </c>
      <c r="B296" s="19"/>
      <c r="C296" s="20"/>
      <c r="D296" s="20"/>
      <c r="E296" s="20"/>
      <c r="F296" s="19"/>
      <c r="G296" s="21"/>
      <c r="H296" s="21"/>
      <c r="I296" s="5"/>
      <c r="L296" s="52"/>
      <c r="M296" s="52"/>
      <c r="P296" s="54"/>
      <c r="Q296" s="53"/>
      <c r="R296" s="52"/>
      <c r="S296" s="52"/>
      <c r="T296" s="52"/>
      <c r="V296" s="52"/>
      <c r="W296" s="52"/>
      <c r="X296" s="52"/>
      <c r="Y296" s="52"/>
      <c r="Z296" s="53"/>
      <c r="AA296" s="53"/>
      <c r="AC296" s="53"/>
      <c r="AE296" s="53"/>
      <c r="AF296" s="53"/>
      <c r="AH296" s="5"/>
      <c r="AJ296" s="53"/>
      <c r="AM296" s="22">
        <f t="shared" si="12"/>
        <v>0</v>
      </c>
    </row>
    <row r="297" spans="1:39 16361:16371" ht="15.75" x14ac:dyDescent="0.25">
      <c r="A297" s="19" t="s">
        <v>55</v>
      </c>
      <c r="B297" s="19"/>
      <c r="C297" s="20"/>
      <c r="D297" s="20"/>
      <c r="E297" s="20"/>
      <c r="F297" s="19"/>
      <c r="G297" s="21"/>
      <c r="H297" s="21"/>
      <c r="I297" s="5"/>
      <c r="L297" s="52"/>
      <c r="M297" s="52"/>
      <c r="P297" s="54"/>
      <c r="Q297" s="53"/>
      <c r="R297" s="52"/>
      <c r="S297" s="52"/>
      <c r="T297" s="52"/>
      <c r="V297" s="52"/>
      <c r="W297" s="52"/>
      <c r="X297" s="52"/>
      <c r="Y297" s="52"/>
      <c r="Z297" s="53"/>
      <c r="AA297" s="53"/>
      <c r="AC297" s="53"/>
      <c r="AE297" s="53"/>
      <c r="AF297" s="53"/>
      <c r="AH297" s="5"/>
      <c r="AJ297" s="53"/>
      <c r="AM297" s="22">
        <f t="shared" si="12"/>
        <v>0</v>
      </c>
    </row>
    <row r="298" spans="1:39 16361:16371" ht="15.75" x14ac:dyDescent="0.25">
      <c r="A298" s="19" t="s">
        <v>55</v>
      </c>
      <c r="B298" s="19"/>
      <c r="C298" s="20"/>
      <c r="D298" s="20"/>
      <c r="E298" s="20"/>
      <c r="F298" s="19"/>
      <c r="G298" s="21"/>
      <c r="H298" s="21"/>
      <c r="I298" s="5"/>
      <c r="L298" s="52"/>
      <c r="M298" s="52"/>
      <c r="P298" s="54"/>
      <c r="Q298" s="53"/>
      <c r="R298" s="52"/>
      <c r="S298" s="52"/>
      <c r="T298" s="52"/>
      <c r="V298" s="52"/>
      <c r="W298" s="52"/>
      <c r="X298" s="52"/>
      <c r="Y298" s="52"/>
      <c r="Z298" s="53"/>
      <c r="AA298" s="53"/>
      <c r="AC298" s="53"/>
      <c r="AD298" s="52"/>
      <c r="AE298" s="53"/>
      <c r="AF298" s="53"/>
      <c r="AH298" s="5"/>
      <c r="AJ298" s="53"/>
      <c r="AM298" s="22">
        <f t="shared" si="12"/>
        <v>0</v>
      </c>
    </row>
    <row r="299" spans="1:39 16361:16371" ht="15.75" x14ac:dyDescent="0.25">
      <c r="A299" s="19" t="s">
        <v>55</v>
      </c>
      <c r="B299" s="19"/>
      <c r="C299" s="20"/>
      <c r="D299" s="20"/>
      <c r="E299" s="20"/>
      <c r="F299" s="19"/>
      <c r="G299" s="21"/>
      <c r="H299" s="21"/>
      <c r="M299" s="52"/>
      <c r="P299" s="54"/>
      <c r="Q299" s="53"/>
      <c r="R299" s="52"/>
      <c r="S299" s="52"/>
      <c r="V299" s="52"/>
      <c r="W299" s="52"/>
      <c r="X299" s="52"/>
      <c r="Y299" s="52"/>
      <c r="Z299" s="53"/>
      <c r="AA299" s="53"/>
      <c r="AC299" s="53"/>
      <c r="AE299" s="53"/>
      <c r="AF299" s="53"/>
      <c r="AH299" s="5"/>
      <c r="AJ299" s="53"/>
      <c r="AM299" s="22">
        <f t="shared" si="12"/>
        <v>0</v>
      </c>
    </row>
    <row r="300" spans="1:39 16361:16371" ht="15.75" x14ac:dyDescent="0.25">
      <c r="A300" s="19" t="s">
        <v>55</v>
      </c>
      <c r="B300" s="19"/>
      <c r="C300" s="20"/>
      <c r="D300" s="20"/>
      <c r="E300" s="20"/>
      <c r="F300" s="19"/>
      <c r="G300" s="21"/>
      <c r="H300" s="21"/>
      <c r="P300" s="54"/>
      <c r="R300" s="52"/>
      <c r="Y300" s="52"/>
      <c r="AA300" s="53"/>
      <c r="AC300" s="53"/>
      <c r="AE300" s="53"/>
      <c r="AF300" s="53"/>
      <c r="AH300" s="5"/>
      <c r="AM300" s="22">
        <f t="shared" si="12"/>
        <v>0</v>
      </c>
    </row>
    <row r="301" spans="1:39 16361:16371" ht="15.75" x14ac:dyDescent="0.25">
      <c r="A301" s="19" t="s">
        <v>55</v>
      </c>
      <c r="B301" s="19"/>
      <c r="C301" s="20"/>
      <c r="D301" s="20"/>
      <c r="E301" s="20"/>
      <c r="F301" s="19"/>
      <c r="G301" s="21"/>
      <c r="H301" s="21"/>
      <c r="P301" s="54"/>
      <c r="AA301" s="53"/>
      <c r="AC301" s="53"/>
      <c r="AE301" s="53"/>
      <c r="AF301" s="53"/>
      <c r="AH301" s="5"/>
      <c r="AM301" s="22">
        <f t="shared" si="12"/>
        <v>0</v>
      </c>
    </row>
    <row r="302" spans="1:39 16361:16371" ht="15.75" x14ac:dyDescent="0.25">
      <c r="A302" s="19" t="s">
        <v>55</v>
      </c>
      <c r="B302" s="19"/>
      <c r="C302" s="20"/>
      <c r="D302" s="20"/>
      <c r="E302" s="20"/>
      <c r="F302" s="19"/>
      <c r="G302" s="21"/>
      <c r="H302" s="21"/>
      <c r="P302" s="54"/>
      <c r="AA302" s="53"/>
      <c r="AC302" s="53"/>
      <c r="AF302" s="53"/>
      <c r="AH302" s="5"/>
      <c r="AM302" s="22">
        <f t="shared" si="12"/>
        <v>0</v>
      </c>
    </row>
    <row r="303" spans="1:39 16361:16371" ht="15.75" x14ac:dyDescent="0.25">
      <c r="A303" s="19" t="s">
        <v>55</v>
      </c>
      <c r="B303" s="19"/>
      <c r="C303" s="20"/>
      <c r="D303" s="20"/>
      <c r="E303" s="20"/>
      <c r="F303" s="19"/>
      <c r="G303" s="21"/>
      <c r="H303" s="21"/>
      <c r="Q303" s="52"/>
      <c r="S303" s="52"/>
      <c r="T303" s="5"/>
      <c r="W303" s="52"/>
      <c r="Y303" s="52"/>
      <c r="AE303" s="53"/>
      <c r="AH303" s="5"/>
      <c r="AJ303" s="53"/>
      <c r="AM303" s="22">
        <f t="shared" si="12"/>
        <v>0</v>
      </c>
    </row>
    <row r="304" spans="1:39 16361:16371" ht="15.75" x14ac:dyDescent="0.25">
      <c r="A304" s="19" t="s">
        <v>55</v>
      </c>
      <c r="B304" s="19"/>
      <c r="C304" s="20"/>
      <c r="D304" s="20"/>
      <c r="E304" s="20"/>
      <c r="F304" s="19"/>
      <c r="G304" s="21"/>
      <c r="H304" s="21"/>
      <c r="P304" s="54"/>
      <c r="AA304" s="53"/>
      <c r="AC304" s="53"/>
      <c r="AF304" s="53"/>
      <c r="AH304" s="5"/>
      <c r="AM304" s="22">
        <f t="shared" si="12"/>
        <v>0</v>
      </c>
    </row>
    <row r="305" spans="1:39" ht="15.75" x14ac:dyDescent="0.25">
      <c r="A305" s="19" t="s">
        <v>55</v>
      </c>
      <c r="B305" s="19"/>
      <c r="C305" s="20"/>
      <c r="D305" s="20"/>
      <c r="E305" s="20"/>
      <c r="F305" s="19"/>
      <c r="G305" s="21"/>
      <c r="H305" s="21"/>
      <c r="P305" s="54"/>
      <c r="AA305" s="53"/>
      <c r="AC305" s="53"/>
      <c r="AF305" s="53"/>
      <c r="AH305" s="5"/>
      <c r="AM305" s="22">
        <f t="shared" si="12"/>
        <v>0</v>
      </c>
    </row>
    <row r="306" spans="1:39" ht="15.75" x14ac:dyDescent="0.25">
      <c r="A306" s="19" t="s">
        <v>55</v>
      </c>
      <c r="B306" s="19"/>
      <c r="C306" s="20"/>
      <c r="D306" s="20"/>
      <c r="E306" s="20"/>
      <c r="F306" s="19"/>
      <c r="G306" s="21"/>
      <c r="H306" s="21"/>
      <c r="L306" s="52"/>
      <c r="AH306" s="5"/>
      <c r="AM306" s="22">
        <f t="shared" si="12"/>
        <v>0</v>
      </c>
    </row>
    <row r="307" spans="1:39" ht="15.75" x14ac:dyDescent="0.25">
      <c r="A307" s="19" t="s">
        <v>55</v>
      </c>
      <c r="B307" s="19"/>
      <c r="C307" s="20"/>
      <c r="D307" s="20"/>
      <c r="E307" s="20"/>
      <c r="F307" s="19"/>
      <c r="G307" s="21"/>
      <c r="H307" s="21"/>
      <c r="L307" s="52"/>
      <c r="O307" s="52"/>
      <c r="Q307" s="52"/>
      <c r="R307" s="52"/>
      <c r="W307" s="52"/>
      <c r="Y307" s="52"/>
      <c r="Z307" s="53"/>
      <c r="AC307" s="53"/>
      <c r="AD307" s="52"/>
      <c r="AE307" s="53"/>
      <c r="AH307" s="5"/>
      <c r="AM307" s="22">
        <f t="shared" si="12"/>
        <v>0</v>
      </c>
    </row>
    <row r="308" spans="1:39" ht="15.75" x14ac:dyDescent="0.25">
      <c r="A308" s="19" t="s">
        <v>55</v>
      </c>
      <c r="B308" s="19"/>
      <c r="C308" s="20"/>
      <c r="D308" s="20"/>
      <c r="E308" s="20"/>
      <c r="F308" s="19"/>
      <c r="G308" s="21"/>
      <c r="H308" s="21"/>
      <c r="L308" s="52"/>
      <c r="O308" s="52"/>
      <c r="W308" s="52"/>
      <c r="X308" s="52"/>
      <c r="Y308" s="52"/>
      <c r="Z308" s="53"/>
      <c r="AC308" s="53"/>
      <c r="AD308" s="52"/>
      <c r="AE308" s="53"/>
      <c r="AF308" s="53"/>
      <c r="AH308" s="5"/>
      <c r="AJ308" s="53"/>
      <c r="AM308" s="22">
        <f t="shared" si="12"/>
        <v>0</v>
      </c>
    </row>
    <row r="309" spans="1:39" ht="15.75" x14ac:dyDescent="0.25">
      <c r="A309" s="19" t="s">
        <v>55</v>
      </c>
      <c r="B309" s="19"/>
      <c r="C309" s="20"/>
      <c r="D309" s="20"/>
      <c r="E309" s="20"/>
      <c r="F309" s="19"/>
      <c r="G309" s="21"/>
      <c r="H309" s="21"/>
      <c r="L309" s="52"/>
      <c r="O309" s="52"/>
      <c r="Q309" s="52"/>
      <c r="S309" s="52"/>
      <c r="V309" s="52"/>
      <c r="W309" s="52"/>
      <c r="X309" s="52"/>
      <c r="Y309" s="52"/>
      <c r="AC309" s="53"/>
      <c r="AD309" s="52"/>
      <c r="AE309" s="53"/>
      <c r="AF309" s="53"/>
      <c r="AG309" s="52"/>
      <c r="AH309" s="5"/>
      <c r="AJ309" s="53"/>
      <c r="AM309" s="22">
        <f t="shared" si="12"/>
        <v>0</v>
      </c>
    </row>
    <row r="310" spans="1:39" ht="15.75" x14ac:dyDescent="0.25">
      <c r="A310" s="19" t="s">
        <v>55</v>
      </c>
      <c r="B310" s="19"/>
      <c r="C310" s="20"/>
      <c r="D310" s="20"/>
      <c r="E310" s="20"/>
      <c r="F310" s="19"/>
      <c r="G310" s="21"/>
      <c r="H310" s="21"/>
      <c r="L310" s="52"/>
      <c r="O310" s="52"/>
      <c r="Q310" s="52"/>
      <c r="AH310" s="5"/>
      <c r="AM310" s="22">
        <f t="shared" si="12"/>
        <v>0</v>
      </c>
    </row>
    <row r="311" spans="1:39" ht="15.75" x14ac:dyDescent="0.25">
      <c r="A311" s="19" t="s">
        <v>55</v>
      </c>
      <c r="B311" s="19"/>
      <c r="C311" s="20"/>
      <c r="D311" s="20"/>
      <c r="E311" s="20"/>
      <c r="F311" s="19"/>
      <c r="G311" s="21"/>
      <c r="H311" s="21"/>
      <c r="L311" s="52"/>
      <c r="O311" s="52"/>
      <c r="Q311" s="52"/>
      <c r="S311" s="52"/>
      <c r="V311" s="52"/>
      <c r="X311" s="52"/>
      <c r="Y311" s="52"/>
      <c r="Z311" s="53"/>
      <c r="AC311" s="53"/>
      <c r="AD311" s="52"/>
      <c r="AE311" s="53"/>
      <c r="AF311" s="53"/>
      <c r="AG311" s="52"/>
      <c r="AH311" s="5"/>
      <c r="AJ311" s="53"/>
      <c r="AM311" s="22">
        <f t="shared" si="12"/>
        <v>0</v>
      </c>
    </row>
    <row r="312" spans="1:39" ht="15.75" x14ac:dyDescent="0.25">
      <c r="A312" s="19" t="s">
        <v>55</v>
      </c>
      <c r="B312" s="19"/>
      <c r="C312" s="20"/>
      <c r="D312" s="20"/>
      <c r="E312" s="20"/>
      <c r="F312" s="19"/>
      <c r="G312" s="21"/>
      <c r="H312" s="21"/>
      <c r="L312" s="52"/>
      <c r="O312" s="52"/>
      <c r="Q312" s="52"/>
      <c r="S312" s="52"/>
      <c r="V312" s="52"/>
      <c r="W312" s="52"/>
      <c r="X312" s="52"/>
      <c r="Y312" s="52"/>
      <c r="Z312" s="53"/>
      <c r="AD312" s="52"/>
      <c r="AE312" s="53"/>
      <c r="AF312" s="53"/>
      <c r="AG312" s="52"/>
      <c r="AH312" s="5"/>
      <c r="AJ312" s="53"/>
      <c r="AM312" s="22">
        <f t="shared" si="12"/>
        <v>0</v>
      </c>
    </row>
    <row r="313" spans="1:39" ht="15.75" x14ac:dyDescent="0.25">
      <c r="A313" s="19" t="s">
        <v>55</v>
      </c>
      <c r="B313" s="19"/>
      <c r="C313" s="20"/>
      <c r="D313" s="20"/>
      <c r="E313" s="20"/>
      <c r="F313" s="19"/>
      <c r="G313" s="21"/>
      <c r="H313" s="21"/>
      <c r="L313" s="52"/>
      <c r="O313" s="52"/>
      <c r="Q313" s="52"/>
      <c r="V313" s="52"/>
      <c r="W313" s="52"/>
      <c r="X313" s="52"/>
      <c r="Y313" s="52"/>
      <c r="Z313" s="53"/>
      <c r="AC313" s="53"/>
      <c r="AD313" s="52"/>
      <c r="AE313" s="53"/>
      <c r="AF313" s="53"/>
      <c r="AH313" s="5"/>
      <c r="AM313" s="22">
        <f t="shared" si="12"/>
        <v>0</v>
      </c>
    </row>
    <row r="314" spans="1:39" ht="15.75" x14ac:dyDescent="0.25">
      <c r="A314" s="19" t="s">
        <v>55</v>
      </c>
      <c r="B314" s="19"/>
      <c r="C314" s="20"/>
      <c r="D314" s="20"/>
      <c r="E314" s="20"/>
      <c r="F314" s="19"/>
      <c r="G314" s="21"/>
      <c r="H314" s="21"/>
      <c r="L314" s="52"/>
      <c r="O314" s="52"/>
      <c r="Q314" s="52"/>
      <c r="R314" s="52"/>
      <c r="S314" s="52"/>
      <c r="W314" s="52"/>
      <c r="X314" s="52"/>
      <c r="Y314" s="52"/>
      <c r="Z314" s="53"/>
      <c r="AC314" s="53"/>
      <c r="AD314" s="52"/>
      <c r="AE314" s="53"/>
      <c r="AF314" s="53"/>
      <c r="AG314" s="52"/>
      <c r="AH314" s="5"/>
      <c r="AJ314" s="53"/>
      <c r="AM314" s="22">
        <f t="shared" si="12"/>
        <v>0</v>
      </c>
    </row>
    <row r="315" spans="1:39" ht="15.75" x14ac:dyDescent="0.25">
      <c r="A315" s="19" t="s">
        <v>55</v>
      </c>
      <c r="B315" s="19"/>
      <c r="C315" s="20"/>
      <c r="D315" s="20"/>
      <c r="E315" s="20"/>
      <c r="F315" s="19"/>
      <c r="G315" s="21"/>
      <c r="H315" s="21"/>
      <c r="L315" s="52"/>
      <c r="O315" s="52"/>
      <c r="Q315" s="52"/>
      <c r="R315" s="52"/>
      <c r="S315" s="52"/>
      <c r="V315" s="52"/>
      <c r="W315" s="52"/>
      <c r="X315" s="52"/>
      <c r="Y315" s="52"/>
      <c r="Z315" s="53"/>
      <c r="AC315" s="53"/>
      <c r="AD315" s="52"/>
      <c r="AE315" s="53"/>
      <c r="AF315" s="53"/>
      <c r="AG315" s="52"/>
      <c r="AH315" s="5"/>
      <c r="AJ315" s="53"/>
      <c r="AM315" s="22">
        <f t="shared" si="12"/>
        <v>0</v>
      </c>
    </row>
    <row r="316" spans="1:39" ht="15.75" x14ac:dyDescent="0.25">
      <c r="A316" s="19" t="s">
        <v>55</v>
      </c>
      <c r="B316" s="19"/>
      <c r="C316" s="20"/>
      <c r="D316" s="20"/>
      <c r="E316" s="20"/>
      <c r="F316" s="19"/>
      <c r="G316" s="21"/>
      <c r="H316" s="21"/>
      <c r="L316" s="52"/>
      <c r="O316" s="52"/>
      <c r="Q316" s="52"/>
      <c r="R316" s="52"/>
      <c r="S316" s="52"/>
      <c r="V316" s="52"/>
      <c r="W316" s="52"/>
      <c r="X316" s="52"/>
      <c r="Y316" s="52"/>
      <c r="Z316" s="53"/>
      <c r="AC316" s="53"/>
      <c r="AD316" s="52"/>
      <c r="AE316" s="53"/>
      <c r="AF316" s="53"/>
      <c r="AG316" s="52"/>
      <c r="AH316" s="5"/>
      <c r="AJ316" s="53"/>
      <c r="AM316" s="22">
        <f t="shared" si="12"/>
        <v>0</v>
      </c>
    </row>
    <row r="317" spans="1:39" ht="15.75" x14ac:dyDescent="0.25">
      <c r="A317" s="19" t="s">
        <v>55</v>
      </c>
      <c r="B317" s="19"/>
      <c r="C317" s="20"/>
      <c r="D317" s="20"/>
      <c r="E317" s="20"/>
      <c r="F317" s="19"/>
      <c r="G317" s="21"/>
      <c r="H317" s="21"/>
      <c r="L317" s="52"/>
      <c r="O317" s="52"/>
      <c r="Q317" s="52"/>
      <c r="R317" s="52"/>
      <c r="V317" s="52"/>
      <c r="W317" s="52"/>
      <c r="X317" s="52"/>
      <c r="Y317" s="52"/>
      <c r="Z317" s="53"/>
      <c r="AC317" s="53"/>
      <c r="AD317" s="52"/>
      <c r="AE317" s="53"/>
      <c r="AG317" s="52"/>
      <c r="AH317" s="5"/>
      <c r="AJ317" s="53"/>
      <c r="AM317" s="22">
        <f t="shared" si="12"/>
        <v>0</v>
      </c>
    </row>
    <row r="318" spans="1:39" ht="15.75" x14ac:dyDescent="0.25">
      <c r="A318" s="19" t="s">
        <v>55</v>
      </c>
      <c r="B318" s="19"/>
      <c r="C318" s="20"/>
      <c r="D318" s="20"/>
      <c r="E318" s="20"/>
      <c r="F318" s="19"/>
      <c r="G318" s="21"/>
      <c r="H318" s="21"/>
      <c r="L318" s="52"/>
      <c r="O318" s="52"/>
      <c r="Q318" s="52"/>
      <c r="R318" s="52"/>
      <c r="S318" s="52"/>
      <c r="V318" s="52"/>
      <c r="W318" s="52"/>
      <c r="X318" s="52"/>
      <c r="Y318" s="52"/>
      <c r="Z318" s="53"/>
      <c r="AC318" s="53"/>
      <c r="AD318" s="52"/>
      <c r="AE318" s="53"/>
      <c r="AF318" s="53"/>
      <c r="AG318" s="52"/>
      <c r="AH318" s="5"/>
      <c r="AJ318" s="53"/>
      <c r="AM318" s="22">
        <f t="shared" si="12"/>
        <v>0</v>
      </c>
    </row>
    <row r="319" spans="1:39" ht="15.75" x14ac:dyDescent="0.25">
      <c r="A319" s="19" t="s">
        <v>55</v>
      </c>
      <c r="B319" s="19"/>
      <c r="C319" s="20"/>
      <c r="D319" s="20"/>
      <c r="E319" s="20"/>
      <c r="F319" s="19"/>
      <c r="G319" s="21"/>
      <c r="H319" s="21"/>
      <c r="L319" s="52"/>
      <c r="O319" s="52"/>
      <c r="Q319" s="52"/>
      <c r="R319" s="52"/>
      <c r="S319" s="52"/>
      <c r="W319" s="52"/>
      <c r="X319" s="52"/>
      <c r="Y319" s="52"/>
      <c r="Z319" s="53"/>
      <c r="AC319" s="53"/>
      <c r="AH319" s="5"/>
      <c r="AM319" s="22">
        <f t="shared" si="12"/>
        <v>0</v>
      </c>
    </row>
    <row r="320" spans="1:39" ht="15.75" x14ac:dyDescent="0.25">
      <c r="A320" s="19" t="s">
        <v>55</v>
      </c>
      <c r="B320" s="19"/>
      <c r="C320" s="20"/>
      <c r="D320" s="20"/>
      <c r="E320" s="20"/>
      <c r="F320" s="19"/>
      <c r="G320" s="21"/>
      <c r="H320" s="21"/>
      <c r="L320" s="52"/>
      <c r="O320" s="52"/>
      <c r="Q320" s="52"/>
      <c r="S320" s="52"/>
      <c r="V320" s="52"/>
      <c r="W320" s="52"/>
      <c r="X320" s="52"/>
      <c r="Y320" s="52"/>
      <c r="Z320" s="53"/>
      <c r="AC320" s="53"/>
      <c r="AD320" s="52"/>
      <c r="AE320" s="53"/>
      <c r="AF320" s="53"/>
      <c r="AH320" s="5"/>
      <c r="AJ320" s="53"/>
      <c r="AM320" s="22">
        <f t="shared" si="12"/>
        <v>0</v>
      </c>
    </row>
    <row r="321" spans="1:39 16363:16384" ht="15.75" x14ac:dyDescent="0.25">
      <c r="A321" s="19" t="s">
        <v>55</v>
      </c>
      <c r="B321" s="19"/>
      <c r="C321" s="20"/>
      <c r="D321" s="20"/>
      <c r="E321" s="20"/>
      <c r="F321" s="19"/>
      <c r="G321" s="21"/>
      <c r="H321" s="21"/>
      <c r="L321" s="52"/>
      <c r="O321" s="52"/>
      <c r="Q321" s="52"/>
      <c r="W321" s="52"/>
      <c r="X321" s="52"/>
      <c r="Y321" s="52"/>
      <c r="Z321" s="53"/>
      <c r="AD321" s="52"/>
      <c r="AE321" s="53"/>
      <c r="AF321" s="53"/>
      <c r="AG321" s="52"/>
      <c r="AH321" s="5"/>
      <c r="AM321" s="22">
        <f t="shared" si="12"/>
        <v>0</v>
      </c>
    </row>
    <row r="322" spans="1:39 16363:16384" ht="15.75" x14ac:dyDescent="0.25">
      <c r="A322" s="19" t="s">
        <v>55</v>
      </c>
      <c r="B322" s="19"/>
      <c r="C322" s="20"/>
      <c r="D322" s="20"/>
      <c r="E322" s="20"/>
      <c r="F322" s="19"/>
      <c r="G322" s="21"/>
      <c r="H322" s="21"/>
      <c r="L322" s="52"/>
      <c r="O322" s="52"/>
      <c r="Q322" s="52"/>
      <c r="W322" s="52"/>
      <c r="X322" s="52"/>
      <c r="Y322" s="52"/>
      <c r="Z322" s="53"/>
      <c r="AC322" s="53"/>
      <c r="AD322" s="52"/>
      <c r="AE322" s="53"/>
      <c r="AF322" s="53"/>
      <c r="AG322" s="52"/>
      <c r="AH322" s="5"/>
      <c r="AJ322" s="53"/>
      <c r="AM322" s="22">
        <f t="shared" si="12"/>
        <v>0</v>
      </c>
    </row>
    <row r="323" spans="1:39 16363:16384" ht="15.75" x14ac:dyDescent="0.25">
      <c r="A323" s="19" t="s">
        <v>55</v>
      </c>
      <c r="B323" s="19"/>
      <c r="C323" s="20"/>
      <c r="D323" s="20"/>
      <c r="E323" s="20"/>
      <c r="F323" s="19"/>
      <c r="G323" s="21"/>
      <c r="H323" s="21"/>
      <c r="L323" s="52"/>
      <c r="O323" s="52"/>
      <c r="Q323" s="52"/>
      <c r="W323" s="52"/>
      <c r="X323" s="52"/>
      <c r="Y323" s="52"/>
      <c r="AC323" s="53"/>
      <c r="AD323" s="52"/>
      <c r="AE323" s="53"/>
      <c r="AF323" s="53"/>
      <c r="AH323" s="5"/>
      <c r="AM323" s="22">
        <f t="shared" si="12"/>
        <v>0</v>
      </c>
    </row>
    <row r="324" spans="1:39 16363:16384" ht="15.75" x14ac:dyDescent="0.25">
      <c r="A324" s="19" t="s">
        <v>55</v>
      </c>
      <c r="B324" s="19"/>
      <c r="C324" s="20"/>
      <c r="D324" s="20"/>
      <c r="E324" s="20"/>
      <c r="F324" s="19"/>
      <c r="G324" s="21"/>
      <c r="H324" s="21"/>
      <c r="I324" s="5"/>
      <c r="J324" s="5"/>
      <c r="K324" s="5"/>
      <c r="L324" s="5"/>
      <c r="M324" s="5"/>
      <c r="N324" s="5"/>
      <c r="O324" s="5"/>
      <c r="P324" s="5"/>
      <c r="Q324" s="52"/>
      <c r="R324" s="52"/>
      <c r="S324" s="52"/>
      <c r="T324" s="5"/>
      <c r="W324" s="52"/>
      <c r="X324" s="52"/>
      <c r="Z324" s="5"/>
      <c r="AE324" s="22"/>
      <c r="AF324" s="53"/>
      <c r="AG324" s="5"/>
      <c r="AH324" s="5"/>
      <c r="AI324" s="5"/>
      <c r="AJ324" s="53"/>
      <c r="AK324" s="5"/>
      <c r="AL324" s="5"/>
      <c r="AM324" s="22">
        <f t="shared" si="12"/>
        <v>0</v>
      </c>
      <c r="XEW324" s="19"/>
      <c r="XEX324" s="19"/>
      <c r="XEY324" s="20"/>
      <c r="XEZ324" s="20"/>
      <c r="XFA324" s="20"/>
      <c r="XFB324" s="19"/>
      <c r="XFC324" s="21"/>
      <c r="XFD324" s="21"/>
    </row>
    <row r="325" spans="1:39 16363:16384" ht="15.75" x14ac:dyDescent="0.25">
      <c r="A325" s="19" t="s">
        <v>55</v>
      </c>
      <c r="B325" s="19"/>
      <c r="C325" s="20"/>
      <c r="D325" s="20"/>
      <c r="E325" s="20"/>
      <c r="F325" s="19"/>
      <c r="G325" s="21"/>
      <c r="H325" s="21"/>
      <c r="I325" s="5"/>
      <c r="J325" s="5"/>
      <c r="K325" s="5"/>
      <c r="L325" s="5"/>
      <c r="M325" s="5"/>
      <c r="N325" s="5"/>
      <c r="O325" s="5"/>
      <c r="P325" s="5"/>
      <c r="Q325" s="52"/>
      <c r="R325" s="52"/>
      <c r="S325" s="52"/>
      <c r="T325" s="5"/>
      <c r="V325" s="52"/>
      <c r="W325" s="52"/>
      <c r="X325" s="52"/>
      <c r="Y325" s="52"/>
      <c r="Z325" s="53"/>
      <c r="AC325" s="53"/>
      <c r="AD325" s="52"/>
      <c r="AE325" s="53"/>
      <c r="AF325" s="53"/>
      <c r="AG325" s="5"/>
      <c r="AH325" s="5"/>
      <c r="AI325" s="5"/>
      <c r="AJ325" s="5"/>
      <c r="AK325" s="5"/>
      <c r="AL325" s="5"/>
      <c r="AM325" s="22">
        <f t="shared" si="12"/>
        <v>0</v>
      </c>
      <c r="XEW325" s="19"/>
      <c r="XEX325" s="19"/>
      <c r="XEY325" s="20"/>
      <c r="XEZ325" s="20"/>
      <c r="XFA325" s="20"/>
      <c r="XFB325" s="19"/>
      <c r="XFC325" s="21"/>
      <c r="XFD325" s="21"/>
    </row>
    <row r="326" spans="1:39 16363:16384" ht="15.75" x14ac:dyDescent="0.25">
      <c r="A326" s="19" t="s">
        <v>55</v>
      </c>
      <c r="B326" s="19"/>
      <c r="C326" s="20"/>
      <c r="D326" s="20"/>
      <c r="E326" s="20"/>
      <c r="F326" s="19"/>
      <c r="G326" s="21"/>
      <c r="H326" s="21"/>
      <c r="I326" s="5"/>
      <c r="J326" s="5"/>
      <c r="K326" s="5"/>
      <c r="L326" s="5"/>
      <c r="M326" s="5"/>
      <c r="N326" s="5"/>
      <c r="O326" s="5"/>
      <c r="P326" s="5"/>
      <c r="Q326" s="52"/>
      <c r="R326" s="52"/>
      <c r="S326" s="52"/>
      <c r="T326" s="5"/>
      <c r="V326" s="52"/>
      <c r="W326" s="52"/>
      <c r="X326" s="52"/>
      <c r="Y326" s="52"/>
      <c r="Z326" s="53"/>
      <c r="AC326" s="53"/>
      <c r="AD326" s="52"/>
      <c r="AE326" s="53"/>
      <c r="AF326" s="53"/>
      <c r="AG326" s="52"/>
      <c r="AH326" s="5"/>
      <c r="AI326" s="5"/>
      <c r="AJ326" s="53"/>
      <c r="AK326" s="5"/>
      <c r="AL326" s="5"/>
      <c r="AM326" s="22">
        <f t="shared" si="12"/>
        <v>0</v>
      </c>
      <c r="XEW326" s="19"/>
      <c r="XEX326" s="19"/>
      <c r="XEY326" s="20"/>
      <c r="XEZ326" s="20"/>
      <c r="XFA326" s="20"/>
      <c r="XFB326" s="19"/>
      <c r="XFC326" s="21"/>
      <c r="XFD326" s="21"/>
    </row>
    <row r="327" spans="1:39 16363:16384" ht="15.75" x14ac:dyDescent="0.25">
      <c r="A327" s="19" t="s">
        <v>55</v>
      </c>
      <c r="B327" s="19"/>
      <c r="C327" s="20"/>
      <c r="D327" s="20"/>
      <c r="E327" s="20"/>
      <c r="F327" s="19"/>
      <c r="G327" s="21"/>
      <c r="H327" s="21"/>
      <c r="I327" s="5"/>
      <c r="J327" s="5"/>
      <c r="K327" s="5"/>
      <c r="L327" s="5"/>
      <c r="M327" s="5"/>
      <c r="N327" s="5"/>
      <c r="O327" s="5"/>
      <c r="P327" s="5"/>
      <c r="Q327" s="52"/>
      <c r="R327" s="52"/>
      <c r="S327" s="52"/>
      <c r="T327" s="5"/>
      <c r="V327" s="52"/>
      <c r="W327" s="52"/>
      <c r="X327" s="52"/>
      <c r="Y327" s="52"/>
      <c r="Z327" s="53"/>
      <c r="AC327" s="53"/>
      <c r="AD327" s="52"/>
      <c r="AE327" s="53"/>
      <c r="AF327" s="53"/>
      <c r="AG327" s="52"/>
      <c r="AH327" s="5"/>
      <c r="AI327" s="5"/>
      <c r="AJ327" s="53"/>
      <c r="AK327" s="5"/>
      <c r="AL327" s="5"/>
      <c r="AM327" s="22">
        <f t="shared" si="12"/>
        <v>0</v>
      </c>
      <c r="XEW327" s="19"/>
      <c r="XEX327" s="19"/>
      <c r="XEY327" s="20"/>
      <c r="XEZ327" s="20"/>
      <c r="XFA327" s="20"/>
      <c r="XFB327" s="19"/>
      <c r="XFC327" s="21"/>
      <c r="XFD327" s="21"/>
    </row>
    <row r="328" spans="1:39 16363:16384" ht="15.75" x14ac:dyDescent="0.25">
      <c r="A328" s="19" t="s">
        <v>55</v>
      </c>
      <c r="B328" s="19"/>
      <c r="C328" s="20"/>
      <c r="D328" s="20"/>
      <c r="E328" s="20"/>
      <c r="F328" s="19"/>
      <c r="G328" s="21"/>
      <c r="H328" s="21"/>
      <c r="I328" s="5"/>
      <c r="J328" s="5"/>
      <c r="K328" s="5"/>
      <c r="L328" s="5"/>
      <c r="M328" s="5"/>
      <c r="N328" s="5"/>
      <c r="O328" s="5"/>
      <c r="P328" s="5"/>
      <c r="Q328" s="52"/>
      <c r="R328" s="52"/>
      <c r="S328" s="52"/>
      <c r="T328" s="5"/>
      <c r="V328" s="52"/>
      <c r="W328" s="52"/>
      <c r="X328" s="52"/>
      <c r="Y328" s="52"/>
      <c r="Z328" s="53"/>
      <c r="AC328" s="53"/>
      <c r="AD328" s="52"/>
      <c r="AE328" s="53"/>
      <c r="AF328" s="53"/>
      <c r="AG328" s="52"/>
      <c r="AH328" s="5"/>
      <c r="AI328" s="5"/>
      <c r="AJ328" s="53"/>
      <c r="AK328" s="5"/>
      <c r="AL328" s="5"/>
      <c r="AM328" s="22">
        <f t="shared" si="12"/>
        <v>0</v>
      </c>
      <c r="XEW328" s="19"/>
      <c r="XEX328" s="19"/>
      <c r="XEY328" s="20"/>
      <c r="XEZ328" s="20"/>
      <c r="XFA328" s="20"/>
      <c r="XFB328" s="19"/>
      <c r="XFC328" s="21"/>
      <c r="XFD328" s="21"/>
    </row>
    <row r="329" spans="1:39 16363:16384" ht="15.75" x14ac:dyDescent="0.25">
      <c r="A329" s="19" t="s">
        <v>55</v>
      </c>
      <c r="B329" s="19"/>
      <c r="C329" s="20"/>
      <c r="D329" s="20"/>
      <c r="E329" s="20"/>
      <c r="F329" s="19"/>
      <c r="G329" s="21"/>
      <c r="H329" s="21"/>
      <c r="I329" s="5"/>
      <c r="J329" s="5"/>
      <c r="K329" s="5"/>
      <c r="L329" s="5"/>
      <c r="M329" s="5"/>
      <c r="N329" s="5"/>
      <c r="O329" s="5"/>
      <c r="P329" s="5"/>
      <c r="Q329" s="52"/>
      <c r="R329" s="52"/>
      <c r="S329" s="52"/>
      <c r="T329" s="5"/>
      <c r="V329" s="52"/>
      <c r="W329" s="52"/>
      <c r="X329" s="52"/>
      <c r="Y329" s="52"/>
      <c r="Z329" s="53"/>
      <c r="AE329" s="22"/>
      <c r="AF329" s="5"/>
      <c r="AG329" s="5"/>
      <c r="AH329" s="5"/>
      <c r="AI329" s="5"/>
      <c r="AJ329" s="5"/>
      <c r="AK329" s="5"/>
      <c r="AL329" s="5"/>
      <c r="AM329" s="22">
        <f t="shared" si="12"/>
        <v>0</v>
      </c>
      <c r="XEW329" s="19"/>
      <c r="XEX329" s="19"/>
      <c r="XEY329" s="20"/>
      <c r="XEZ329" s="20"/>
      <c r="XFA329" s="20"/>
      <c r="XFB329" s="19"/>
      <c r="XFC329" s="21"/>
      <c r="XFD329" s="21"/>
    </row>
    <row r="330" spans="1:39 16363:16384" ht="15.75" x14ac:dyDescent="0.25">
      <c r="A330" s="19" t="s">
        <v>55</v>
      </c>
      <c r="B330" s="19"/>
      <c r="C330" s="20"/>
      <c r="D330" s="20"/>
      <c r="E330" s="20"/>
      <c r="F330" s="19"/>
      <c r="G330" s="21"/>
      <c r="H330" s="21"/>
      <c r="I330" s="52"/>
      <c r="L330" s="5"/>
      <c r="Q330" s="22"/>
      <c r="R330" s="5"/>
      <c r="S330" s="5"/>
      <c r="T330" s="5"/>
      <c r="U330" s="5"/>
      <c r="V330" s="5"/>
      <c r="W330" s="52"/>
      <c r="X330" s="52"/>
      <c r="Y330" s="22"/>
      <c r="Z330" s="5"/>
      <c r="AA330" s="5"/>
      <c r="AB330" s="5"/>
      <c r="AC330" s="53"/>
      <c r="AD330" s="52"/>
      <c r="AE330" s="5"/>
      <c r="AF330" s="5"/>
      <c r="AG330" s="5"/>
      <c r="AH330" s="5"/>
      <c r="AI330" s="5"/>
      <c r="AJ330" s="5"/>
      <c r="AK330" s="5"/>
      <c r="AL330" s="5"/>
      <c r="AM330" s="22">
        <f t="shared" si="12"/>
        <v>0</v>
      </c>
      <c r="XEI330" s="19"/>
      <c r="XEJ330" s="19"/>
      <c r="XEK330" s="20"/>
      <c r="XEL330" s="20"/>
      <c r="XEM330" s="20"/>
      <c r="XEN330" s="19"/>
      <c r="XEO330" s="21"/>
      <c r="XEP330" s="21"/>
      <c r="XEQ330" s="19"/>
      <c r="XER330" s="19"/>
      <c r="XES330" s="20"/>
      <c r="XET330" s="20"/>
      <c r="XEU330" s="20"/>
      <c r="XEV330" s="19"/>
      <c r="XEW330" s="21"/>
      <c r="XEX330" s="21"/>
    </row>
    <row r="331" spans="1:39 16363:16384" ht="15.75" x14ac:dyDescent="0.25">
      <c r="A331" s="19" t="s">
        <v>55</v>
      </c>
      <c r="B331" s="19"/>
      <c r="C331" s="20"/>
      <c r="D331" s="20"/>
      <c r="E331" s="20"/>
      <c r="F331" s="19"/>
      <c r="G331" s="21"/>
      <c r="H331" s="21"/>
      <c r="W331" s="52"/>
      <c r="X331" s="52"/>
      <c r="AC331" s="53"/>
      <c r="AD331" s="52"/>
      <c r="AF331" s="53"/>
      <c r="AH331" s="5"/>
      <c r="AJ331" s="53"/>
      <c r="AM331" s="22">
        <f t="shared" si="12"/>
        <v>0</v>
      </c>
    </row>
    <row r="332" spans="1:39 16363:16384" ht="15.75" x14ac:dyDescent="0.25">
      <c r="A332" s="19" t="s">
        <v>55</v>
      </c>
      <c r="B332" s="19"/>
      <c r="C332" s="20"/>
      <c r="D332" s="20"/>
      <c r="E332" s="20"/>
      <c r="F332" s="19"/>
      <c r="G332" s="21"/>
      <c r="H332" s="21"/>
      <c r="AA332" s="53"/>
      <c r="AH332" s="5"/>
      <c r="AM332" s="22">
        <f t="shared" si="12"/>
        <v>0</v>
      </c>
    </row>
    <row r="333" spans="1:39 16363:16384" ht="15.75" x14ac:dyDescent="0.25">
      <c r="A333" s="19" t="s">
        <v>55</v>
      </c>
      <c r="B333" s="19"/>
      <c r="C333" s="20"/>
      <c r="D333" s="20"/>
      <c r="E333" s="20"/>
      <c r="F333" s="19"/>
      <c r="G333" s="21"/>
      <c r="H333" s="21"/>
      <c r="W333" s="52"/>
      <c r="X333" s="52"/>
      <c r="Y333" s="52"/>
      <c r="AC333" s="53"/>
      <c r="AD333" s="52"/>
      <c r="AE333" s="53"/>
      <c r="AF333" s="53"/>
      <c r="AH333" s="5"/>
      <c r="AJ333" s="53"/>
      <c r="AM333" s="22">
        <f t="shared" si="12"/>
        <v>0</v>
      </c>
    </row>
    <row r="334" spans="1:39 16363:16384" ht="15.75" x14ac:dyDescent="0.25">
      <c r="A334" s="19" t="s">
        <v>55</v>
      </c>
      <c r="B334" s="19"/>
      <c r="C334" s="20"/>
      <c r="D334" s="20"/>
      <c r="E334" s="20"/>
      <c r="F334" s="19"/>
      <c r="G334" s="21"/>
      <c r="H334" s="21"/>
      <c r="W334" s="52"/>
      <c r="X334" s="52"/>
      <c r="Y334" s="52"/>
      <c r="AC334" s="53"/>
      <c r="AD334" s="52"/>
      <c r="AE334" s="53"/>
      <c r="AF334" s="53"/>
      <c r="AH334" s="5"/>
      <c r="AJ334" s="53"/>
      <c r="AM334" s="22">
        <f t="shared" si="12"/>
        <v>0</v>
      </c>
    </row>
    <row r="335" spans="1:39 16363:16384" ht="15.75" x14ac:dyDescent="0.25">
      <c r="A335" s="19" t="s">
        <v>55</v>
      </c>
      <c r="B335" s="19"/>
      <c r="C335" s="20"/>
      <c r="D335" s="20"/>
      <c r="E335" s="20"/>
      <c r="F335" s="19"/>
      <c r="G335" s="21"/>
      <c r="H335" s="21"/>
      <c r="W335" s="52"/>
      <c r="X335" s="52"/>
      <c r="Y335" s="52"/>
      <c r="AC335" s="53"/>
      <c r="AD335" s="52"/>
      <c r="AE335" s="53"/>
      <c r="AF335" s="53"/>
      <c r="AH335" s="5"/>
      <c r="AJ335" s="53"/>
      <c r="AM335" s="22">
        <f t="shared" si="12"/>
        <v>0</v>
      </c>
    </row>
    <row r="336" spans="1:39 16363:16384" ht="15.75" x14ac:dyDescent="0.25">
      <c r="A336" s="19" t="s">
        <v>55</v>
      </c>
      <c r="B336" s="19"/>
      <c r="C336" s="20"/>
      <c r="D336" s="20"/>
      <c r="E336" s="20"/>
      <c r="F336" s="19"/>
      <c r="G336" s="21"/>
      <c r="H336" s="21"/>
      <c r="W336" s="52"/>
      <c r="X336" s="52"/>
      <c r="Y336" s="52"/>
      <c r="AC336" s="53"/>
      <c r="AD336" s="52"/>
      <c r="AE336" s="53"/>
      <c r="AF336" s="53"/>
      <c r="AH336" s="5"/>
      <c r="AJ336" s="53"/>
      <c r="AM336" s="22">
        <f t="shared" si="12"/>
        <v>0</v>
      </c>
    </row>
    <row r="337" spans="1:39 16369:16378" ht="15.75" x14ac:dyDescent="0.25">
      <c r="A337" s="19" t="s">
        <v>55</v>
      </c>
      <c r="B337" s="19"/>
      <c r="C337" s="20"/>
      <c r="D337" s="20"/>
      <c r="E337" s="20"/>
      <c r="F337" s="19"/>
      <c r="G337" s="21"/>
      <c r="H337" s="21"/>
      <c r="W337" s="52"/>
      <c r="X337" s="52"/>
      <c r="Y337" s="52"/>
      <c r="AC337" s="53"/>
      <c r="AD337" s="52"/>
      <c r="AE337" s="53"/>
      <c r="AF337" s="53"/>
      <c r="AH337" s="5"/>
      <c r="AJ337" s="53"/>
      <c r="AM337" s="22">
        <f t="shared" si="12"/>
        <v>0</v>
      </c>
    </row>
    <row r="338" spans="1:39 16369:16378" ht="15.75" x14ac:dyDescent="0.25">
      <c r="A338" s="19" t="s">
        <v>55</v>
      </c>
      <c r="B338" s="19"/>
      <c r="C338" s="20"/>
      <c r="D338" s="20"/>
      <c r="E338" s="20"/>
      <c r="F338" s="19"/>
      <c r="G338" s="21"/>
      <c r="H338" s="21"/>
      <c r="W338" s="52"/>
      <c r="X338" s="52"/>
      <c r="Y338" s="52"/>
      <c r="AC338" s="53"/>
      <c r="AD338" s="52"/>
      <c r="AE338" s="53"/>
      <c r="AF338" s="53"/>
      <c r="AH338" s="5"/>
      <c r="AJ338" s="53"/>
      <c r="AM338" s="22">
        <f t="shared" ref="AM338:AM355" si="13">COUNTA(I338:AL338)</f>
        <v>0</v>
      </c>
    </row>
    <row r="339" spans="1:39 16369:16378" ht="15.75" x14ac:dyDescent="0.25">
      <c r="A339" s="19" t="s">
        <v>55</v>
      </c>
      <c r="B339" s="19"/>
      <c r="C339" s="20"/>
      <c r="D339" s="20"/>
      <c r="E339" s="20"/>
      <c r="F339" s="19"/>
      <c r="G339" s="21"/>
      <c r="H339" s="21"/>
      <c r="W339" s="52"/>
      <c r="X339" s="52"/>
      <c r="Y339" s="52"/>
      <c r="AC339" s="53"/>
      <c r="AD339" s="52"/>
      <c r="AE339" s="53"/>
      <c r="AF339" s="53"/>
      <c r="AH339" s="5"/>
      <c r="AJ339" s="53"/>
      <c r="AM339" s="22">
        <f t="shared" si="13"/>
        <v>0</v>
      </c>
    </row>
    <row r="340" spans="1:39 16369:16378" ht="15.75" x14ac:dyDescent="0.25">
      <c r="A340" s="19" t="s">
        <v>55</v>
      </c>
      <c r="B340" s="19"/>
      <c r="C340" s="20"/>
      <c r="D340" s="20"/>
      <c r="E340" s="20"/>
      <c r="F340" s="19"/>
      <c r="G340" s="21"/>
      <c r="H340" s="21"/>
      <c r="W340" s="52"/>
      <c r="X340" s="52"/>
      <c r="Y340" s="52"/>
      <c r="AC340" s="53"/>
      <c r="AD340" s="52"/>
      <c r="AE340" s="53"/>
      <c r="AF340" s="53"/>
      <c r="AH340" s="5"/>
      <c r="AJ340" s="53"/>
      <c r="AM340" s="22">
        <f t="shared" si="13"/>
        <v>0</v>
      </c>
    </row>
    <row r="341" spans="1:39 16369:16378" ht="15.75" x14ac:dyDescent="0.25">
      <c r="A341" s="19" t="s">
        <v>55</v>
      </c>
      <c r="B341" s="19"/>
      <c r="C341" s="23"/>
      <c r="D341" s="20"/>
      <c r="E341" s="20"/>
      <c r="F341" s="19"/>
      <c r="G341" s="21"/>
      <c r="H341" s="21"/>
      <c r="W341" s="52"/>
      <c r="AH341" s="5"/>
      <c r="AM341" s="22">
        <f t="shared" si="13"/>
        <v>0</v>
      </c>
    </row>
    <row r="342" spans="1:39 16369:16378" ht="15.75" x14ac:dyDescent="0.25">
      <c r="A342" s="19" t="s">
        <v>55</v>
      </c>
      <c r="B342" s="19"/>
      <c r="C342" s="23"/>
      <c r="D342" s="20"/>
      <c r="E342" s="20"/>
      <c r="F342" s="19"/>
      <c r="G342" s="21"/>
      <c r="H342" s="21"/>
      <c r="I342" s="52"/>
      <c r="T342" s="5"/>
      <c r="W342" s="52"/>
      <c r="X342" s="52"/>
      <c r="Y342" s="22"/>
      <c r="Z342" s="5"/>
      <c r="AA342" s="5"/>
      <c r="AB342" s="5"/>
      <c r="AC342" s="52"/>
      <c r="AD342" s="5"/>
      <c r="AE342" s="5"/>
      <c r="AF342" s="5"/>
      <c r="AG342" s="5"/>
      <c r="AH342" s="5"/>
      <c r="AI342" s="5"/>
      <c r="AJ342" s="53"/>
      <c r="AK342" s="5"/>
      <c r="AL342" s="5"/>
      <c r="AM342" s="22">
        <f t="shared" si="13"/>
        <v>0</v>
      </c>
      <c r="XEQ342" s="19"/>
      <c r="XER342" s="19"/>
      <c r="XES342" s="23"/>
      <c r="XET342" s="20"/>
      <c r="XEU342" s="20"/>
      <c r="XEV342" s="19"/>
      <c r="XEW342" s="21"/>
      <c r="XEX342" s="21"/>
    </row>
    <row r="343" spans="1:39 16369:16378" ht="15.75" x14ac:dyDescent="0.25">
      <c r="A343" s="19" t="s">
        <v>55</v>
      </c>
      <c r="B343" s="19"/>
      <c r="C343" s="23"/>
      <c r="D343" s="20"/>
      <c r="E343" s="20"/>
      <c r="F343" s="19"/>
      <c r="G343" s="21"/>
      <c r="H343" s="21"/>
      <c r="X343" s="53"/>
      <c r="Y343" s="53"/>
      <c r="AD343" s="53"/>
      <c r="AH343" s="5"/>
      <c r="AM343" s="22">
        <f t="shared" si="13"/>
        <v>0</v>
      </c>
    </row>
    <row r="344" spans="1:39 16369:16378" ht="15.75" x14ac:dyDescent="0.25">
      <c r="A344" s="19" t="s">
        <v>55</v>
      </c>
      <c r="B344" s="19"/>
      <c r="C344" s="23"/>
      <c r="D344" s="20"/>
      <c r="E344" s="20"/>
      <c r="F344" s="19"/>
      <c r="G344" s="21"/>
      <c r="H344" s="21"/>
      <c r="X344" s="53"/>
      <c r="Y344" s="52"/>
      <c r="Z344" s="53"/>
      <c r="AC344" s="53"/>
      <c r="AD344" s="52"/>
      <c r="AH344" s="5"/>
      <c r="AJ344" s="53"/>
      <c r="AM344" s="22">
        <f t="shared" si="13"/>
        <v>0</v>
      </c>
    </row>
    <row r="345" spans="1:39 16369:16378" ht="15.75" x14ac:dyDescent="0.25">
      <c r="A345" s="19" t="s">
        <v>55</v>
      </c>
      <c r="B345" s="19"/>
      <c r="C345" s="23"/>
      <c r="D345" s="20"/>
      <c r="E345" s="20"/>
      <c r="F345" s="19"/>
      <c r="G345" s="21"/>
      <c r="H345" s="21"/>
      <c r="X345" s="53"/>
      <c r="Y345" s="52"/>
      <c r="AD345" s="52"/>
      <c r="AH345" s="5"/>
      <c r="AM345" s="22">
        <f t="shared" si="13"/>
        <v>0</v>
      </c>
    </row>
    <row r="346" spans="1:39 16369:16378" ht="15.75" x14ac:dyDescent="0.25">
      <c r="A346" s="19" t="s">
        <v>55</v>
      </c>
      <c r="B346" s="19"/>
      <c r="C346" s="23"/>
      <c r="D346" s="20"/>
      <c r="E346" s="20"/>
      <c r="F346" s="19"/>
      <c r="G346" s="21"/>
      <c r="H346" s="21"/>
      <c r="X346" s="53"/>
      <c r="Y346" s="52"/>
      <c r="Z346" s="53"/>
      <c r="AC346" s="53"/>
      <c r="AD346" s="52"/>
      <c r="AE346" s="53"/>
      <c r="AF346" s="53"/>
      <c r="AH346" s="5"/>
      <c r="AJ346" s="53"/>
      <c r="AM346" s="22">
        <f t="shared" si="13"/>
        <v>0</v>
      </c>
    </row>
    <row r="347" spans="1:39 16369:16378" ht="15.75" x14ac:dyDescent="0.25">
      <c r="A347" s="19" t="s">
        <v>55</v>
      </c>
      <c r="B347" s="19"/>
      <c r="C347" s="23"/>
      <c r="D347" s="20"/>
      <c r="E347" s="20"/>
      <c r="F347" s="19"/>
      <c r="G347" s="21"/>
      <c r="H347" s="21"/>
      <c r="I347" s="52"/>
      <c r="R347" s="5"/>
      <c r="W347" s="22"/>
      <c r="X347" s="5"/>
      <c r="Y347" s="52"/>
      <c r="Z347" s="53"/>
      <c r="AA347" s="5"/>
      <c r="AB347" s="5"/>
      <c r="AC347" s="53"/>
      <c r="AD347" s="52"/>
      <c r="AE347" s="53"/>
      <c r="AF347" s="5"/>
      <c r="AG347" s="52"/>
      <c r="AH347" s="5"/>
      <c r="AI347" s="5"/>
      <c r="AJ347" s="53"/>
      <c r="AK347" s="5"/>
      <c r="AL347" s="5"/>
      <c r="AM347" s="22">
        <f t="shared" si="13"/>
        <v>0</v>
      </c>
      <c r="XEO347" s="19"/>
      <c r="XEP347" s="19"/>
      <c r="XEQ347" s="23"/>
      <c r="XER347" s="20"/>
      <c r="XES347" s="20"/>
      <c r="XET347" s="19"/>
      <c r="XEU347" s="21"/>
      <c r="XEV347" s="21"/>
    </row>
    <row r="348" spans="1:39 16369:16378" ht="15.75" x14ac:dyDescent="0.25">
      <c r="A348" s="19" t="s">
        <v>55</v>
      </c>
      <c r="B348" s="19"/>
      <c r="C348" s="23"/>
      <c r="D348" s="20"/>
      <c r="E348" s="20"/>
      <c r="F348" s="19"/>
      <c r="G348" s="21"/>
      <c r="H348" s="21"/>
      <c r="Y348" s="52"/>
      <c r="Z348" s="53"/>
      <c r="AC348" s="53"/>
      <c r="AD348" s="52"/>
      <c r="AE348" s="53"/>
      <c r="AF348" s="53"/>
      <c r="AG348" s="52"/>
      <c r="AH348" s="5"/>
      <c r="AJ348" s="53"/>
      <c r="AM348" s="22">
        <f t="shared" si="13"/>
        <v>0</v>
      </c>
    </row>
    <row r="349" spans="1:39 16369:16378" ht="15.75" x14ac:dyDescent="0.25">
      <c r="A349" s="19" t="s">
        <v>55</v>
      </c>
      <c r="B349" s="19"/>
      <c r="C349" s="23"/>
      <c r="D349" s="20"/>
      <c r="E349" s="20"/>
      <c r="F349" s="19"/>
      <c r="G349" s="21"/>
      <c r="H349" s="21"/>
      <c r="Z349" s="53"/>
      <c r="AE349" s="53"/>
      <c r="AF349" s="53"/>
      <c r="AH349" s="5"/>
      <c r="AJ349" s="53"/>
      <c r="AM349" s="22">
        <f t="shared" si="13"/>
        <v>0</v>
      </c>
    </row>
    <row r="350" spans="1:39 16369:16378" ht="15.75" x14ac:dyDescent="0.25">
      <c r="A350" s="19" t="s">
        <v>55</v>
      </c>
      <c r="B350" s="19"/>
      <c r="C350" s="23"/>
      <c r="D350" s="20"/>
      <c r="E350" s="20"/>
      <c r="F350" s="19"/>
      <c r="G350" s="21"/>
      <c r="H350" s="21"/>
      <c r="Z350" s="53"/>
      <c r="AC350" s="53"/>
      <c r="AD350" s="52"/>
      <c r="AF350" s="53"/>
      <c r="AH350" s="5"/>
      <c r="AJ350" s="53"/>
      <c r="AM350" s="22">
        <f t="shared" si="13"/>
        <v>0</v>
      </c>
    </row>
    <row r="351" spans="1:39 16369:16378" ht="15.75" x14ac:dyDescent="0.25">
      <c r="A351" s="19" t="s">
        <v>55</v>
      </c>
      <c r="B351" s="19"/>
      <c r="C351" s="23"/>
      <c r="D351" s="20"/>
      <c r="E351" s="20"/>
      <c r="F351" s="19"/>
      <c r="G351" s="21"/>
      <c r="H351" s="21"/>
      <c r="AC351" s="53"/>
      <c r="AH351" s="5"/>
      <c r="AI351" s="53"/>
      <c r="AM351" s="22">
        <f t="shared" si="13"/>
        <v>0</v>
      </c>
    </row>
    <row r="352" spans="1:39 16369:16378" ht="15.75" x14ac:dyDescent="0.25">
      <c r="A352" s="19" t="s">
        <v>55</v>
      </c>
      <c r="B352" s="19"/>
      <c r="C352" s="68"/>
      <c r="D352" s="20"/>
      <c r="E352" s="20"/>
      <c r="F352" s="19"/>
      <c r="G352" s="21"/>
      <c r="H352" s="21"/>
      <c r="AE352" s="53"/>
      <c r="AH352" s="5"/>
      <c r="AM352" s="22">
        <f t="shared" si="13"/>
        <v>0</v>
      </c>
    </row>
    <row r="353" spans="1:39" ht="15.75" x14ac:dyDescent="0.25">
      <c r="A353" s="19" t="s">
        <v>55</v>
      </c>
      <c r="B353" s="19"/>
      <c r="C353" s="23"/>
      <c r="D353" s="20"/>
      <c r="E353" s="20"/>
      <c r="F353" s="19"/>
      <c r="G353" s="21"/>
      <c r="H353" s="21"/>
      <c r="AF353" s="53"/>
      <c r="AG353" s="52"/>
      <c r="AH353" s="5"/>
      <c r="AJ353" s="53"/>
      <c r="AM353" s="22">
        <f t="shared" si="13"/>
        <v>0</v>
      </c>
    </row>
    <row r="354" spans="1:39" ht="15.75" x14ac:dyDescent="0.25">
      <c r="A354" s="19" t="s">
        <v>55</v>
      </c>
      <c r="B354" s="19"/>
      <c r="C354" s="23"/>
      <c r="D354" s="20"/>
      <c r="E354" s="20"/>
      <c r="F354" s="19"/>
      <c r="G354" s="21"/>
      <c r="H354" s="21"/>
      <c r="AG354" s="53"/>
      <c r="AH354" s="5"/>
      <c r="AM354" s="22">
        <f t="shared" si="13"/>
        <v>0</v>
      </c>
    </row>
    <row r="355" spans="1:39" ht="15.75" x14ac:dyDescent="0.25">
      <c r="A355" s="19" t="s">
        <v>55</v>
      </c>
      <c r="B355" s="19"/>
      <c r="C355" s="23"/>
      <c r="D355" s="20"/>
      <c r="E355" s="20"/>
      <c r="F355" s="19"/>
      <c r="G355" s="21"/>
      <c r="H355" s="21"/>
      <c r="AG355" s="52"/>
      <c r="AH355" s="5"/>
      <c r="AM355" s="22">
        <f t="shared" si="13"/>
        <v>0</v>
      </c>
    </row>
    <row r="356" spans="1:39" ht="15.75" x14ac:dyDescent="0.25">
      <c r="A356" s="24"/>
      <c r="B356" s="25"/>
      <c r="D356" s="26"/>
      <c r="E356" s="26"/>
      <c r="F356" s="24"/>
      <c r="AH356" s="5"/>
      <c r="AM356" s="22"/>
    </row>
    <row r="357" spans="1:39" ht="15.75" x14ac:dyDescent="0.25">
      <c r="A357" s="24"/>
      <c r="B357" s="25"/>
      <c r="D357" s="26"/>
      <c r="E357" s="26"/>
      <c r="F357" s="24"/>
      <c r="AH357" s="5"/>
      <c r="AM357" s="22"/>
    </row>
    <row r="358" spans="1:39" ht="15.75" x14ac:dyDescent="0.25">
      <c r="A358" s="24"/>
      <c r="B358" s="25"/>
      <c r="D358" s="26"/>
      <c r="E358" s="26"/>
      <c r="F358" s="24"/>
      <c r="AH358" s="5"/>
      <c r="AM358" s="22">
        <f t="shared" ref="AM358:AM421" si="14">COUNTA(I358:AL358)</f>
        <v>0</v>
      </c>
    </row>
    <row r="359" spans="1:39" ht="15.75" x14ac:dyDescent="0.25">
      <c r="A359" s="24"/>
      <c r="B359" s="25"/>
      <c r="D359" s="26"/>
      <c r="E359" s="26"/>
      <c r="F359" s="24"/>
      <c r="AH359" s="5"/>
      <c r="AM359" s="22">
        <f t="shared" si="14"/>
        <v>0</v>
      </c>
    </row>
    <row r="360" spans="1:39" ht="15.75" x14ac:dyDescent="0.25">
      <c r="A360" s="24"/>
      <c r="B360" s="25"/>
      <c r="D360" s="26"/>
      <c r="E360" s="26"/>
      <c r="F360" s="24"/>
      <c r="AH360" s="5"/>
      <c r="AM360" s="22">
        <f t="shared" si="14"/>
        <v>0</v>
      </c>
    </row>
    <row r="361" spans="1:39" ht="15.75" x14ac:dyDescent="0.25">
      <c r="A361" s="24"/>
      <c r="B361" s="25"/>
      <c r="D361" s="26"/>
      <c r="E361" s="26"/>
      <c r="F361" s="24"/>
      <c r="AH361" s="5"/>
      <c r="AM361" s="22">
        <f t="shared" si="14"/>
        <v>0</v>
      </c>
    </row>
    <row r="362" spans="1:39" ht="15.75" x14ac:dyDescent="0.25">
      <c r="A362" s="24"/>
      <c r="B362" s="25"/>
      <c r="D362" s="26"/>
      <c r="E362" s="26"/>
      <c r="F362" s="24"/>
      <c r="AH362" s="5"/>
      <c r="AM362" s="22">
        <f t="shared" si="14"/>
        <v>0</v>
      </c>
    </row>
    <row r="363" spans="1:39" ht="15.75" x14ac:dyDescent="0.25">
      <c r="A363" s="24"/>
      <c r="B363" s="25"/>
      <c r="D363" s="26"/>
      <c r="E363" s="26"/>
      <c r="F363" s="24"/>
      <c r="AH363" s="5"/>
      <c r="AM363" s="22">
        <f t="shared" si="14"/>
        <v>0</v>
      </c>
    </row>
    <row r="364" spans="1:39" ht="15.75" x14ac:dyDescent="0.25">
      <c r="A364" s="24"/>
      <c r="B364" s="25"/>
      <c r="D364" s="26"/>
      <c r="E364" s="26"/>
      <c r="F364" s="24"/>
      <c r="AH364" s="5"/>
      <c r="AM364" s="22">
        <f t="shared" si="14"/>
        <v>0</v>
      </c>
    </row>
    <row r="365" spans="1:39" ht="15.75" x14ac:dyDescent="0.25">
      <c r="A365" s="24"/>
      <c r="B365" s="25"/>
      <c r="D365" s="26"/>
      <c r="E365" s="26"/>
      <c r="F365" s="24"/>
      <c r="AH365" s="5"/>
      <c r="AM365" s="22">
        <f t="shared" si="14"/>
        <v>0</v>
      </c>
    </row>
    <row r="366" spans="1:39" ht="15.75" x14ac:dyDescent="0.25">
      <c r="A366" s="24"/>
      <c r="B366" s="25"/>
      <c r="D366" s="26"/>
      <c r="E366" s="26"/>
      <c r="F366" s="24"/>
      <c r="AH366" s="5"/>
      <c r="AM366" s="22">
        <f t="shared" si="14"/>
        <v>0</v>
      </c>
    </row>
    <row r="367" spans="1:39" ht="15.75" x14ac:dyDescent="0.25">
      <c r="A367" s="24"/>
      <c r="B367" s="25"/>
      <c r="D367" s="26"/>
      <c r="E367" s="26"/>
      <c r="F367" s="24"/>
      <c r="AH367" s="5"/>
      <c r="AM367" s="22">
        <f t="shared" si="14"/>
        <v>0</v>
      </c>
    </row>
    <row r="368" spans="1:39" ht="15.75" x14ac:dyDescent="0.25">
      <c r="A368" s="24"/>
      <c r="B368" s="25"/>
      <c r="D368" s="26"/>
      <c r="E368" s="26"/>
      <c r="F368" s="24"/>
      <c r="AH368" s="5"/>
      <c r="AM368" s="22">
        <f t="shared" si="14"/>
        <v>0</v>
      </c>
    </row>
    <row r="369" spans="1:39" ht="15.75" x14ac:dyDescent="0.25">
      <c r="A369" s="24"/>
      <c r="B369" s="25"/>
      <c r="D369" s="26"/>
      <c r="E369" s="26"/>
      <c r="F369" s="24"/>
      <c r="AM369" s="22">
        <f t="shared" si="14"/>
        <v>0</v>
      </c>
    </row>
    <row r="370" spans="1:39" ht="15.75" x14ac:dyDescent="0.25">
      <c r="A370" s="24"/>
      <c r="B370" s="25"/>
      <c r="D370" s="26"/>
      <c r="E370" s="26"/>
      <c r="F370" s="24"/>
      <c r="AM370" s="22">
        <f t="shared" si="14"/>
        <v>0</v>
      </c>
    </row>
    <row r="371" spans="1:39" ht="15.75" x14ac:dyDescent="0.25">
      <c r="A371" s="24"/>
      <c r="B371" s="19"/>
      <c r="D371" s="26"/>
      <c r="E371" s="26"/>
      <c r="F371" s="24"/>
      <c r="AM371" s="22">
        <f t="shared" si="14"/>
        <v>0</v>
      </c>
    </row>
    <row r="372" spans="1:39" ht="15.75" x14ac:dyDescent="0.25">
      <c r="A372" s="24"/>
      <c r="B372" s="19"/>
      <c r="D372" s="26"/>
      <c r="E372" s="26"/>
      <c r="F372" s="24"/>
      <c r="AM372" s="22">
        <f t="shared" si="14"/>
        <v>0</v>
      </c>
    </row>
    <row r="373" spans="1:39" ht="15.75" x14ac:dyDescent="0.25">
      <c r="A373" s="24"/>
      <c r="B373" s="19"/>
      <c r="D373" s="26"/>
      <c r="E373" s="26"/>
      <c r="F373" s="24"/>
      <c r="AM373" s="22">
        <f t="shared" si="14"/>
        <v>0</v>
      </c>
    </row>
    <row r="374" spans="1:39" ht="15.75" x14ac:dyDescent="0.25">
      <c r="B374" s="19"/>
      <c r="AM374" s="22">
        <f t="shared" si="14"/>
        <v>0</v>
      </c>
    </row>
    <row r="375" spans="1:39" ht="15.75" x14ac:dyDescent="0.25">
      <c r="B375" s="19"/>
      <c r="AM375" s="22">
        <f t="shared" si="14"/>
        <v>0</v>
      </c>
    </row>
    <row r="376" spans="1:39" ht="15.75" x14ac:dyDescent="0.25">
      <c r="B376" s="19"/>
      <c r="AM376" s="22">
        <f t="shared" si="14"/>
        <v>0</v>
      </c>
    </row>
    <row r="377" spans="1:39" ht="15.75" x14ac:dyDescent="0.25">
      <c r="B377" s="19"/>
      <c r="AM377" s="22">
        <f t="shared" si="14"/>
        <v>0</v>
      </c>
    </row>
    <row r="378" spans="1:39" ht="15.75" x14ac:dyDescent="0.25">
      <c r="B378" s="19"/>
      <c r="AM378" s="22">
        <f t="shared" si="14"/>
        <v>0</v>
      </c>
    </row>
    <row r="379" spans="1:39" ht="15.75" x14ac:dyDescent="0.25">
      <c r="B379" s="19"/>
      <c r="AM379" s="22">
        <f t="shared" si="14"/>
        <v>0</v>
      </c>
    </row>
    <row r="380" spans="1:39" ht="15.75" x14ac:dyDescent="0.25">
      <c r="B380" s="19"/>
      <c r="AM380" s="22">
        <f t="shared" si="14"/>
        <v>0</v>
      </c>
    </row>
    <row r="381" spans="1:39" ht="15.75" x14ac:dyDescent="0.25">
      <c r="B381" s="19"/>
      <c r="AM381" s="22">
        <f t="shared" si="14"/>
        <v>0</v>
      </c>
    </row>
    <row r="382" spans="1:39" ht="15.75" x14ac:dyDescent="0.25">
      <c r="B382" s="19"/>
      <c r="AM382" s="22">
        <f t="shared" si="14"/>
        <v>0</v>
      </c>
    </row>
    <row r="383" spans="1:39" ht="15.75" x14ac:dyDescent="0.25">
      <c r="B383" s="19"/>
      <c r="AM383" s="22">
        <f t="shared" si="14"/>
        <v>0</v>
      </c>
    </row>
    <row r="384" spans="1:39" ht="15.75" x14ac:dyDescent="0.25">
      <c r="B384" s="19"/>
      <c r="AM384" s="22">
        <f t="shared" si="14"/>
        <v>0</v>
      </c>
    </row>
    <row r="385" spans="2:39" ht="15.75" x14ac:dyDescent="0.25">
      <c r="B385" s="19"/>
      <c r="AM385" s="22">
        <f t="shared" si="14"/>
        <v>0</v>
      </c>
    </row>
    <row r="386" spans="2:39" ht="15.75" x14ac:dyDescent="0.25">
      <c r="B386" s="19"/>
      <c r="AM386" s="22">
        <f t="shared" si="14"/>
        <v>0</v>
      </c>
    </row>
    <row r="387" spans="2:39" ht="15.75" x14ac:dyDescent="0.25">
      <c r="B387" s="19"/>
      <c r="AM387" s="22">
        <f t="shared" si="14"/>
        <v>0</v>
      </c>
    </row>
    <row r="388" spans="2:39" ht="15.75" x14ac:dyDescent="0.25">
      <c r="B388" s="19"/>
      <c r="AM388" s="22">
        <f t="shared" si="14"/>
        <v>0</v>
      </c>
    </row>
    <row r="389" spans="2:39" ht="15.75" x14ac:dyDescent="0.25">
      <c r="B389" s="19"/>
      <c r="AM389" s="22">
        <f t="shared" si="14"/>
        <v>0</v>
      </c>
    </row>
    <row r="390" spans="2:39" ht="15.75" x14ac:dyDescent="0.25">
      <c r="B390" s="19"/>
      <c r="AM390" s="22">
        <f t="shared" si="14"/>
        <v>0</v>
      </c>
    </row>
    <row r="391" spans="2:39" ht="15.75" x14ac:dyDescent="0.25">
      <c r="B391" s="19"/>
      <c r="AM391" s="22">
        <f t="shared" si="14"/>
        <v>0</v>
      </c>
    </row>
    <row r="392" spans="2:39" ht="15.75" x14ac:dyDescent="0.25">
      <c r="B392" s="19"/>
      <c r="AM392" s="22">
        <f t="shared" si="14"/>
        <v>0</v>
      </c>
    </row>
    <row r="393" spans="2:39" ht="15.75" x14ac:dyDescent="0.25">
      <c r="B393" s="19"/>
      <c r="AM393" s="22">
        <f t="shared" si="14"/>
        <v>0</v>
      </c>
    </row>
    <row r="394" spans="2:39" ht="15.75" x14ac:dyDescent="0.25">
      <c r="B394" s="19"/>
      <c r="AM394" s="22">
        <f t="shared" si="14"/>
        <v>0</v>
      </c>
    </row>
    <row r="395" spans="2:39" ht="15.75" x14ac:dyDescent="0.25">
      <c r="B395" s="19"/>
      <c r="AM395" s="22">
        <f t="shared" si="14"/>
        <v>0</v>
      </c>
    </row>
    <row r="396" spans="2:39" ht="15.75" x14ac:dyDescent="0.25">
      <c r="B396" s="19"/>
      <c r="AM396" s="22">
        <f t="shared" si="14"/>
        <v>0</v>
      </c>
    </row>
    <row r="397" spans="2:39" ht="15.75" x14ac:dyDescent="0.25">
      <c r="B397" s="19"/>
      <c r="AM397" s="22">
        <f t="shared" si="14"/>
        <v>0</v>
      </c>
    </row>
    <row r="398" spans="2:39" ht="15.75" x14ac:dyDescent="0.25">
      <c r="B398" s="19"/>
      <c r="AM398" s="22">
        <f t="shared" si="14"/>
        <v>0</v>
      </c>
    </row>
    <row r="399" spans="2:39" ht="15.75" x14ac:dyDescent="0.25">
      <c r="B399" s="19"/>
      <c r="AM399" s="22">
        <f t="shared" si="14"/>
        <v>0</v>
      </c>
    </row>
    <row r="400" spans="2:39" ht="15.75" x14ac:dyDescent="0.25">
      <c r="B400" s="19"/>
      <c r="AM400" s="22">
        <f t="shared" si="14"/>
        <v>0</v>
      </c>
    </row>
    <row r="401" spans="2:39" ht="15.75" x14ac:dyDescent="0.25">
      <c r="B401" s="19"/>
      <c r="AM401" s="22">
        <f t="shared" si="14"/>
        <v>0</v>
      </c>
    </row>
    <row r="402" spans="2:39" ht="15.75" x14ac:dyDescent="0.25">
      <c r="B402" s="19"/>
      <c r="AM402" s="22">
        <f t="shared" si="14"/>
        <v>0</v>
      </c>
    </row>
    <row r="403" spans="2:39" ht="15.75" x14ac:dyDescent="0.25">
      <c r="B403" s="19"/>
      <c r="AM403" s="22">
        <f t="shared" si="14"/>
        <v>0</v>
      </c>
    </row>
    <row r="404" spans="2:39" ht="15.75" x14ac:dyDescent="0.25">
      <c r="B404" s="19"/>
      <c r="AM404" s="22">
        <f t="shared" si="14"/>
        <v>0</v>
      </c>
    </row>
    <row r="405" spans="2:39" ht="15.75" x14ac:dyDescent="0.25">
      <c r="B405" s="19"/>
      <c r="AM405" s="22">
        <f t="shared" si="14"/>
        <v>0</v>
      </c>
    </row>
    <row r="406" spans="2:39" ht="15.75" x14ac:dyDescent="0.25">
      <c r="B406" s="19"/>
      <c r="AM406" s="22">
        <f t="shared" si="14"/>
        <v>0</v>
      </c>
    </row>
    <row r="407" spans="2:39" ht="15.75" x14ac:dyDescent="0.25">
      <c r="B407" s="19"/>
      <c r="AM407" s="22">
        <f t="shared" si="14"/>
        <v>0</v>
      </c>
    </row>
    <row r="408" spans="2:39" ht="15.75" x14ac:dyDescent="0.25">
      <c r="B408" s="19"/>
      <c r="AM408" s="22">
        <f t="shared" si="14"/>
        <v>0</v>
      </c>
    </row>
    <row r="409" spans="2:39" ht="15.75" x14ac:dyDescent="0.25">
      <c r="B409" s="19"/>
      <c r="AM409" s="22">
        <f t="shared" si="14"/>
        <v>0</v>
      </c>
    </row>
    <row r="410" spans="2:39" ht="15.75" x14ac:dyDescent="0.25">
      <c r="B410" s="19"/>
      <c r="AM410" s="22">
        <f t="shared" si="14"/>
        <v>0</v>
      </c>
    </row>
    <row r="411" spans="2:39" ht="15.75" x14ac:dyDescent="0.25">
      <c r="B411" s="19"/>
      <c r="AM411" s="22">
        <f t="shared" si="14"/>
        <v>0</v>
      </c>
    </row>
    <row r="412" spans="2:39" ht="15.75" x14ac:dyDescent="0.25">
      <c r="B412" s="19"/>
      <c r="AM412" s="22">
        <f t="shared" si="14"/>
        <v>0</v>
      </c>
    </row>
    <row r="413" spans="2:39" ht="15.75" x14ac:dyDescent="0.25">
      <c r="B413" s="19"/>
      <c r="AM413" s="22">
        <f t="shared" si="14"/>
        <v>0</v>
      </c>
    </row>
    <row r="414" spans="2:39" ht="15.75" x14ac:dyDescent="0.25">
      <c r="B414" s="19"/>
      <c r="AM414" s="22">
        <f t="shared" si="14"/>
        <v>0</v>
      </c>
    </row>
    <row r="415" spans="2:39" ht="15.75" x14ac:dyDescent="0.25">
      <c r="B415" s="19"/>
      <c r="AM415" s="22">
        <f t="shared" si="14"/>
        <v>0</v>
      </c>
    </row>
    <row r="416" spans="2:39" ht="15.75" x14ac:dyDescent="0.25">
      <c r="B416" s="19"/>
      <c r="AM416" s="22">
        <f t="shared" si="14"/>
        <v>0</v>
      </c>
    </row>
    <row r="417" spans="2:39" ht="15.75" x14ac:dyDescent="0.25">
      <c r="B417" s="19"/>
      <c r="AM417" s="22">
        <f t="shared" si="14"/>
        <v>0</v>
      </c>
    </row>
    <row r="418" spans="2:39" ht="15.75" x14ac:dyDescent="0.25">
      <c r="B418" s="19"/>
      <c r="AM418" s="22">
        <f t="shared" si="14"/>
        <v>0</v>
      </c>
    </row>
    <row r="419" spans="2:39" ht="15.75" x14ac:dyDescent="0.25">
      <c r="B419" s="19"/>
      <c r="AM419" s="22">
        <f t="shared" si="14"/>
        <v>0</v>
      </c>
    </row>
    <row r="420" spans="2:39" ht="15.75" x14ac:dyDescent="0.25">
      <c r="B420" s="19"/>
      <c r="AM420" s="22">
        <f t="shared" si="14"/>
        <v>0</v>
      </c>
    </row>
    <row r="421" spans="2:39" ht="15.75" x14ac:dyDescent="0.25">
      <c r="B421" s="19"/>
      <c r="AM421" s="22">
        <f t="shared" si="14"/>
        <v>0</v>
      </c>
    </row>
    <row r="422" spans="2:39" ht="15.75" x14ac:dyDescent="0.25">
      <c r="B422" s="19"/>
      <c r="AM422" s="22">
        <f t="shared" ref="AM422:AM427" si="15">COUNTA(I422:AL422)</f>
        <v>0</v>
      </c>
    </row>
    <row r="423" spans="2:39" ht="15.75" x14ac:dyDescent="0.25">
      <c r="B423" s="19"/>
      <c r="AM423" s="22">
        <f t="shared" si="15"/>
        <v>0</v>
      </c>
    </row>
    <row r="424" spans="2:39" ht="15.75" x14ac:dyDescent="0.25">
      <c r="B424" s="19"/>
      <c r="AM424" s="22">
        <f t="shared" si="15"/>
        <v>0</v>
      </c>
    </row>
    <row r="425" spans="2:39" ht="15.75" x14ac:dyDescent="0.25">
      <c r="B425" s="19"/>
      <c r="AM425" s="22">
        <f t="shared" si="15"/>
        <v>0</v>
      </c>
    </row>
    <row r="426" spans="2:39" ht="15.75" x14ac:dyDescent="0.25">
      <c r="B426" s="19"/>
      <c r="AM426" s="22">
        <f t="shared" si="15"/>
        <v>0</v>
      </c>
    </row>
    <row r="427" spans="2:39" ht="15.75" x14ac:dyDescent="0.25">
      <c r="B427" s="19"/>
      <c r="AM427" s="22">
        <f t="shared" si="15"/>
        <v>0</v>
      </c>
    </row>
    <row r="428" spans="2:39" ht="15.75" x14ac:dyDescent="0.25">
      <c r="B428" s="19"/>
      <c r="AM428" s="22">
        <f t="shared" ref="AM428" si="16">COUNTA(I428:AL428)-COUNTIF(I428:AL428,"CT")</f>
        <v>0</v>
      </c>
    </row>
    <row r="429" spans="2:39" x14ac:dyDescent="0.2">
      <c r="B429" s="19"/>
    </row>
    <row r="430" spans="2:39" x14ac:dyDescent="0.2">
      <c r="B430" s="19"/>
    </row>
    <row r="431" spans="2:39" x14ac:dyDescent="0.2">
      <c r="B431" s="19"/>
    </row>
    <row r="432" spans="2:39" x14ac:dyDescent="0.2">
      <c r="B432" s="19"/>
    </row>
    <row r="433" spans="2:2" x14ac:dyDescent="0.2">
      <c r="B433" s="19"/>
    </row>
    <row r="434" spans="2:2" x14ac:dyDescent="0.2">
      <c r="B434" s="19"/>
    </row>
    <row r="435" spans="2:2" x14ac:dyDescent="0.2">
      <c r="B435" s="19"/>
    </row>
    <row r="436" spans="2:2" x14ac:dyDescent="0.2">
      <c r="B436" s="19"/>
    </row>
    <row r="437" spans="2:2" x14ac:dyDescent="0.2">
      <c r="B437" s="19"/>
    </row>
    <row r="438" spans="2:2" x14ac:dyDescent="0.2">
      <c r="B438" s="19"/>
    </row>
    <row r="439" spans="2:2" x14ac:dyDescent="0.2">
      <c r="B439" s="19"/>
    </row>
    <row r="440" spans="2:2" x14ac:dyDescent="0.2">
      <c r="B440" s="19"/>
    </row>
    <row r="441" spans="2:2" x14ac:dyDescent="0.2">
      <c r="B441" s="19"/>
    </row>
    <row r="442" spans="2:2" x14ac:dyDescent="0.2">
      <c r="B442" s="19"/>
    </row>
    <row r="443" spans="2:2" x14ac:dyDescent="0.2">
      <c r="B443" s="19"/>
    </row>
    <row r="444" spans="2:2" x14ac:dyDescent="0.2">
      <c r="B444" s="19"/>
    </row>
    <row r="445" spans="2:2" x14ac:dyDescent="0.2">
      <c r="B445" s="19"/>
    </row>
    <row r="446" spans="2:2" x14ac:dyDescent="0.2">
      <c r="B446" s="19"/>
    </row>
    <row r="447" spans="2:2" x14ac:dyDescent="0.2">
      <c r="B447" s="19"/>
    </row>
    <row r="448" spans="2:2" x14ac:dyDescent="0.2">
      <c r="B448" s="19"/>
    </row>
    <row r="449" spans="2:2" x14ac:dyDescent="0.2">
      <c r="B449" s="19"/>
    </row>
    <row r="450" spans="2:2" x14ac:dyDescent="0.2">
      <c r="B450" s="19"/>
    </row>
    <row r="451" spans="2:2" x14ac:dyDescent="0.2">
      <c r="B451" s="19"/>
    </row>
    <row r="452" spans="2:2" x14ac:dyDescent="0.2">
      <c r="B452" s="19"/>
    </row>
    <row r="453" spans="2:2" x14ac:dyDescent="0.2">
      <c r="B453" s="19"/>
    </row>
    <row r="454" spans="2:2" x14ac:dyDescent="0.2">
      <c r="B454" s="19"/>
    </row>
    <row r="455" spans="2:2" x14ac:dyDescent="0.2">
      <c r="B455" s="19"/>
    </row>
    <row r="456" spans="2:2" x14ac:dyDescent="0.2">
      <c r="B456" s="19"/>
    </row>
    <row r="457" spans="2:2" x14ac:dyDescent="0.2">
      <c r="B457" s="19"/>
    </row>
    <row r="458" spans="2:2" x14ac:dyDescent="0.2">
      <c r="B458" s="19"/>
    </row>
    <row r="459" spans="2:2" x14ac:dyDescent="0.2">
      <c r="B459" s="19"/>
    </row>
    <row r="460" spans="2:2" x14ac:dyDescent="0.2">
      <c r="B460" s="19"/>
    </row>
    <row r="461" spans="2:2" x14ac:dyDescent="0.2">
      <c r="B461" s="19"/>
    </row>
    <row r="462" spans="2:2" x14ac:dyDescent="0.2">
      <c r="B462" s="19"/>
    </row>
    <row r="463" spans="2:2" x14ac:dyDescent="0.2">
      <c r="B463" s="19"/>
    </row>
    <row r="464" spans="2:2" x14ac:dyDescent="0.2">
      <c r="B464" s="19"/>
    </row>
    <row r="465" spans="2:2" x14ac:dyDescent="0.2">
      <c r="B465" s="19"/>
    </row>
    <row r="466" spans="2:2" x14ac:dyDescent="0.2">
      <c r="B466" s="19"/>
    </row>
    <row r="467" spans="2:2" x14ac:dyDescent="0.2">
      <c r="B467" s="19"/>
    </row>
    <row r="468" spans="2:2" x14ac:dyDescent="0.2">
      <c r="B468" s="19"/>
    </row>
    <row r="469" spans="2:2" x14ac:dyDescent="0.2">
      <c r="B469" s="19"/>
    </row>
    <row r="470" spans="2:2" x14ac:dyDescent="0.2">
      <c r="B470" s="19"/>
    </row>
    <row r="471" spans="2:2" x14ac:dyDescent="0.2">
      <c r="B471" s="19"/>
    </row>
    <row r="472" spans="2:2" x14ac:dyDescent="0.2">
      <c r="B472" s="19"/>
    </row>
    <row r="473" spans="2:2" x14ac:dyDescent="0.2">
      <c r="B473" s="19"/>
    </row>
    <row r="474" spans="2:2" x14ac:dyDescent="0.2">
      <c r="B474" s="19"/>
    </row>
    <row r="475" spans="2:2" x14ac:dyDescent="0.2">
      <c r="B475" s="19"/>
    </row>
    <row r="476" spans="2:2" x14ac:dyDescent="0.2">
      <c r="B476" s="19"/>
    </row>
    <row r="477" spans="2:2" x14ac:dyDescent="0.2">
      <c r="B477" s="19"/>
    </row>
    <row r="478" spans="2:2" x14ac:dyDescent="0.2">
      <c r="B478" s="19"/>
    </row>
    <row r="479" spans="2:2" x14ac:dyDescent="0.2">
      <c r="B479" s="19"/>
    </row>
    <row r="480" spans="2:2" x14ac:dyDescent="0.2">
      <c r="B480" s="19"/>
    </row>
    <row r="481" spans="2:2" x14ac:dyDescent="0.2">
      <c r="B481" s="19"/>
    </row>
    <row r="482" spans="2:2" x14ac:dyDescent="0.2">
      <c r="B482" s="19"/>
    </row>
    <row r="483" spans="2:2" x14ac:dyDescent="0.2">
      <c r="B483" s="19"/>
    </row>
    <row r="484" spans="2:2" x14ac:dyDescent="0.2">
      <c r="B484" s="19"/>
    </row>
    <row r="485" spans="2:2" x14ac:dyDescent="0.2">
      <c r="B485" s="19"/>
    </row>
    <row r="486" spans="2:2" x14ac:dyDescent="0.2">
      <c r="B486" s="19"/>
    </row>
    <row r="487" spans="2:2" x14ac:dyDescent="0.2">
      <c r="B487" s="19"/>
    </row>
    <row r="488" spans="2:2" x14ac:dyDescent="0.2">
      <c r="B488" s="19"/>
    </row>
    <row r="489" spans="2:2" x14ac:dyDescent="0.2">
      <c r="B489" s="19"/>
    </row>
    <row r="490" spans="2:2" x14ac:dyDescent="0.2">
      <c r="B490" s="19"/>
    </row>
    <row r="491" spans="2:2" x14ac:dyDescent="0.2">
      <c r="B491" s="19"/>
    </row>
    <row r="492" spans="2:2" x14ac:dyDescent="0.2">
      <c r="B492" s="19"/>
    </row>
    <row r="493" spans="2:2" x14ac:dyDescent="0.2">
      <c r="B493" s="19"/>
    </row>
    <row r="494" spans="2:2" x14ac:dyDescent="0.2">
      <c r="B494" s="19"/>
    </row>
    <row r="495" spans="2:2" x14ac:dyDescent="0.2">
      <c r="B495" s="19"/>
    </row>
    <row r="496" spans="2:2" x14ac:dyDescent="0.2">
      <c r="B496" s="19"/>
    </row>
    <row r="497" spans="2:2" x14ac:dyDescent="0.2">
      <c r="B497" s="19"/>
    </row>
    <row r="498" spans="2:2" x14ac:dyDescent="0.2">
      <c r="B498" s="19"/>
    </row>
    <row r="499" spans="2:2" x14ac:dyDescent="0.2">
      <c r="B499" s="19"/>
    </row>
    <row r="500" spans="2:2" x14ac:dyDescent="0.2">
      <c r="B500" s="19"/>
    </row>
    <row r="501" spans="2:2" x14ac:dyDescent="0.2">
      <c r="B501" s="19"/>
    </row>
    <row r="502" spans="2:2" x14ac:dyDescent="0.2">
      <c r="B502" s="19"/>
    </row>
    <row r="503" spans="2:2" x14ac:dyDescent="0.2">
      <c r="B503" s="19"/>
    </row>
    <row r="504" spans="2:2" x14ac:dyDescent="0.2">
      <c r="B504" s="19"/>
    </row>
    <row r="505" spans="2:2" x14ac:dyDescent="0.2">
      <c r="B505" s="19"/>
    </row>
    <row r="506" spans="2:2" x14ac:dyDescent="0.2">
      <c r="B506" s="19"/>
    </row>
    <row r="507" spans="2:2" x14ac:dyDescent="0.2">
      <c r="B507" s="19"/>
    </row>
    <row r="508" spans="2:2" x14ac:dyDescent="0.2">
      <c r="B508" s="19"/>
    </row>
    <row r="509" spans="2:2" x14ac:dyDescent="0.2">
      <c r="B509" s="19"/>
    </row>
    <row r="510" spans="2:2" x14ac:dyDescent="0.2">
      <c r="B510" s="19"/>
    </row>
    <row r="511" spans="2:2" x14ac:dyDescent="0.2">
      <c r="B511" s="19"/>
    </row>
    <row r="512" spans="2:2" x14ac:dyDescent="0.2">
      <c r="B512" s="19"/>
    </row>
    <row r="513" spans="2:2" x14ac:dyDescent="0.2">
      <c r="B513" s="19"/>
    </row>
    <row r="514" spans="2:2" x14ac:dyDescent="0.2">
      <c r="B514" s="19"/>
    </row>
    <row r="515" spans="2:2" x14ac:dyDescent="0.2">
      <c r="B515" s="19"/>
    </row>
    <row r="516" spans="2:2" x14ac:dyDescent="0.2">
      <c r="B516" s="19"/>
    </row>
    <row r="517" spans="2:2" x14ac:dyDescent="0.2">
      <c r="B517" s="19"/>
    </row>
    <row r="518" spans="2:2" x14ac:dyDescent="0.2">
      <c r="B518" s="19"/>
    </row>
    <row r="519" spans="2:2" x14ac:dyDescent="0.2">
      <c r="B519" s="19"/>
    </row>
    <row r="520" spans="2:2" x14ac:dyDescent="0.2">
      <c r="B520" s="19"/>
    </row>
    <row r="521" spans="2:2" x14ac:dyDescent="0.2">
      <c r="B521" s="19"/>
    </row>
    <row r="522" spans="2:2" x14ac:dyDescent="0.2">
      <c r="B522" s="19"/>
    </row>
    <row r="523" spans="2:2" x14ac:dyDescent="0.2">
      <c r="B523" s="19"/>
    </row>
    <row r="524" spans="2:2" x14ac:dyDescent="0.2">
      <c r="B524" s="19"/>
    </row>
    <row r="525" spans="2:2" x14ac:dyDescent="0.2">
      <c r="B525" s="19"/>
    </row>
    <row r="526" spans="2:2" x14ac:dyDescent="0.2">
      <c r="B526" s="19"/>
    </row>
    <row r="527" spans="2:2" x14ac:dyDescent="0.2">
      <c r="B527" s="19"/>
    </row>
    <row r="528" spans="2:2" x14ac:dyDescent="0.2">
      <c r="B528" s="19"/>
    </row>
    <row r="529" spans="2:2" x14ac:dyDescent="0.2">
      <c r="B529" s="19"/>
    </row>
    <row r="530" spans="2:2" x14ac:dyDescent="0.2">
      <c r="B530" s="19"/>
    </row>
    <row r="531" spans="2:2" x14ac:dyDescent="0.2">
      <c r="B531" s="19"/>
    </row>
    <row r="532" spans="2:2" x14ac:dyDescent="0.2">
      <c r="B532" s="19"/>
    </row>
    <row r="533" spans="2:2" x14ac:dyDescent="0.2">
      <c r="B533" s="19"/>
    </row>
    <row r="534" spans="2:2" x14ac:dyDescent="0.2">
      <c r="B534" s="19"/>
    </row>
    <row r="535" spans="2:2" x14ac:dyDescent="0.2">
      <c r="B535" s="19"/>
    </row>
    <row r="536" spans="2:2" x14ac:dyDescent="0.2">
      <c r="B536" s="19"/>
    </row>
    <row r="537" spans="2:2" x14ac:dyDescent="0.2">
      <c r="B537" s="19"/>
    </row>
    <row r="538" spans="2:2" x14ac:dyDescent="0.2">
      <c r="B538" s="19"/>
    </row>
    <row r="539" spans="2:2" x14ac:dyDescent="0.2">
      <c r="B539" s="19"/>
    </row>
    <row r="540" spans="2:2" x14ac:dyDescent="0.2">
      <c r="B540" s="19"/>
    </row>
    <row r="541" spans="2:2" x14ac:dyDescent="0.2">
      <c r="B541" s="19"/>
    </row>
    <row r="542" spans="2:2" x14ac:dyDescent="0.2">
      <c r="B542" s="19"/>
    </row>
    <row r="543" spans="2:2" x14ac:dyDescent="0.2">
      <c r="B543" s="19"/>
    </row>
    <row r="544" spans="2:2" x14ac:dyDescent="0.2">
      <c r="B544" s="19"/>
    </row>
    <row r="545" spans="2:2" x14ac:dyDescent="0.2">
      <c r="B545" s="19"/>
    </row>
    <row r="546" spans="2:2" x14ac:dyDescent="0.2">
      <c r="B546" s="19"/>
    </row>
    <row r="547" spans="2:2" x14ac:dyDescent="0.2">
      <c r="B547" s="19"/>
    </row>
    <row r="548" spans="2:2" x14ac:dyDescent="0.2">
      <c r="B548" s="19"/>
    </row>
    <row r="549" spans="2:2" x14ac:dyDescent="0.2">
      <c r="B549" s="19"/>
    </row>
    <row r="550" spans="2:2" x14ac:dyDescent="0.2">
      <c r="B550" s="19"/>
    </row>
    <row r="551" spans="2:2" x14ac:dyDescent="0.2">
      <c r="B551" s="19"/>
    </row>
    <row r="552" spans="2:2" x14ac:dyDescent="0.2">
      <c r="B552" s="19"/>
    </row>
    <row r="553" spans="2:2" x14ac:dyDescent="0.2">
      <c r="B553" s="19"/>
    </row>
    <row r="554" spans="2:2" x14ac:dyDescent="0.2">
      <c r="B554" s="19"/>
    </row>
    <row r="555" spans="2:2" x14ac:dyDescent="0.2">
      <c r="B555" s="19"/>
    </row>
    <row r="556" spans="2:2" x14ac:dyDescent="0.2">
      <c r="B556" s="19"/>
    </row>
    <row r="557" spans="2:2" x14ac:dyDescent="0.2">
      <c r="B557" s="19"/>
    </row>
    <row r="558" spans="2:2" x14ac:dyDescent="0.2">
      <c r="B558" s="19"/>
    </row>
    <row r="559" spans="2:2" x14ac:dyDescent="0.2">
      <c r="B559" s="19"/>
    </row>
    <row r="560" spans="2:2" x14ac:dyDescent="0.2">
      <c r="B560" s="19"/>
    </row>
    <row r="561" spans="2:2" x14ac:dyDescent="0.2">
      <c r="B561" s="19"/>
    </row>
    <row r="562" spans="2:2" x14ac:dyDescent="0.2">
      <c r="B562" s="19"/>
    </row>
    <row r="563" spans="2:2" x14ac:dyDescent="0.2">
      <c r="B563" s="19"/>
    </row>
    <row r="564" spans="2:2" x14ac:dyDescent="0.2">
      <c r="B564" s="19"/>
    </row>
    <row r="565" spans="2:2" x14ac:dyDescent="0.2">
      <c r="B565" s="19"/>
    </row>
    <row r="566" spans="2:2" x14ac:dyDescent="0.2">
      <c r="B566" s="19"/>
    </row>
    <row r="567" spans="2:2" x14ac:dyDescent="0.2">
      <c r="B567" s="19"/>
    </row>
    <row r="568" spans="2:2" x14ac:dyDescent="0.2">
      <c r="B568" s="19"/>
    </row>
    <row r="569" spans="2:2" x14ac:dyDescent="0.2">
      <c r="B569" s="19"/>
    </row>
    <row r="570" spans="2:2" x14ac:dyDescent="0.2">
      <c r="B570" s="19"/>
    </row>
    <row r="571" spans="2:2" x14ac:dyDescent="0.2">
      <c r="B571" s="19"/>
    </row>
    <row r="572" spans="2:2" x14ac:dyDescent="0.2">
      <c r="B572" s="19"/>
    </row>
  </sheetData>
  <autoFilter ref="A15:XFD355" xr:uid="{00000000-0001-0000-0200-000000000000}"/>
  <conditionalFormatting sqref="B16:B66">
    <cfRule type="duplicateValues" dxfId="491" priority="1"/>
    <cfRule type="duplicateValues" dxfId="490" priority="2"/>
    <cfRule type="duplicateValues" dxfId="489" priority="3"/>
    <cfRule type="duplicateValues" dxfId="488" priority="4"/>
  </conditionalFormatting>
  <conditionalFormatting sqref="B67:B278">
    <cfRule type="duplicateValues" dxfId="487" priority="497"/>
  </conditionalFormatting>
  <conditionalFormatting sqref="B67:B1048576 B1:B15">
    <cfRule type="duplicateValues" dxfId="486" priority="501"/>
    <cfRule type="duplicateValues" dxfId="485" priority="500"/>
    <cfRule type="duplicateValues" dxfId="484" priority="499"/>
    <cfRule type="duplicateValues" dxfId="483" priority="498"/>
    <cfRule type="duplicateValues" dxfId="482" priority="502"/>
  </conditionalFormatting>
  <conditionalFormatting sqref="B103:B105">
    <cfRule type="duplicateValues" dxfId="481" priority="496"/>
  </conditionalFormatting>
  <conditionalFormatting sqref="B182:B183">
    <cfRule type="duplicateValues" dxfId="480" priority="495"/>
  </conditionalFormatting>
  <conditionalFormatting sqref="B184:B192">
    <cfRule type="duplicateValues" dxfId="479" priority="494"/>
    <cfRule type="duplicateValues" dxfId="478" priority="493"/>
  </conditionalFormatting>
  <conditionalFormatting sqref="B194">
    <cfRule type="duplicateValues" dxfId="477" priority="492"/>
    <cfRule type="duplicateValues" dxfId="476" priority="491"/>
  </conditionalFormatting>
  <conditionalFormatting sqref="B195:B196">
    <cfRule type="duplicateValues" dxfId="475" priority="490"/>
    <cfRule type="duplicateValues" dxfId="474" priority="489"/>
  </conditionalFormatting>
  <conditionalFormatting sqref="B197:B198">
    <cfRule type="duplicateValues" dxfId="473" priority="488"/>
    <cfRule type="duplicateValues" dxfId="472" priority="487"/>
  </conditionalFormatting>
  <conditionalFormatting sqref="B199:B203">
    <cfRule type="duplicateValues" dxfId="471" priority="485"/>
    <cfRule type="duplicateValues" dxfId="470" priority="486"/>
  </conditionalFormatting>
  <conditionalFormatting sqref="B199:B225">
    <cfRule type="duplicateValues" dxfId="469" priority="484"/>
    <cfRule type="duplicateValues" dxfId="468" priority="483"/>
    <cfRule type="duplicateValues" dxfId="467" priority="482"/>
  </conditionalFormatting>
  <conditionalFormatting sqref="B204:B213">
    <cfRule type="duplicateValues" dxfId="466" priority="481"/>
    <cfRule type="duplicateValues" dxfId="465" priority="480"/>
  </conditionalFormatting>
  <conditionalFormatting sqref="B214:B225">
    <cfRule type="duplicateValues" dxfId="464" priority="479"/>
    <cfRule type="duplicateValues" dxfId="463" priority="478"/>
  </conditionalFormatting>
  <conditionalFormatting sqref="B226:B278">
    <cfRule type="duplicateValues" dxfId="462" priority="477"/>
    <cfRule type="duplicateValues" dxfId="461" priority="476"/>
    <cfRule type="duplicateValues" dxfId="460" priority="475"/>
    <cfRule type="duplicateValues" dxfId="459" priority="474"/>
    <cfRule type="duplicateValues" dxfId="458" priority="473"/>
    <cfRule type="duplicateValues" dxfId="457" priority="460"/>
    <cfRule type="duplicateValues" dxfId="456" priority="465"/>
    <cfRule type="duplicateValues" dxfId="455" priority="461"/>
    <cfRule type="duplicateValues" dxfId="454" priority="466"/>
    <cfRule type="duplicateValues" dxfId="453" priority="467"/>
    <cfRule type="duplicateValues" dxfId="452" priority="462"/>
    <cfRule type="duplicateValues" dxfId="451" priority="469"/>
    <cfRule type="duplicateValues" dxfId="450" priority="470"/>
    <cfRule type="duplicateValues" dxfId="449" priority="471"/>
    <cfRule type="duplicateValues" dxfId="448" priority="472"/>
    <cfRule type="duplicateValues" dxfId="447" priority="468"/>
    <cfRule type="duplicateValues" dxfId="446" priority="463"/>
    <cfRule type="duplicateValues" dxfId="445" priority="464"/>
  </conditionalFormatting>
  <conditionalFormatting sqref="B279:B282">
    <cfRule type="duplicateValues" dxfId="444" priority="459"/>
    <cfRule type="duplicateValues" dxfId="443" priority="458"/>
    <cfRule type="duplicateValues" dxfId="442" priority="457"/>
    <cfRule type="duplicateValues" dxfId="441" priority="456"/>
    <cfRule type="duplicateValues" dxfId="440" priority="454"/>
    <cfRule type="duplicateValues" dxfId="439" priority="453"/>
    <cfRule type="duplicateValues" dxfId="438" priority="452"/>
    <cfRule type="duplicateValues" dxfId="437" priority="451"/>
    <cfRule type="duplicateValues" dxfId="436" priority="448"/>
    <cfRule type="duplicateValues" dxfId="435" priority="447"/>
    <cfRule type="duplicateValues" dxfId="434" priority="446"/>
    <cfRule type="duplicateValues" dxfId="433" priority="450"/>
    <cfRule type="duplicateValues" dxfId="432" priority="444"/>
    <cfRule type="duplicateValues" dxfId="431" priority="455"/>
    <cfRule type="duplicateValues" dxfId="430" priority="443"/>
    <cfRule type="duplicateValues" dxfId="429" priority="442"/>
    <cfRule type="duplicateValues" dxfId="428" priority="441"/>
    <cfRule type="duplicateValues" dxfId="427" priority="449"/>
    <cfRule type="duplicateValues" dxfId="426" priority="445"/>
  </conditionalFormatting>
  <conditionalFormatting sqref="B291:B323 B331:B572">
    <cfRule type="duplicateValues" dxfId="425" priority="428"/>
    <cfRule type="duplicateValues" dxfId="424" priority="427"/>
    <cfRule type="duplicateValues" dxfId="423" priority="426"/>
    <cfRule type="duplicateValues" dxfId="422" priority="425"/>
    <cfRule type="duplicateValues" dxfId="421" priority="424"/>
    <cfRule type="duplicateValues" dxfId="420" priority="423"/>
    <cfRule type="duplicateValues" dxfId="419" priority="422"/>
    <cfRule type="duplicateValues" dxfId="418" priority="439"/>
    <cfRule type="duplicateValues" dxfId="417" priority="438"/>
    <cfRule type="duplicateValues" dxfId="416" priority="437"/>
    <cfRule type="duplicateValues" dxfId="415" priority="436"/>
    <cfRule type="duplicateValues" dxfId="414" priority="435"/>
    <cfRule type="duplicateValues" dxfId="413" priority="434"/>
    <cfRule type="duplicateValues" dxfId="412" priority="433"/>
    <cfRule type="duplicateValues" dxfId="411" priority="440"/>
    <cfRule type="duplicateValues" dxfId="410" priority="432"/>
    <cfRule type="duplicateValues" dxfId="409" priority="431"/>
    <cfRule type="duplicateValues" dxfId="408" priority="430"/>
    <cfRule type="duplicateValues" dxfId="407" priority="429"/>
  </conditionalFormatting>
  <conditionalFormatting sqref="B295:B304">
    <cfRule type="duplicateValues" dxfId="406" priority="421"/>
  </conditionalFormatting>
  <conditionalFormatting sqref="B303:B304">
    <cfRule type="duplicateValues" dxfId="405" priority="420"/>
    <cfRule type="duplicateValues" dxfId="404" priority="419"/>
    <cfRule type="duplicateValues" dxfId="403" priority="418"/>
    <cfRule type="duplicateValues" dxfId="402" priority="417"/>
    <cfRule type="duplicateValues" dxfId="401" priority="416"/>
  </conditionalFormatting>
  <conditionalFormatting sqref="B305:B323">
    <cfRule type="duplicateValues" dxfId="400" priority="411"/>
    <cfRule type="duplicateValues" dxfId="399" priority="415"/>
    <cfRule type="duplicateValues" dxfId="398" priority="414"/>
    <cfRule type="duplicateValues" dxfId="397" priority="413"/>
    <cfRule type="duplicateValues" dxfId="396" priority="412"/>
    <cfRule type="duplicateValues" dxfId="395" priority="410"/>
  </conditionalFormatting>
  <conditionalFormatting sqref="C70:C278">
    <cfRule type="duplicateValues" dxfId="394" priority="409"/>
    <cfRule type="duplicateValues" dxfId="393" priority="408"/>
  </conditionalFormatting>
  <conditionalFormatting sqref="C295:C304">
    <cfRule type="duplicateValues" dxfId="392" priority="396"/>
    <cfRule type="duplicateValues" dxfId="391" priority="395"/>
  </conditionalFormatting>
  <conditionalFormatting sqref="C305:C323">
    <cfRule type="duplicateValues" dxfId="390" priority="394"/>
    <cfRule type="duplicateValues" dxfId="389" priority="393"/>
  </conditionalFormatting>
  <conditionalFormatting sqref="H118:H119">
    <cfRule type="duplicateValues" dxfId="388" priority="392"/>
    <cfRule type="duplicateValues" dxfId="387" priority="391"/>
    <cfRule type="duplicateValues" dxfId="386" priority="390"/>
    <cfRule type="duplicateValues" dxfId="385" priority="389"/>
    <cfRule type="duplicateValues" dxfId="384" priority="388"/>
    <cfRule type="duplicateValues" dxfId="383" priority="387"/>
    <cfRule type="duplicateValues" dxfId="382" priority="385"/>
    <cfRule type="duplicateValues" dxfId="381" priority="384"/>
    <cfRule type="duplicateValues" dxfId="380" priority="386"/>
  </conditionalFormatting>
  <conditionalFormatting sqref="XDS284">
    <cfRule type="duplicateValues" dxfId="379" priority="372"/>
    <cfRule type="duplicateValues" dxfId="378" priority="371"/>
    <cfRule type="duplicateValues" dxfId="377" priority="370"/>
    <cfRule type="duplicateValues" dxfId="376" priority="368"/>
    <cfRule type="duplicateValues" dxfId="375" priority="367"/>
    <cfRule type="duplicateValues" dxfId="374" priority="366"/>
    <cfRule type="duplicateValues" dxfId="373" priority="365"/>
    <cfRule type="duplicateValues" dxfId="372" priority="364"/>
    <cfRule type="duplicateValues" dxfId="371" priority="363"/>
    <cfRule type="duplicateValues" dxfId="370" priority="362"/>
    <cfRule type="duplicateValues" dxfId="369" priority="361"/>
    <cfRule type="duplicateValues" dxfId="368" priority="360"/>
    <cfRule type="duplicateValues" dxfId="367" priority="359"/>
    <cfRule type="duplicateValues" dxfId="366" priority="358"/>
    <cfRule type="duplicateValues" dxfId="365" priority="357"/>
    <cfRule type="duplicateValues" dxfId="364" priority="356"/>
    <cfRule type="duplicateValues" dxfId="363" priority="355"/>
    <cfRule type="duplicateValues" dxfId="362" priority="354"/>
    <cfRule type="duplicateValues" dxfId="361" priority="353"/>
    <cfRule type="duplicateValues" dxfId="360" priority="352"/>
    <cfRule type="duplicateValues" dxfId="359" priority="351"/>
    <cfRule type="duplicateValues" dxfId="358" priority="350"/>
    <cfRule type="duplicateValues" dxfId="357" priority="349"/>
    <cfRule type="duplicateValues" dxfId="356" priority="369"/>
    <cfRule type="duplicateValues" dxfId="355" priority="383"/>
    <cfRule type="duplicateValues" dxfId="354" priority="382"/>
    <cfRule type="duplicateValues" dxfId="353" priority="381"/>
    <cfRule type="duplicateValues" dxfId="352" priority="380"/>
    <cfRule type="duplicateValues" dxfId="351" priority="379"/>
    <cfRule type="duplicateValues" dxfId="350" priority="378"/>
    <cfRule type="duplicateValues" dxfId="349" priority="377"/>
    <cfRule type="duplicateValues" dxfId="348" priority="376"/>
    <cfRule type="duplicateValues" dxfId="347" priority="375"/>
    <cfRule type="duplicateValues" dxfId="346" priority="374"/>
    <cfRule type="duplicateValues" dxfId="345" priority="373"/>
  </conditionalFormatting>
  <conditionalFormatting sqref="XDT284">
    <cfRule type="duplicateValues" dxfId="344" priority="347"/>
    <cfRule type="duplicateValues" dxfId="343" priority="348"/>
  </conditionalFormatting>
  <conditionalFormatting sqref="XDY124">
    <cfRule type="duplicateValues" dxfId="342" priority="336"/>
    <cfRule type="duplicateValues" dxfId="341" priority="335"/>
    <cfRule type="duplicateValues" dxfId="340" priority="334"/>
    <cfRule type="duplicateValues" dxfId="339" priority="333"/>
    <cfRule type="duplicateValues" dxfId="338" priority="332"/>
    <cfRule type="duplicateValues" dxfId="337" priority="346"/>
    <cfRule type="duplicateValues" dxfId="336" priority="345"/>
    <cfRule type="duplicateValues" dxfId="335" priority="344"/>
    <cfRule type="duplicateValues" dxfId="334" priority="343"/>
    <cfRule type="duplicateValues" dxfId="333" priority="342"/>
    <cfRule type="duplicateValues" dxfId="332" priority="341"/>
    <cfRule type="duplicateValues" dxfId="331" priority="340"/>
    <cfRule type="duplicateValues" dxfId="330" priority="339"/>
    <cfRule type="duplicateValues" dxfId="329" priority="338"/>
    <cfRule type="duplicateValues" dxfId="328" priority="337"/>
  </conditionalFormatting>
  <conditionalFormatting sqref="XDZ124">
    <cfRule type="duplicateValues" dxfId="327" priority="331"/>
  </conditionalFormatting>
  <conditionalFormatting sqref="XEB181">
    <cfRule type="duplicateValues" dxfId="326" priority="330"/>
    <cfRule type="duplicateValues" dxfId="325" priority="329"/>
    <cfRule type="duplicateValues" dxfId="324" priority="328"/>
    <cfRule type="duplicateValues" dxfId="323" priority="327"/>
    <cfRule type="duplicateValues" dxfId="322" priority="326"/>
    <cfRule type="duplicateValues" dxfId="321" priority="325"/>
    <cfRule type="duplicateValues" dxfId="320" priority="324"/>
    <cfRule type="duplicateValues" dxfId="319" priority="323"/>
    <cfRule type="duplicateValues" dxfId="318" priority="321"/>
    <cfRule type="duplicateValues" dxfId="317" priority="322"/>
    <cfRule type="duplicateValues" dxfId="316" priority="319"/>
    <cfRule type="duplicateValues" dxfId="315" priority="318"/>
    <cfRule type="duplicateValues" dxfId="314" priority="317"/>
    <cfRule type="duplicateValues" dxfId="313" priority="320"/>
  </conditionalFormatting>
  <conditionalFormatting sqref="XEC181">
    <cfRule type="duplicateValues" dxfId="312" priority="316"/>
  </conditionalFormatting>
  <conditionalFormatting sqref="XEG269">
    <cfRule type="duplicateValues" dxfId="311" priority="303"/>
    <cfRule type="duplicateValues" dxfId="310" priority="302"/>
    <cfRule type="duplicateValues" dxfId="309" priority="301"/>
    <cfRule type="duplicateValues" dxfId="308" priority="300"/>
    <cfRule type="duplicateValues" dxfId="307" priority="299"/>
    <cfRule type="duplicateValues" dxfId="306" priority="307"/>
    <cfRule type="duplicateValues" dxfId="305" priority="298"/>
    <cfRule type="duplicateValues" dxfId="304" priority="296"/>
    <cfRule type="duplicateValues" dxfId="303" priority="295"/>
    <cfRule type="duplicateValues" dxfId="302" priority="294"/>
    <cfRule type="duplicateValues" dxfId="301" priority="293"/>
    <cfRule type="duplicateValues" dxfId="300" priority="292"/>
    <cfRule type="duplicateValues" dxfId="299" priority="291"/>
    <cfRule type="duplicateValues" dxfId="298" priority="290"/>
    <cfRule type="duplicateValues" dxfId="297" priority="289"/>
    <cfRule type="duplicateValues" dxfId="296" priority="288"/>
    <cfRule type="duplicateValues" dxfId="295" priority="287"/>
    <cfRule type="duplicateValues" dxfId="294" priority="286"/>
    <cfRule type="duplicateValues" dxfId="293" priority="285"/>
    <cfRule type="duplicateValues" dxfId="292" priority="284"/>
    <cfRule type="duplicateValues" dxfId="291" priority="283"/>
    <cfRule type="duplicateValues" dxfId="290" priority="282"/>
    <cfRule type="duplicateValues" dxfId="289" priority="281"/>
    <cfRule type="duplicateValues" dxfId="288" priority="297"/>
    <cfRule type="duplicateValues" dxfId="287" priority="315"/>
    <cfRule type="duplicateValues" dxfId="286" priority="314"/>
    <cfRule type="duplicateValues" dxfId="285" priority="313"/>
    <cfRule type="duplicateValues" dxfId="284" priority="312"/>
    <cfRule type="duplicateValues" dxfId="283" priority="311"/>
    <cfRule type="duplicateValues" dxfId="282" priority="310"/>
    <cfRule type="duplicateValues" dxfId="281" priority="309"/>
    <cfRule type="duplicateValues" dxfId="280" priority="308"/>
    <cfRule type="duplicateValues" dxfId="279" priority="306"/>
    <cfRule type="duplicateValues" dxfId="278" priority="305"/>
    <cfRule type="duplicateValues" dxfId="277" priority="304"/>
  </conditionalFormatting>
  <conditionalFormatting sqref="XEH73">
    <cfRule type="duplicateValues" dxfId="276" priority="268"/>
    <cfRule type="duplicateValues" dxfId="275" priority="280"/>
    <cfRule type="duplicateValues" dxfId="274" priority="279"/>
    <cfRule type="duplicateValues" dxfId="273" priority="278"/>
    <cfRule type="duplicateValues" dxfId="272" priority="277"/>
    <cfRule type="duplicateValues" dxfId="271" priority="276"/>
    <cfRule type="duplicateValues" dxfId="270" priority="275"/>
    <cfRule type="duplicateValues" dxfId="269" priority="274"/>
    <cfRule type="duplicateValues" dxfId="268" priority="273"/>
    <cfRule type="duplicateValues" dxfId="267" priority="272"/>
    <cfRule type="duplicateValues" dxfId="266" priority="271"/>
    <cfRule type="duplicateValues" dxfId="265" priority="270"/>
    <cfRule type="duplicateValues" dxfId="264" priority="269"/>
  </conditionalFormatting>
  <conditionalFormatting sqref="XEH269">
    <cfRule type="duplicateValues" dxfId="263" priority="266"/>
    <cfRule type="duplicateValues" dxfId="262" priority="267"/>
  </conditionalFormatting>
  <conditionalFormatting sqref="XEH290">
    <cfRule type="duplicateValues" dxfId="261" priority="265"/>
    <cfRule type="duplicateValues" dxfId="260" priority="264"/>
    <cfRule type="duplicateValues" dxfId="259" priority="263"/>
    <cfRule type="duplicateValues" dxfId="258" priority="262"/>
    <cfRule type="duplicateValues" dxfId="257" priority="260"/>
    <cfRule type="duplicateValues" dxfId="256" priority="259"/>
    <cfRule type="duplicateValues" dxfId="255" priority="258"/>
    <cfRule type="duplicateValues" dxfId="254" priority="257"/>
    <cfRule type="duplicateValues" dxfId="253" priority="256"/>
    <cfRule type="duplicateValues" dxfId="252" priority="255"/>
    <cfRule type="duplicateValues" dxfId="251" priority="254"/>
    <cfRule type="duplicateValues" dxfId="250" priority="253"/>
    <cfRule type="duplicateValues" dxfId="249" priority="252"/>
    <cfRule type="duplicateValues" dxfId="248" priority="251"/>
    <cfRule type="duplicateValues" dxfId="247" priority="250"/>
    <cfRule type="duplicateValues" dxfId="246" priority="261"/>
  </conditionalFormatting>
  <conditionalFormatting sqref="XEI73">
    <cfRule type="duplicateValues" dxfId="245" priority="249"/>
  </conditionalFormatting>
  <conditionalFormatting sqref="XEJ94">
    <cfRule type="duplicateValues" dxfId="244" priority="248"/>
    <cfRule type="duplicateValues" dxfId="243" priority="236"/>
    <cfRule type="duplicateValues" dxfId="242" priority="237"/>
    <cfRule type="duplicateValues" dxfId="241" priority="238"/>
    <cfRule type="duplicateValues" dxfId="240" priority="239"/>
    <cfRule type="duplicateValues" dxfId="239" priority="240"/>
    <cfRule type="duplicateValues" dxfId="238" priority="241"/>
    <cfRule type="duplicateValues" dxfId="237" priority="242"/>
    <cfRule type="duplicateValues" dxfId="236" priority="243"/>
    <cfRule type="duplicateValues" dxfId="235" priority="244"/>
    <cfRule type="duplicateValues" dxfId="234" priority="245"/>
    <cfRule type="duplicateValues" dxfId="233" priority="246"/>
    <cfRule type="duplicateValues" dxfId="232" priority="247"/>
  </conditionalFormatting>
  <conditionalFormatting sqref="XEJ330">
    <cfRule type="duplicateValues" dxfId="231" priority="232"/>
    <cfRule type="duplicateValues" dxfId="230" priority="234"/>
    <cfRule type="duplicateValues" dxfId="229" priority="235"/>
    <cfRule type="duplicateValues" dxfId="228" priority="233"/>
    <cfRule type="duplicateValues" dxfId="227" priority="231"/>
  </conditionalFormatting>
  <conditionalFormatting sqref="XEK94">
    <cfRule type="duplicateValues" dxfId="226" priority="230"/>
  </conditionalFormatting>
  <conditionalFormatting sqref="XEK283">
    <cfRule type="duplicateValues" dxfId="225" priority="223"/>
    <cfRule type="duplicateValues" dxfId="224" priority="222"/>
    <cfRule type="duplicateValues" dxfId="223" priority="221"/>
    <cfRule type="duplicateValues" dxfId="222" priority="220"/>
    <cfRule type="duplicateValues" dxfId="221" priority="219"/>
    <cfRule type="duplicateValues" dxfId="220" priority="218"/>
    <cfRule type="duplicateValues" dxfId="219" priority="217"/>
    <cfRule type="duplicateValues" dxfId="218" priority="216"/>
    <cfRule type="duplicateValues" dxfId="217" priority="215"/>
    <cfRule type="duplicateValues" dxfId="216" priority="214"/>
    <cfRule type="duplicateValues" dxfId="215" priority="226"/>
    <cfRule type="duplicateValues" dxfId="214" priority="225"/>
    <cfRule type="duplicateValues" dxfId="213" priority="224"/>
    <cfRule type="duplicateValues" dxfId="212" priority="229"/>
    <cfRule type="duplicateValues" dxfId="211" priority="228"/>
    <cfRule type="duplicateValues" dxfId="210" priority="227"/>
  </conditionalFormatting>
  <conditionalFormatting sqref="XEK284">
    <cfRule type="duplicateValues" dxfId="209" priority="213"/>
    <cfRule type="duplicateValues" dxfId="208" priority="212"/>
    <cfRule type="duplicateValues" dxfId="207" priority="211"/>
    <cfRule type="duplicateValues" dxfId="206" priority="210"/>
    <cfRule type="duplicateValues" dxfId="205" priority="209"/>
    <cfRule type="duplicateValues" dxfId="204" priority="208"/>
    <cfRule type="duplicateValues" dxfId="203" priority="207"/>
    <cfRule type="duplicateValues" dxfId="202" priority="206"/>
    <cfRule type="duplicateValues" dxfId="201" priority="205"/>
    <cfRule type="duplicateValues" dxfId="200" priority="204"/>
    <cfRule type="duplicateValues" dxfId="199" priority="203"/>
    <cfRule type="duplicateValues" dxfId="198" priority="202"/>
    <cfRule type="duplicateValues" dxfId="197" priority="198"/>
    <cfRule type="duplicateValues" dxfId="196" priority="199"/>
    <cfRule type="duplicateValues" dxfId="195" priority="200"/>
    <cfRule type="duplicateValues" dxfId="194" priority="201"/>
  </conditionalFormatting>
  <conditionalFormatting sqref="XEK285:XEK289">
    <cfRule type="duplicateValues" dxfId="193" priority="184"/>
    <cfRule type="duplicateValues" dxfId="192" priority="183"/>
    <cfRule type="duplicateValues" dxfId="191" priority="182"/>
    <cfRule type="duplicateValues" dxfId="190" priority="196"/>
    <cfRule type="duplicateValues" dxfId="189" priority="185"/>
    <cfRule type="duplicateValues" dxfId="188" priority="194"/>
    <cfRule type="duplicateValues" dxfId="187" priority="193"/>
    <cfRule type="duplicateValues" dxfId="186" priority="197"/>
    <cfRule type="duplicateValues" dxfId="185" priority="189"/>
    <cfRule type="duplicateValues" dxfId="184" priority="195"/>
    <cfRule type="duplicateValues" dxfId="183" priority="188"/>
    <cfRule type="duplicateValues" dxfId="182" priority="187"/>
    <cfRule type="duplicateValues" dxfId="181" priority="186"/>
    <cfRule type="duplicateValues" dxfId="180" priority="192"/>
    <cfRule type="duplicateValues" dxfId="179" priority="191"/>
    <cfRule type="duplicateValues" dxfId="178" priority="190"/>
  </conditionalFormatting>
  <conditionalFormatting sqref="XEM151">
    <cfRule type="duplicateValues" dxfId="177" priority="180"/>
    <cfRule type="duplicateValues" dxfId="176" priority="181"/>
  </conditionalFormatting>
  <conditionalFormatting sqref="XEP347">
    <cfRule type="duplicateValues" dxfId="175" priority="167"/>
    <cfRule type="duplicateValues" dxfId="174" priority="166"/>
    <cfRule type="duplicateValues" dxfId="173" priority="165"/>
    <cfRule type="duplicateValues" dxfId="172" priority="164"/>
    <cfRule type="duplicateValues" dxfId="171" priority="163"/>
    <cfRule type="duplicateValues" dxfId="170" priority="162"/>
    <cfRule type="duplicateValues" dxfId="169" priority="161"/>
    <cfRule type="duplicateValues" dxfId="168" priority="160"/>
    <cfRule type="duplicateValues" dxfId="167" priority="159"/>
    <cfRule type="duplicateValues" dxfId="166" priority="158"/>
    <cfRule type="duplicateValues" dxfId="165" priority="157"/>
    <cfRule type="duplicateValues" dxfId="164" priority="156"/>
    <cfRule type="duplicateValues" dxfId="163" priority="179"/>
    <cfRule type="duplicateValues" dxfId="162" priority="178"/>
    <cfRule type="duplicateValues" dxfId="161" priority="177"/>
    <cfRule type="duplicateValues" dxfId="160" priority="176"/>
    <cfRule type="duplicateValues" dxfId="159" priority="175"/>
    <cfRule type="duplicateValues" dxfId="158" priority="174"/>
    <cfRule type="duplicateValues" dxfId="157" priority="173"/>
    <cfRule type="duplicateValues" dxfId="156" priority="172"/>
    <cfRule type="duplicateValues" dxfId="155" priority="171"/>
    <cfRule type="duplicateValues" dxfId="154" priority="170"/>
    <cfRule type="duplicateValues" dxfId="153" priority="169"/>
    <cfRule type="duplicateValues" dxfId="152" priority="168"/>
  </conditionalFormatting>
  <conditionalFormatting sqref="XER268">
    <cfRule type="duplicateValues" dxfId="151" priority="143"/>
    <cfRule type="duplicateValues" dxfId="150" priority="142"/>
    <cfRule type="duplicateValues" dxfId="149" priority="141"/>
    <cfRule type="duplicateValues" dxfId="148" priority="140"/>
    <cfRule type="duplicateValues" dxfId="147" priority="139"/>
    <cfRule type="duplicateValues" dxfId="146" priority="138"/>
    <cfRule type="duplicateValues" dxfId="145" priority="155"/>
    <cfRule type="duplicateValues" dxfId="144" priority="136"/>
    <cfRule type="duplicateValues" dxfId="143" priority="135"/>
    <cfRule type="duplicateValues" dxfId="142" priority="134"/>
    <cfRule type="duplicateValues" dxfId="141" priority="133"/>
    <cfRule type="duplicateValues" dxfId="140" priority="132"/>
    <cfRule type="duplicateValues" dxfId="139" priority="131"/>
    <cfRule type="duplicateValues" dxfId="138" priority="130"/>
    <cfRule type="duplicateValues" dxfId="137" priority="129"/>
    <cfRule type="duplicateValues" dxfId="136" priority="128"/>
    <cfRule type="duplicateValues" dxfId="135" priority="127"/>
    <cfRule type="duplicateValues" dxfId="134" priority="126"/>
    <cfRule type="duplicateValues" dxfId="133" priority="125"/>
    <cfRule type="duplicateValues" dxfId="132" priority="124"/>
    <cfRule type="duplicateValues" dxfId="131" priority="137"/>
    <cfRule type="duplicateValues" dxfId="130" priority="122"/>
    <cfRule type="duplicateValues" dxfId="129" priority="121"/>
    <cfRule type="duplicateValues" dxfId="128" priority="154"/>
    <cfRule type="duplicateValues" dxfId="127" priority="153"/>
    <cfRule type="duplicateValues" dxfId="126" priority="152"/>
    <cfRule type="duplicateValues" dxfId="125" priority="151"/>
    <cfRule type="duplicateValues" dxfId="124" priority="150"/>
    <cfRule type="duplicateValues" dxfId="123" priority="149"/>
    <cfRule type="duplicateValues" dxfId="122" priority="148"/>
    <cfRule type="duplicateValues" dxfId="121" priority="147"/>
    <cfRule type="duplicateValues" dxfId="120" priority="146"/>
    <cfRule type="duplicateValues" dxfId="119" priority="145"/>
    <cfRule type="duplicateValues" dxfId="118" priority="144"/>
    <cfRule type="duplicateValues" dxfId="117" priority="123"/>
  </conditionalFormatting>
  <conditionalFormatting sqref="XER269">
    <cfRule type="duplicateValues" dxfId="116" priority="108"/>
    <cfRule type="duplicateValues" dxfId="115" priority="107"/>
    <cfRule type="duplicateValues" dxfId="114" priority="106"/>
    <cfRule type="duplicateValues" dxfId="113" priority="105"/>
    <cfRule type="duplicateValues" dxfId="112" priority="104"/>
    <cfRule type="duplicateValues" dxfId="111" priority="103"/>
    <cfRule type="duplicateValues" dxfId="110" priority="102"/>
    <cfRule type="duplicateValues" dxfId="109" priority="101"/>
    <cfRule type="duplicateValues" dxfId="108" priority="100"/>
    <cfRule type="duplicateValues" dxfId="107" priority="99"/>
    <cfRule type="duplicateValues" dxfId="106" priority="98"/>
    <cfRule type="duplicateValues" dxfId="105" priority="97"/>
    <cfRule type="duplicateValues" dxfId="104" priority="96"/>
    <cfRule type="duplicateValues" dxfId="103" priority="95"/>
    <cfRule type="duplicateValues" dxfId="102" priority="94"/>
    <cfRule type="duplicateValues" dxfId="101" priority="93"/>
    <cfRule type="duplicateValues" dxfId="100" priority="92"/>
    <cfRule type="duplicateValues" dxfId="99" priority="91"/>
    <cfRule type="duplicateValues" dxfId="98" priority="90"/>
    <cfRule type="duplicateValues" dxfId="97" priority="89"/>
    <cfRule type="duplicateValues" dxfId="96" priority="88"/>
    <cfRule type="duplicateValues" dxfId="95" priority="87"/>
    <cfRule type="duplicateValues" dxfId="94" priority="86"/>
    <cfRule type="duplicateValues" dxfId="93" priority="120"/>
    <cfRule type="duplicateValues" dxfId="92" priority="119"/>
    <cfRule type="duplicateValues" dxfId="91" priority="118"/>
    <cfRule type="duplicateValues" dxfId="90" priority="117"/>
    <cfRule type="duplicateValues" dxfId="89" priority="116"/>
    <cfRule type="duplicateValues" dxfId="88" priority="115"/>
    <cfRule type="duplicateValues" dxfId="87" priority="114"/>
    <cfRule type="duplicateValues" dxfId="86" priority="113"/>
    <cfRule type="duplicateValues" dxfId="85" priority="112"/>
    <cfRule type="duplicateValues" dxfId="84" priority="111"/>
    <cfRule type="duplicateValues" dxfId="83" priority="110"/>
    <cfRule type="duplicateValues" dxfId="82" priority="109"/>
  </conditionalFormatting>
  <conditionalFormatting sqref="XER270">
    <cfRule type="duplicateValues" dxfId="81" priority="73"/>
    <cfRule type="duplicateValues" dxfId="80" priority="72"/>
    <cfRule type="duplicateValues" dxfId="79" priority="71"/>
    <cfRule type="duplicateValues" dxfId="78" priority="70"/>
    <cfRule type="duplicateValues" dxfId="77" priority="69"/>
    <cfRule type="duplicateValues" dxfId="76" priority="68"/>
    <cfRule type="duplicateValues" dxfId="75" priority="67"/>
    <cfRule type="duplicateValues" dxfId="74" priority="66"/>
    <cfRule type="duplicateValues" dxfId="73" priority="65"/>
    <cfRule type="duplicateValues" dxfId="72" priority="64"/>
    <cfRule type="duplicateValues" dxfId="71" priority="63"/>
    <cfRule type="duplicateValues" dxfId="70" priority="61"/>
    <cfRule type="duplicateValues" dxfId="69" priority="60"/>
    <cfRule type="duplicateValues" dxfId="68" priority="59"/>
    <cfRule type="duplicateValues" dxfId="67" priority="58"/>
    <cfRule type="duplicateValues" dxfId="66" priority="57"/>
    <cfRule type="duplicateValues" dxfId="65" priority="56"/>
    <cfRule type="duplicateValues" dxfId="64" priority="55"/>
    <cfRule type="duplicateValues" dxfId="63" priority="54"/>
    <cfRule type="duplicateValues" dxfId="62" priority="62"/>
    <cfRule type="duplicateValues" dxfId="61" priority="53"/>
    <cfRule type="duplicateValues" dxfId="60" priority="52"/>
    <cfRule type="duplicateValues" dxfId="59" priority="51"/>
    <cfRule type="duplicateValues" dxfId="58" priority="85"/>
    <cfRule type="duplicateValues" dxfId="57" priority="83"/>
    <cfRule type="duplicateValues" dxfId="56" priority="84"/>
    <cfRule type="duplicateValues" dxfId="55" priority="82"/>
    <cfRule type="duplicateValues" dxfId="54" priority="81"/>
    <cfRule type="duplicateValues" dxfId="53" priority="80"/>
    <cfRule type="duplicateValues" dxfId="52" priority="79"/>
    <cfRule type="duplicateValues" dxfId="51" priority="78"/>
    <cfRule type="duplicateValues" dxfId="50" priority="77"/>
    <cfRule type="duplicateValues" dxfId="49" priority="76"/>
    <cfRule type="duplicateValues" dxfId="48" priority="75"/>
    <cfRule type="duplicateValues" dxfId="47" priority="74"/>
  </conditionalFormatting>
  <conditionalFormatting sqref="XER330 XEJ330">
    <cfRule type="duplicateValues" dxfId="46" priority="50"/>
  </conditionalFormatting>
  <conditionalFormatting sqref="XER330">
    <cfRule type="duplicateValues" dxfId="45" priority="49"/>
    <cfRule type="duplicateValues" dxfId="44" priority="48"/>
    <cfRule type="duplicateValues" dxfId="43" priority="47"/>
    <cfRule type="duplicateValues" dxfId="42" priority="46"/>
    <cfRule type="duplicateValues" dxfId="41" priority="45"/>
  </conditionalFormatting>
  <conditionalFormatting sqref="XER342">
    <cfRule type="duplicateValues" dxfId="40" priority="32"/>
    <cfRule type="duplicateValues" dxfId="39" priority="31"/>
    <cfRule type="duplicateValues" dxfId="38" priority="30"/>
    <cfRule type="duplicateValues" dxfId="37" priority="29"/>
    <cfRule type="duplicateValues" dxfId="36" priority="28"/>
    <cfRule type="duplicateValues" dxfId="35" priority="27"/>
    <cfRule type="duplicateValues" dxfId="34" priority="26"/>
    <cfRule type="duplicateValues" dxfId="33" priority="25"/>
    <cfRule type="duplicateValues" dxfId="32" priority="24"/>
    <cfRule type="duplicateValues" dxfId="31" priority="23"/>
    <cfRule type="duplicateValues" dxfId="30" priority="22"/>
    <cfRule type="duplicateValues" dxfId="29" priority="44"/>
    <cfRule type="duplicateValues" dxfId="28" priority="43"/>
    <cfRule type="duplicateValues" dxfId="27" priority="42"/>
    <cfRule type="duplicateValues" dxfId="26" priority="21"/>
    <cfRule type="duplicateValues" dxfId="25" priority="41"/>
    <cfRule type="duplicateValues" dxfId="24" priority="40"/>
    <cfRule type="duplicateValues" dxfId="23" priority="39"/>
    <cfRule type="duplicateValues" dxfId="22" priority="38"/>
    <cfRule type="duplicateValues" dxfId="21" priority="37"/>
    <cfRule type="duplicateValues" dxfId="20" priority="36"/>
    <cfRule type="duplicateValues" dxfId="19" priority="35"/>
    <cfRule type="duplicateValues" dxfId="18" priority="34"/>
    <cfRule type="duplicateValues" dxfId="17" priority="33"/>
  </conditionalFormatting>
  <conditionalFormatting sqref="XES268">
    <cfRule type="duplicateValues" dxfId="16" priority="19"/>
    <cfRule type="duplicateValues" dxfId="15" priority="20"/>
  </conditionalFormatting>
  <conditionalFormatting sqref="XES269">
    <cfRule type="duplicateValues" dxfId="14" priority="18"/>
    <cfRule type="duplicateValues" dxfId="13" priority="17"/>
  </conditionalFormatting>
  <conditionalFormatting sqref="XES270">
    <cfRule type="duplicateValues" dxfId="12" priority="16"/>
    <cfRule type="duplicateValues" dxfId="11" priority="15"/>
  </conditionalFormatting>
  <conditionalFormatting sqref="XES330 XEK330">
    <cfRule type="duplicateValues" dxfId="10" priority="14"/>
    <cfRule type="duplicateValues" dxfId="9" priority="13"/>
  </conditionalFormatting>
  <conditionalFormatting sqref="XEX324:XEX329 B324:B330">
    <cfRule type="duplicateValues" dxfId="8" priority="12"/>
  </conditionalFormatting>
  <conditionalFormatting sqref="XEX324:XEX329">
    <cfRule type="duplicateValues" dxfId="7" priority="8"/>
    <cfRule type="duplicateValues" dxfId="6" priority="7"/>
    <cfRule type="duplicateValues" dxfId="5" priority="11"/>
    <cfRule type="duplicateValues" dxfId="4" priority="10"/>
    <cfRule type="duplicateValues" dxfId="3" priority="9"/>
  </conditionalFormatting>
  <conditionalFormatting sqref="XEY324:XEY329 C324:C340">
    <cfRule type="duplicateValues" dxfId="2" priority="6"/>
    <cfRule type="duplicateValues" dxfId="1" priority="5"/>
  </conditionalFormatting>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A1:J79"/>
  <sheetViews>
    <sheetView view="pageBreakPreview" topLeftCell="A70" zoomScale="90" zoomScaleNormal="90" zoomScaleSheetLayoutView="90" workbookViewId="0">
      <selection activeCell="G89" sqref="G89"/>
    </sheetView>
  </sheetViews>
  <sheetFormatPr defaultColWidth="9" defaultRowHeight="15" x14ac:dyDescent="0.25"/>
  <cols>
    <col min="1" max="1" width="15.875" style="26" customWidth="1"/>
    <col min="2" max="3" width="15.625" style="26" customWidth="1"/>
    <col min="4" max="4" width="17" style="26" customWidth="1"/>
    <col min="5" max="6" width="15.625" style="26" customWidth="1"/>
    <col min="7" max="7" width="19.75" style="26" customWidth="1"/>
    <col min="8" max="16384" width="9" style="26"/>
  </cols>
  <sheetData>
    <row r="1" spans="1:7" ht="31.5" x14ac:dyDescent="0.25">
      <c r="A1" s="90" t="s">
        <v>891</v>
      </c>
    </row>
    <row r="3" spans="1:7" ht="31.5" x14ac:dyDescent="0.25">
      <c r="A3" s="90" t="s">
        <v>892</v>
      </c>
    </row>
    <row r="5" spans="1:7" ht="78.75" x14ac:dyDescent="0.25">
      <c r="A5" s="91" t="s">
        <v>893</v>
      </c>
      <c r="B5" s="91" t="s">
        <v>1004</v>
      </c>
      <c r="C5" s="91" t="s">
        <v>1064</v>
      </c>
      <c r="D5" s="91" t="s">
        <v>1065</v>
      </c>
      <c r="E5" s="91" t="s">
        <v>1066</v>
      </c>
      <c r="F5" s="91" t="s">
        <v>1067</v>
      </c>
      <c r="G5" s="91" t="s">
        <v>1006</v>
      </c>
    </row>
    <row r="6" spans="1:7" ht="15.75" x14ac:dyDescent="0.25">
      <c r="A6" s="86">
        <v>46266</v>
      </c>
      <c r="B6" s="71">
        <f>'VP SÁNG '!I9</f>
        <v>25</v>
      </c>
      <c r="C6" s="71">
        <v>0</v>
      </c>
      <c r="D6" s="71">
        <f>'VP SÁNG '!I10</f>
        <v>336</v>
      </c>
      <c r="E6" s="72">
        <f>'CHIỀU '!I10</f>
        <v>3</v>
      </c>
      <c r="F6" s="72">
        <f>'CHIỀU '!I11</f>
        <v>13</v>
      </c>
      <c r="G6" s="72">
        <f>SUM(B6:F6)</f>
        <v>377</v>
      </c>
    </row>
    <row r="7" spans="1:7" ht="15.75" x14ac:dyDescent="0.25">
      <c r="A7" s="86">
        <v>46267</v>
      </c>
      <c r="B7" s="71">
        <f>'VP SÁNG '!J9</f>
        <v>0</v>
      </c>
      <c r="C7" s="71">
        <v>0</v>
      </c>
      <c r="D7" s="71">
        <f>'VP SÁNG '!J10</f>
        <v>0</v>
      </c>
      <c r="E7" s="72">
        <f>'CHIỀU '!J10</f>
        <v>0</v>
      </c>
      <c r="F7" s="72">
        <f>'CHIỀU '!J11</f>
        <v>0</v>
      </c>
      <c r="G7" s="72">
        <f t="shared" ref="G7:G35" si="0">SUM(B7:F7)</f>
        <v>0</v>
      </c>
    </row>
    <row r="8" spans="1:7" ht="15.75" x14ac:dyDescent="0.25">
      <c r="A8" s="86">
        <v>46268</v>
      </c>
      <c r="B8" s="71">
        <f>'VP SÁNG '!K9</f>
        <v>0</v>
      </c>
      <c r="C8" s="71">
        <v>0</v>
      </c>
      <c r="D8" s="71">
        <f>'VP SÁNG '!K10</f>
        <v>0</v>
      </c>
      <c r="E8" s="72">
        <f>'CHIỀU '!K10</f>
        <v>0</v>
      </c>
      <c r="F8" s="72">
        <f>'CHIỀU '!K11</f>
        <v>0</v>
      </c>
      <c r="G8" s="72">
        <f t="shared" si="0"/>
        <v>0</v>
      </c>
    </row>
    <row r="9" spans="1:7" ht="15.75" x14ac:dyDescent="0.25">
      <c r="A9" s="86">
        <v>46269</v>
      </c>
      <c r="B9" s="71">
        <f>'VP SÁNG '!L9</f>
        <v>25</v>
      </c>
      <c r="C9" s="71">
        <v>0</v>
      </c>
      <c r="D9" s="71">
        <f>'VP SÁNG '!L10</f>
        <v>333</v>
      </c>
      <c r="E9" s="72">
        <f>'CHIỀU '!L10</f>
        <v>3</v>
      </c>
      <c r="F9" s="72">
        <f>'CHIỀU '!L11</f>
        <v>127</v>
      </c>
      <c r="G9" s="72">
        <f t="shared" si="0"/>
        <v>488</v>
      </c>
    </row>
    <row r="10" spans="1:7" ht="15.75" x14ac:dyDescent="0.25">
      <c r="A10" s="86">
        <v>46270</v>
      </c>
      <c r="B10" s="71">
        <f>'VP SÁNG '!M9</f>
        <v>24</v>
      </c>
      <c r="C10" s="71">
        <v>0</v>
      </c>
      <c r="D10" s="71">
        <f>'VP SÁNG '!M10</f>
        <v>339</v>
      </c>
      <c r="E10" s="72">
        <f>'CHIỀU '!M10</f>
        <v>3</v>
      </c>
      <c r="F10" s="72">
        <f>'CHIỀU '!M11</f>
        <v>15</v>
      </c>
      <c r="G10" s="72">
        <f t="shared" si="0"/>
        <v>381</v>
      </c>
    </row>
    <row r="11" spans="1:7" ht="15.75" x14ac:dyDescent="0.25">
      <c r="A11" s="86">
        <v>46271</v>
      </c>
      <c r="B11" s="71">
        <f>'VP SÁNG '!N9</f>
        <v>5</v>
      </c>
      <c r="C11" s="71">
        <v>0</v>
      </c>
      <c r="D11" s="71">
        <f>'VP SÁNG '!N10</f>
        <v>67</v>
      </c>
      <c r="E11" s="72">
        <f>'CHIỀU '!N10</f>
        <v>0</v>
      </c>
      <c r="F11" s="72">
        <f>'CHIỀU '!N11</f>
        <v>0</v>
      </c>
      <c r="G11" s="72">
        <f t="shared" si="0"/>
        <v>72</v>
      </c>
    </row>
    <row r="12" spans="1:7" ht="15.75" x14ac:dyDescent="0.25">
      <c r="A12" s="86">
        <v>46272</v>
      </c>
      <c r="B12" s="71">
        <f>'VP SÁNG '!O9</f>
        <v>25</v>
      </c>
      <c r="C12" s="71">
        <v>0</v>
      </c>
      <c r="D12" s="71">
        <f>'VP SÁNG '!O10</f>
        <v>345</v>
      </c>
      <c r="E12" s="72">
        <f>'CHIỀU '!O10</f>
        <v>3</v>
      </c>
      <c r="F12" s="72">
        <f>'CHIỀU '!O11</f>
        <v>121</v>
      </c>
      <c r="G12" s="72">
        <f t="shared" si="0"/>
        <v>494</v>
      </c>
    </row>
    <row r="13" spans="1:7" ht="15.75" x14ac:dyDescent="0.25">
      <c r="A13" s="86">
        <v>46273</v>
      </c>
      <c r="B13" s="71">
        <f>'VP SÁNG '!P9</f>
        <v>25</v>
      </c>
      <c r="C13" s="71">
        <v>0</v>
      </c>
      <c r="D13" s="71">
        <f>'VP SÁNG '!P10</f>
        <v>304</v>
      </c>
      <c r="E13" s="72">
        <f>'CHIỀU '!P10</f>
        <v>10</v>
      </c>
      <c r="F13" s="72">
        <f>'CHIỀU '!P11</f>
        <v>123</v>
      </c>
      <c r="G13" s="72">
        <f t="shared" si="0"/>
        <v>462</v>
      </c>
    </row>
    <row r="14" spans="1:7" ht="15.75" x14ac:dyDescent="0.25">
      <c r="A14" s="86">
        <v>46274</v>
      </c>
      <c r="B14" s="71">
        <f>'VP SÁNG '!Q9</f>
        <v>23</v>
      </c>
      <c r="C14" s="71">
        <v>0</v>
      </c>
      <c r="D14" s="71">
        <f>'VP SÁNG '!Q10</f>
        <v>306</v>
      </c>
      <c r="E14" s="72">
        <f>'CHIỀU '!Q10</f>
        <v>11</v>
      </c>
      <c r="F14" s="72">
        <f>'CHIỀU '!Q11</f>
        <v>131</v>
      </c>
      <c r="G14" s="72">
        <f t="shared" si="0"/>
        <v>471</v>
      </c>
    </row>
    <row r="15" spans="1:7" ht="15.75" x14ac:dyDescent="0.25">
      <c r="A15" s="86">
        <v>46275</v>
      </c>
      <c r="B15" s="71">
        <f>'VP SÁNG '!R9</f>
        <v>26</v>
      </c>
      <c r="C15" s="71">
        <v>0</v>
      </c>
      <c r="D15" s="71">
        <f>'VP SÁNG '!R10</f>
        <v>316</v>
      </c>
      <c r="E15" s="72">
        <f>'CHIỀU '!R10</f>
        <v>10</v>
      </c>
      <c r="F15" s="72">
        <f>'CHIỀU '!R11</f>
        <v>103</v>
      </c>
      <c r="G15" s="72">
        <f t="shared" si="0"/>
        <v>455</v>
      </c>
    </row>
    <row r="16" spans="1:7" ht="15.75" x14ac:dyDescent="0.25">
      <c r="A16" s="86">
        <v>46276</v>
      </c>
      <c r="B16" s="71">
        <f>'VP SÁNG '!S9</f>
        <v>25</v>
      </c>
      <c r="C16" s="71">
        <v>0</v>
      </c>
      <c r="D16" s="71">
        <f>'VP SÁNG '!S10</f>
        <v>290</v>
      </c>
      <c r="E16" s="72">
        <f>'CHIỀU '!S10</f>
        <v>7</v>
      </c>
      <c r="F16" s="72">
        <f>'CHIỀU '!S11</f>
        <v>108</v>
      </c>
      <c r="G16" s="72">
        <f t="shared" si="0"/>
        <v>430</v>
      </c>
    </row>
    <row r="17" spans="1:7" ht="15.75" x14ac:dyDescent="0.25">
      <c r="A17" s="86">
        <v>46277</v>
      </c>
      <c r="B17" s="71">
        <f>'VP SÁNG '!T9</f>
        <v>23</v>
      </c>
      <c r="C17" s="71">
        <v>0</v>
      </c>
      <c r="D17" s="71">
        <f>'VP SÁNG '!T10</f>
        <v>288</v>
      </c>
      <c r="E17" s="72">
        <f>'CHIỀU '!T10</f>
        <v>11</v>
      </c>
      <c r="F17" s="72">
        <f>'CHIỀU '!T11</f>
        <v>17</v>
      </c>
      <c r="G17" s="72">
        <f t="shared" si="0"/>
        <v>339</v>
      </c>
    </row>
    <row r="18" spans="1:7" ht="15.75" x14ac:dyDescent="0.25">
      <c r="A18" s="86">
        <v>46278</v>
      </c>
      <c r="B18" s="71">
        <f>'VP SÁNG '!U9</f>
        <v>0</v>
      </c>
      <c r="C18" s="71">
        <v>0</v>
      </c>
      <c r="D18" s="71">
        <f>'VP SÁNG '!U10</f>
        <v>0</v>
      </c>
      <c r="E18" s="72">
        <f>'CHIỀU '!U10</f>
        <v>0</v>
      </c>
      <c r="F18" s="72">
        <f>'CHIỀU '!U11</f>
        <v>0</v>
      </c>
      <c r="G18" s="72">
        <f t="shared" si="0"/>
        <v>0</v>
      </c>
    </row>
    <row r="19" spans="1:7" ht="15.75" x14ac:dyDescent="0.25">
      <c r="A19" s="86">
        <v>46279</v>
      </c>
      <c r="B19" s="71">
        <f>'VP SÁNG '!V9</f>
        <v>27</v>
      </c>
      <c r="C19" s="71">
        <v>0</v>
      </c>
      <c r="D19" s="71">
        <f>'VP SÁNG '!V10</f>
        <v>340</v>
      </c>
      <c r="E19" s="72">
        <f>'CHIỀU '!V10</f>
        <v>3</v>
      </c>
      <c r="F19" s="72">
        <f>'CHIỀU '!V11</f>
        <v>116</v>
      </c>
      <c r="G19" s="72">
        <f t="shared" si="0"/>
        <v>486</v>
      </c>
    </row>
    <row r="20" spans="1:7" ht="15.75" x14ac:dyDescent="0.25">
      <c r="A20" s="86">
        <v>46280</v>
      </c>
      <c r="B20" s="71">
        <f>'VP SÁNG '!W9</f>
        <v>27</v>
      </c>
      <c r="C20" s="71">
        <v>0</v>
      </c>
      <c r="D20" s="71">
        <f>'VP SÁNG '!W10</f>
        <v>343</v>
      </c>
      <c r="E20" s="72">
        <f>'CHIỀU '!W10</f>
        <v>11</v>
      </c>
      <c r="F20" s="72">
        <f>'CHIỀU '!W11</f>
        <v>215</v>
      </c>
      <c r="G20" s="72">
        <f t="shared" si="0"/>
        <v>596</v>
      </c>
    </row>
    <row r="21" spans="1:7" ht="15.75" x14ac:dyDescent="0.25">
      <c r="A21" s="86">
        <v>46281</v>
      </c>
      <c r="B21" s="71">
        <f>'VP SÁNG '!X9</f>
        <v>26</v>
      </c>
      <c r="C21" s="71">
        <v>0</v>
      </c>
      <c r="D21" s="71">
        <f>'VP SÁNG '!X10</f>
        <v>345</v>
      </c>
      <c r="E21" s="72">
        <f>'CHIỀU '!X10</f>
        <v>9</v>
      </c>
      <c r="F21" s="72">
        <f>'CHIỀU '!X11</f>
        <v>221</v>
      </c>
      <c r="G21" s="72">
        <f t="shared" si="0"/>
        <v>601</v>
      </c>
    </row>
    <row r="22" spans="1:7" ht="15.75" x14ac:dyDescent="0.25">
      <c r="A22" s="86">
        <v>46282</v>
      </c>
      <c r="B22" s="71">
        <f>'VP SÁNG '!Y9</f>
        <v>25</v>
      </c>
      <c r="C22" s="71">
        <v>0</v>
      </c>
      <c r="D22" s="71">
        <f>'VP SÁNG '!Y10</f>
        <v>350</v>
      </c>
      <c r="E22" s="72">
        <f>'CHIỀU '!Y10</f>
        <v>9</v>
      </c>
      <c r="F22" s="72">
        <f>'CHIỀU '!Y11</f>
        <v>229</v>
      </c>
      <c r="G22" s="72">
        <f t="shared" si="0"/>
        <v>613</v>
      </c>
    </row>
    <row r="23" spans="1:7" ht="15.75" x14ac:dyDescent="0.25">
      <c r="A23" s="86">
        <v>46283</v>
      </c>
      <c r="B23" s="71">
        <f>'VP SÁNG '!Z9</f>
        <v>24</v>
      </c>
      <c r="C23" s="71">
        <v>0</v>
      </c>
      <c r="D23" s="71">
        <f>'VP SÁNG '!Z10</f>
        <v>353</v>
      </c>
      <c r="E23" s="72">
        <f>'CHIỀU '!Z10</f>
        <v>3</v>
      </c>
      <c r="F23" s="72">
        <f>'CHIỀU '!Z11</f>
        <v>134</v>
      </c>
      <c r="G23" s="72">
        <f t="shared" si="0"/>
        <v>514</v>
      </c>
    </row>
    <row r="24" spans="1:7" ht="15.75" x14ac:dyDescent="0.25">
      <c r="A24" s="86">
        <v>46284</v>
      </c>
      <c r="B24" s="71">
        <f>'VP SÁNG '!AA9</f>
        <v>22</v>
      </c>
      <c r="C24" s="71">
        <v>0</v>
      </c>
      <c r="D24" s="71">
        <f>'VP SÁNG '!AA10</f>
        <v>341</v>
      </c>
      <c r="E24" s="72">
        <f>'CHIỀU '!AA10</f>
        <v>3</v>
      </c>
      <c r="F24" s="72">
        <f>'CHIỀU '!AA11</f>
        <v>27</v>
      </c>
      <c r="G24" s="72">
        <f t="shared" si="0"/>
        <v>393</v>
      </c>
    </row>
    <row r="25" spans="1:7" ht="15.75" x14ac:dyDescent="0.25">
      <c r="A25" s="86">
        <v>46285</v>
      </c>
      <c r="B25" s="71">
        <f>'VP SÁNG '!AB9</f>
        <v>6</v>
      </c>
      <c r="C25" s="71">
        <v>0</v>
      </c>
      <c r="D25" s="71">
        <f>'VP SÁNG '!AB10</f>
        <v>67</v>
      </c>
      <c r="E25" s="72">
        <f>'CHIỀU '!AB10</f>
        <v>0</v>
      </c>
      <c r="F25" s="72">
        <f>'CHIỀU '!AB11</f>
        <v>0</v>
      </c>
      <c r="G25" s="72">
        <f t="shared" si="0"/>
        <v>73</v>
      </c>
    </row>
    <row r="26" spans="1:7" ht="15.75" x14ac:dyDescent="0.25">
      <c r="A26" s="86">
        <v>46286</v>
      </c>
      <c r="B26" s="71">
        <f>'VP SÁNG '!AC9</f>
        <v>25</v>
      </c>
      <c r="C26" s="71">
        <v>0</v>
      </c>
      <c r="D26" s="71">
        <f>'VP SÁNG '!AC10</f>
        <v>336</v>
      </c>
      <c r="E26" s="72">
        <f>'CHIỀU '!AC10</f>
        <v>10</v>
      </c>
      <c r="F26" s="72">
        <f>'CHIỀU '!AC11</f>
        <v>209</v>
      </c>
      <c r="G26" s="72">
        <f t="shared" si="0"/>
        <v>580</v>
      </c>
    </row>
    <row r="27" spans="1:7" ht="15.75" x14ac:dyDescent="0.25">
      <c r="A27" s="86">
        <v>46287</v>
      </c>
      <c r="B27" s="71">
        <f>'VP SÁNG '!AD9+HHVCV!AD7</f>
        <v>38</v>
      </c>
      <c r="C27" s="71">
        <f>'HHVCV - Tăng ca'!AD10</f>
        <v>10</v>
      </c>
      <c r="D27" s="71">
        <f>'VP SÁNG '!AD10+HHVCV!AD8</f>
        <v>410</v>
      </c>
      <c r="E27" s="72">
        <f>'CHIỀU '!AD10</f>
        <v>10</v>
      </c>
      <c r="F27" s="72">
        <f>'CHIỀU '!AD11+'HHVCV - Tăng ca'!AD11</f>
        <v>235</v>
      </c>
      <c r="G27" s="72">
        <f t="shared" si="0"/>
        <v>703</v>
      </c>
    </row>
    <row r="28" spans="1:7" ht="15.75" x14ac:dyDescent="0.25">
      <c r="A28" s="86">
        <v>46288</v>
      </c>
      <c r="B28" s="71">
        <f>'VP SÁNG '!AE9+HHVCV!AE7</f>
        <v>39</v>
      </c>
      <c r="C28" s="71">
        <f>'HHVCV - Tăng ca'!AE10</f>
        <v>10</v>
      </c>
      <c r="D28" s="71">
        <f>'VP SÁNG '!AE10+HHVCV!AE8</f>
        <v>371</v>
      </c>
      <c r="E28" s="72">
        <f>'CHIỀU '!AE10</f>
        <v>10</v>
      </c>
      <c r="F28" s="72">
        <f>'CHIỀU '!AE11+'HHVCV - Tăng ca'!AE11</f>
        <v>244</v>
      </c>
      <c r="G28" s="72">
        <f t="shared" si="0"/>
        <v>674</v>
      </c>
    </row>
    <row r="29" spans="1:7" ht="15.75" x14ac:dyDescent="0.25">
      <c r="A29" s="86">
        <v>46289</v>
      </c>
      <c r="B29" s="71">
        <f>'VP SÁNG '!AF9+HHVCV!AF7</f>
        <v>39</v>
      </c>
      <c r="C29" s="71">
        <f>'HHVCV - Tăng ca'!AF10</f>
        <v>10</v>
      </c>
      <c r="D29" s="71">
        <f>'VP SÁNG '!AF10+HHVCV!AF8</f>
        <v>370</v>
      </c>
      <c r="E29" s="72">
        <f>'CHIỀU '!AF10</f>
        <v>9</v>
      </c>
      <c r="F29" s="72">
        <f>'CHIỀU '!AF11+'HHVCV - Tăng ca'!AF11</f>
        <v>229</v>
      </c>
      <c r="G29" s="72">
        <f t="shared" si="0"/>
        <v>657</v>
      </c>
    </row>
    <row r="30" spans="1:7" ht="15.75" x14ac:dyDescent="0.25">
      <c r="A30" s="86">
        <v>46290</v>
      </c>
      <c r="B30" s="71">
        <f>'VP SÁNG '!AG9+HHVCV!AG7</f>
        <v>38</v>
      </c>
      <c r="C30" s="71">
        <f>'HHVCV - Tăng ca'!AG10</f>
        <v>0</v>
      </c>
      <c r="D30" s="71">
        <f>'VP SÁNG '!AG10+HHVCV!AG8</f>
        <v>378</v>
      </c>
      <c r="E30" s="72">
        <f>'CHIỀU '!AG10</f>
        <v>3</v>
      </c>
      <c r="F30" s="72">
        <f>'CHIỀU '!AG11+'HHVCV - Tăng ca'!AG11</f>
        <v>85</v>
      </c>
      <c r="G30" s="72">
        <f t="shared" si="0"/>
        <v>504</v>
      </c>
    </row>
    <row r="31" spans="1:7" ht="15.75" x14ac:dyDescent="0.25">
      <c r="A31" s="86">
        <v>46291</v>
      </c>
      <c r="B31" s="71">
        <f>'VP SÁNG '!AH9+HHVCV!AH7</f>
        <v>37</v>
      </c>
      <c r="C31" s="71">
        <f>'HHVCV - Tăng ca'!AH10</f>
        <v>10</v>
      </c>
      <c r="D31" s="71">
        <f>'VP SÁNG '!AH10+HHVCV!AH8</f>
        <v>362</v>
      </c>
      <c r="E31" s="72">
        <f>'CHIỀU '!AH10</f>
        <v>10</v>
      </c>
      <c r="F31" s="72">
        <f>'CHIỀU '!AH11+'HHVCV - Tăng ca'!AH11</f>
        <v>17</v>
      </c>
      <c r="G31" s="72">
        <f t="shared" si="0"/>
        <v>436</v>
      </c>
    </row>
    <row r="32" spans="1:7" ht="15.75" x14ac:dyDescent="0.25">
      <c r="A32" s="86">
        <v>46292</v>
      </c>
      <c r="B32" s="71">
        <f>'VP SÁNG '!AI9+HHVCV!AI7</f>
        <v>20</v>
      </c>
      <c r="C32" s="71">
        <f>'HHVCV - Tăng ca'!AI10</f>
        <v>4</v>
      </c>
      <c r="D32" s="71">
        <f>'VP SÁNG '!AI10+HHVCV!AI8</f>
        <v>120</v>
      </c>
      <c r="E32" s="72">
        <f>'CHIỀU '!AI10</f>
        <v>0</v>
      </c>
      <c r="F32" s="72">
        <f>'CHIỀU '!AI11+'HHVCV - Tăng ca'!AI11</f>
        <v>0</v>
      </c>
      <c r="G32" s="72">
        <f t="shared" si="0"/>
        <v>144</v>
      </c>
    </row>
    <row r="33" spans="1:10" ht="15.75" x14ac:dyDescent="0.25">
      <c r="A33" s="86">
        <v>46293</v>
      </c>
      <c r="B33" s="71">
        <f>'VP SÁNG '!AJ9+HHVCV!AJ7</f>
        <v>37</v>
      </c>
      <c r="C33" s="71">
        <f>'HHVCV - Tăng ca'!AJ10</f>
        <v>10</v>
      </c>
      <c r="D33" s="71">
        <f>'VP SÁNG '!AJ10+HHVCV!AJ8</f>
        <v>365</v>
      </c>
      <c r="E33" s="72">
        <f>'CHIỀU '!AJ10</f>
        <v>10</v>
      </c>
      <c r="F33" s="72">
        <f>'CHIỀU '!AJ11+'HHVCV - Tăng ca'!AJ11</f>
        <v>235</v>
      </c>
      <c r="G33" s="72">
        <f t="shared" si="0"/>
        <v>657</v>
      </c>
    </row>
    <row r="34" spans="1:10" ht="15.75" x14ac:dyDescent="0.25">
      <c r="A34" s="86">
        <v>46294</v>
      </c>
      <c r="B34" s="71">
        <f>'VP SÁNG '!AK9+HHVCV!AK7</f>
        <v>36</v>
      </c>
      <c r="C34" s="71">
        <f>'HHVCV - Tăng ca'!AK10</f>
        <v>8</v>
      </c>
      <c r="D34" s="71">
        <f>'VP SÁNG '!AK10+HHVCV!AK8</f>
        <v>374</v>
      </c>
      <c r="E34" s="72">
        <f>'CHIỀU '!AK10</f>
        <v>10</v>
      </c>
      <c r="F34" s="72">
        <f>'CHIỀU '!AK11+'HHVCV - Tăng ca'!AK11</f>
        <v>242</v>
      </c>
      <c r="G34" s="72">
        <f t="shared" si="0"/>
        <v>670</v>
      </c>
    </row>
    <row r="35" spans="1:10" ht="15.75" x14ac:dyDescent="0.25">
      <c r="A35" s="86">
        <v>46295</v>
      </c>
      <c r="B35" s="92">
        <f>'VP SÁNG '!AL9+HHVCV!AL7</f>
        <v>34</v>
      </c>
      <c r="C35" s="92">
        <f>'HHVCV - Tăng ca'!AL10</f>
        <v>5</v>
      </c>
      <c r="D35" s="92">
        <f>'VP SÁNG '!AL10+HHVCV!AL8</f>
        <v>367</v>
      </c>
      <c r="E35" s="92">
        <f>'CHIỀU '!AL10</f>
        <v>3</v>
      </c>
      <c r="F35" s="92">
        <f>'CHIỀU '!AL11+'HHVCV - Tăng ca'!AL11</f>
        <v>164</v>
      </c>
      <c r="G35" s="72">
        <f t="shared" si="0"/>
        <v>573</v>
      </c>
    </row>
    <row r="36" spans="1:10" ht="30" x14ac:dyDescent="0.25">
      <c r="A36" s="93" t="s">
        <v>894</v>
      </c>
      <c r="B36" s="94">
        <f>SUM(B6:B35)</f>
        <v>726</v>
      </c>
      <c r="C36" s="94">
        <f>SUM(C6:C35)</f>
        <v>67</v>
      </c>
      <c r="D36" s="94">
        <f t="shared" ref="D36:F36" si="1">SUM(D6:D35)</f>
        <v>8516</v>
      </c>
      <c r="E36" s="94">
        <f t="shared" si="1"/>
        <v>174</v>
      </c>
      <c r="F36" s="94">
        <f t="shared" si="1"/>
        <v>3360</v>
      </c>
      <c r="G36" s="94">
        <f>SUM(G6:G35)</f>
        <v>12843</v>
      </c>
      <c r="I36" s="37"/>
      <c r="J36" s="87"/>
    </row>
    <row r="39" spans="1:10" ht="35.25" customHeight="1" x14ac:dyDescent="0.25">
      <c r="A39" s="90" t="s">
        <v>895</v>
      </c>
    </row>
    <row r="40" spans="1:10" ht="31.5" x14ac:dyDescent="0.25">
      <c r="A40" s="91" t="s">
        <v>896</v>
      </c>
      <c r="B40" s="91" t="s">
        <v>897</v>
      </c>
      <c r="C40" s="91" t="s">
        <v>898</v>
      </c>
      <c r="D40" s="91" t="s">
        <v>899</v>
      </c>
    </row>
    <row r="41" spans="1:10" ht="15.75" x14ac:dyDescent="0.25">
      <c r="A41" s="75" t="s">
        <v>900</v>
      </c>
      <c r="B41" s="76">
        <v>50000</v>
      </c>
      <c r="C41" s="76">
        <f>B36+C36</f>
        <v>793</v>
      </c>
      <c r="D41" s="71">
        <f>C41*B41</f>
        <v>39650000</v>
      </c>
    </row>
    <row r="42" spans="1:10" ht="64.5" customHeight="1" x14ac:dyDescent="0.25">
      <c r="A42" s="75" t="s">
        <v>1008</v>
      </c>
      <c r="B42" s="76">
        <v>25000</v>
      </c>
      <c r="C42" s="76">
        <f>SUM(D36:F36)</f>
        <v>12050</v>
      </c>
      <c r="D42" s="71">
        <f>C42*B42</f>
        <v>301250000</v>
      </c>
      <c r="F42" s="87"/>
      <c r="G42" s="95"/>
    </row>
    <row r="43" spans="1:10" ht="18.75" x14ac:dyDescent="0.25">
      <c r="A43" s="111" t="s">
        <v>901</v>
      </c>
      <c r="B43" s="112"/>
      <c r="C43" s="96">
        <f>SUM(C41:C42)</f>
        <v>12843</v>
      </c>
      <c r="D43" s="96">
        <f>SUM(D41:D42)</f>
        <v>340900000</v>
      </c>
    </row>
    <row r="44" spans="1:10" ht="28.5" customHeight="1" x14ac:dyDescent="0.25"/>
    <row r="45" spans="1:10" ht="31.5" x14ac:dyDescent="0.25">
      <c r="A45" s="90" t="s">
        <v>902</v>
      </c>
    </row>
    <row r="47" spans="1:10" ht="31.5" x14ac:dyDescent="0.25">
      <c r="A47" s="97" t="s">
        <v>903</v>
      </c>
      <c r="B47" s="97" t="s">
        <v>904</v>
      </c>
      <c r="C47" s="97" t="s">
        <v>905</v>
      </c>
      <c r="D47" s="97" t="s">
        <v>906</v>
      </c>
    </row>
    <row r="48" spans="1:10" ht="28.5" customHeight="1" x14ac:dyDescent="0.25">
      <c r="A48" s="75" t="s">
        <v>2</v>
      </c>
      <c r="B48" s="98">
        <f>SUMIF(PRIOVOT!$A:$A,$A48,PRIOVOT!$B:$B)
+SUMIF(PRIOVOT!$D:$D,$A48,PRIOVOT!$E:$E)
+SUMIF(PRIOVOT!$G:$G,$A48,PRIOVOT!$H:$H)</f>
        <v>23</v>
      </c>
      <c r="C48" s="99">
        <v>25000</v>
      </c>
      <c r="D48" s="99">
        <f t="shared" ref="D48:D78" si="2">C48*B48</f>
        <v>575000</v>
      </c>
    </row>
    <row r="49" spans="1:4" ht="28.5" customHeight="1" x14ac:dyDescent="0.25">
      <c r="A49" s="75" t="s">
        <v>4</v>
      </c>
      <c r="B49" s="98">
        <f>SUMIF(PRIOVOT!$A:$A,$A49,PRIOVOT!$B:$B)
+SUMIF(PRIOVOT!$D:$D,$A49,PRIOVOT!$E:$E)
+SUMIF(PRIOVOT!$G:$G,$A49,PRIOVOT!$H:$H)</f>
        <v>23</v>
      </c>
      <c r="C49" s="99">
        <v>25000</v>
      </c>
      <c r="D49" s="99">
        <f t="shared" si="2"/>
        <v>575000</v>
      </c>
    </row>
    <row r="50" spans="1:4" ht="28.5" customHeight="1" x14ac:dyDescent="0.25">
      <c r="A50" s="75" t="s">
        <v>6</v>
      </c>
      <c r="B50" s="98">
        <f>SUMIF(PRIOVOT!$A:$A,$A50,PRIOVOT!$B:$B)
+SUMIF(PRIOVOT!$D:$D,$A50,PRIOVOT!$E:$E)
+SUMIF(PRIOVOT!$G:$G,$A50,PRIOVOT!$H:$H)</f>
        <v>39</v>
      </c>
      <c r="C50" s="99">
        <v>25000</v>
      </c>
      <c r="D50" s="99">
        <f t="shared" si="2"/>
        <v>975000</v>
      </c>
    </row>
    <row r="51" spans="1:4" ht="28.5" customHeight="1" x14ac:dyDescent="0.25">
      <c r="A51" s="75" t="s">
        <v>3</v>
      </c>
      <c r="B51" s="98">
        <f>SUMIF(PRIOVOT!$A:$A,$A51,PRIOVOT!$B:$B)
+SUMIF(PRIOVOT!$D:$D,$A51,PRIOVOT!$E:$E)
+SUMIF(PRIOVOT!$G:$G,$A51,PRIOVOT!$H:$H)</f>
        <v>134</v>
      </c>
      <c r="C51" s="99">
        <v>25000</v>
      </c>
      <c r="D51" s="99">
        <f t="shared" si="2"/>
        <v>3350000</v>
      </c>
    </row>
    <row r="52" spans="1:4" ht="28.5" customHeight="1" x14ac:dyDescent="0.25">
      <c r="A52" s="75" t="s">
        <v>9</v>
      </c>
      <c r="B52" s="98">
        <f>SUMIF(PRIOVOT!$A:$A,$A52,PRIOVOT!$B:$B)
+SUMIF(PRIOVOT!$D:$D,$A52,PRIOVOT!$E:$E)
+SUMIF(PRIOVOT!$G:$G,$A52,PRIOVOT!$H:$H)</f>
        <v>71</v>
      </c>
      <c r="C52" s="99">
        <v>25000</v>
      </c>
      <c r="D52" s="99">
        <f t="shared" si="2"/>
        <v>1775000</v>
      </c>
    </row>
    <row r="53" spans="1:4" ht="28.5" customHeight="1" x14ac:dyDescent="0.25">
      <c r="A53" s="75" t="s">
        <v>5</v>
      </c>
      <c r="B53" s="98">
        <f>SUMIF(PRIOVOT!$A:$A,$A53,PRIOVOT!$B:$B)
+SUMIF(PRIOVOT!$D:$D,$A53,PRIOVOT!$E:$E)
+SUMIF(PRIOVOT!$G:$G,$A53,PRIOVOT!$H:$H)</f>
        <v>26</v>
      </c>
      <c r="C53" s="99">
        <v>25000</v>
      </c>
      <c r="D53" s="99">
        <f t="shared" si="2"/>
        <v>650000</v>
      </c>
    </row>
    <row r="54" spans="1:4" ht="28.5" customHeight="1" x14ac:dyDescent="0.25">
      <c r="A54" s="75" t="s">
        <v>12</v>
      </c>
      <c r="B54" s="98">
        <f>SUMIF(PRIOVOT!$A:$A,$A54,PRIOVOT!$B:$B)
+SUMIF(PRIOVOT!$D:$D,$A54,PRIOVOT!$E:$E)
+SUMIF(PRIOVOT!$G:$G,$A54,PRIOVOT!$H:$H)</f>
        <v>24</v>
      </c>
      <c r="C54" s="99">
        <v>25000</v>
      </c>
      <c r="D54" s="99">
        <f t="shared" si="2"/>
        <v>600000</v>
      </c>
    </row>
    <row r="55" spans="1:4" ht="28.5" customHeight="1" x14ac:dyDescent="0.25">
      <c r="A55" s="75" t="s">
        <v>7</v>
      </c>
      <c r="B55" s="98">
        <f>SUMIF(PRIOVOT!$A:$A,$A55,PRIOVOT!$B:$B)
+SUMIF(PRIOVOT!$D:$D,$A55,PRIOVOT!$E:$E)
+SUMIF(PRIOVOT!$G:$G,$A55,PRIOVOT!$H:$H)</f>
        <v>112</v>
      </c>
      <c r="C55" s="99">
        <v>25000</v>
      </c>
      <c r="D55" s="99">
        <f t="shared" si="2"/>
        <v>2800000</v>
      </c>
    </row>
    <row r="56" spans="1:4" ht="28.5" customHeight="1" x14ac:dyDescent="0.25">
      <c r="A56" s="75" t="s">
        <v>15</v>
      </c>
      <c r="B56" s="98">
        <f>SUMIF(PRIOVOT!$A:$A,$A56,PRIOVOT!$B:$B)
+SUMIF(PRIOVOT!$D:$D,$A56,PRIOVOT!$E:$E)
+SUMIF(PRIOVOT!$G:$G,$A56,PRIOVOT!$H:$H)</f>
        <v>148</v>
      </c>
      <c r="C56" s="99">
        <v>25000</v>
      </c>
      <c r="D56" s="99">
        <f t="shared" si="2"/>
        <v>3700000</v>
      </c>
    </row>
    <row r="57" spans="1:4" ht="28.5" customHeight="1" x14ac:dyDescent="0.25">
      <c r="A57" s="75" t="s">
        <v>17</v>
      </c>
      <c r="B57" s="98">
        <f>SUMIF(PRIOVOT!$A:$A,$A57,PRIOVOT!$B:$B)
+SUMIF(PRIOVOT!$D:$D,$A57,PRIOVOT!$E:$E)
+SUMIF(PRIOVOT!$G:$G,$A57,PRIOVOT!$H:$H)</f>
        <v>92</v>
      </c>
      <c r="C57" s="99">
        <v>25000</v>
      </c>
      <c r="D57" s="99">
        <f t="shared" si="2"/>
        <v>2300000</v>
      </c>
    </row>
    <row r="58" spans="1:4" ht="28.5" customHeight="1" x14ac:dyDescent="0.25">
      <c r="A58" s="75" t="s">
        <v>1044</v>
      </c>
      <c r="B58" s="98">
        <f>SUMIF(PRIOVOT!$A:$A,$A58,PRIOVOT!$B:$B)
+SUMIF(PRIOVOT!$D:$D,$A58,PRIOVOT!$E:$E)
+SUMIF(PRIOVOT!$G:$G,$A58,PRIOVOT!$H:$H)</f>
        <v>186</v>
      </c>
      <c r="C58" s="99">
        <v>25000</v>
      </c>
      <c r="D58" s="99">
        <f t="shared" si="2"/>
        <v>4650000</v>
      </c>
    </row>
    <row r="59" spans="1:4" ht="28.5" customHeight="1" x14ac:dyDescent="0.25">
      <c r="A59" s="75" t="s">
        <v>20</v>
      </c>
      <c r="B59" s="98">
        <f>SUMIF(PRIOVOT!$A:$A,$A59,PRIOVOT!$B:$B)
+SUMIF(PRIOVOT!$D:$D,$A59,PRIOVOT!$E:$E)
+SUMIF(PRIOVOT!$G:$G,$A59,PRIOVOT!$H:$H)</f>
        <v>46</v>
      </c>
      <c r="C59" s="99">
        <v>25000</v>
      </c>
      <c r="D59" s="99">
        <f t="shared" si="2"/>
        <v>1150000</v>
      </c>
    </row>
    <row r="60" spans="1:4" ht="28.5" customHeight="1" x14ac:dyDescent="0.25">
      <c r="A60" s="75" t="s">
        <v>8</v>
      </c>
      <c r="B60" s="98">
        <f>SUMIF(PRIOVOT!$A:$A,$A60,PRIOVOT!$B:$B)
+SUMIF(PRIOVOT!$D:$D,$A60,PRIOVOT!$E:$E)
+SUMIF(PRIOVOT!$G:$G,$A60,PRIOVOT!$H:$H)</f>
        <v>623</v>
      </c>
      <c r="C60" s="99">
        <v>25000</v>
      </c>
      <c r="D60" s="99">
        <f t="shared" si="2"/>
        <v>15575000</v>
      </c>
    </row>
    <row r="61" spans="1:4" ht="28.5" customHeight="1" x14ac:dyDescent="0.25">
      <c r="A61" s="75" t="s">
        <v>10</v>
      </c>
      <c r="B61" s="98">
        <f>SUMIF(PRIOVOT!$A:$A,$A61,PRIOVOT!$B:$B)
+SUMIF(PRIOVOT!$D:$D,$A61,PRIOVOT!$E:$E)
+SUMIF(PRIOVOT!$G:$G,$A61,PRIOVOT!$H:$H)</f>
        <v>634</v>
      </c>
      <c r="C61" s="99">
        <v>25000</v>
      </c>
      <c r="D61" s="99">
        <f t="shared" si="2"/>
        <v>15850000</v>
      </c>
    </row>
    <row r="62" spans="1:4" ht="28.5" customHeight="1" x14ac:dyDescent="0.25">
      <c r="A62" s="75" t="s">
        <v>24</v>
      </c>
      <c r="B62" s="98">
        <f>SUMIF(PRIOVOT!$A:$A,$A62,PRIOVOT!$B:$B)
+SUMIF(PRIOVOT!$D:$D,$A62,PRIOVOT!$E:$E)
+SUMIF(PRIOVOT!$G:$G,$A62,PRIOVOT!$H:$H)</f>
        <v>48</v>
      </c>
      <c r="C62" s="99">
        <v>25000</v>
      </c>
      <c r="D62" s="99">
        <f t="shared" si="2"/>
        <v>1200000</v>
      </c>
    </row>
    <row r="63" spans="1:4" ht="28.5" customHeight="1" x14ac:dyDescent="0.25">
      <c r="A63" s="75" t="s">
        <v>11</v>
      </c>
      <c r="B63" s="98">
        <f>SUMIF(PRIOVOT!$A:$A,$A63,PRIOVOT!$B:$B)
+SUMIF(PRIOVOT!$D:$D,$A63,PRIOVOT!$E:$E)
+SUMIF(PRIOVOT!$G:$G,$A63,PRIOVOT!$H:$H)</f>
        <v>2598</v>
      </c>
      <c r="C63" s="99">
        <v>25000</v>
      </c>
      <c r="D63" s="99">
        <f t="shared" si="2"/>
        <v>64950000</v>
      </c>
    </row>
    <row r="64" spans="1:4" ht="28.5" customHeight="1" x14ac:dyDescent="0.25">
      <c r="A64" s="75" t="s">
        <v>13</v>
      </c>
      <c r="B64" s="98">
        <f>SUMIF(PRIOVOT!$A:$A,$A64,PRIOVOT!$B:$B)
+SUMIF(PRIOVOT!$D:$D,$A64,PRIOVOT!$E:$E)
+SUMIF(PRIOVOT!$G:$G,$A64,PRIOVOT!$H:$H)</f>
        <v>113</v>
      </c>
      <c r="C64" s="99">
        <v>25000</v>
      </c>
      <c r="D64" s="99">
        <f t="shared" si="2"/>
        <v>2825000</v>
      </c>
    </row>
    <row r="65" spans="1:8" ht="28.5" customHeight="1" x14ac:dyDescent="0.25">
      <c r="A65" s="75" t="s">
        <v>933</v>
      </c>
      <c r="B65" s="98">
        <f>SUMIF(PRIOVOT!$A:$A,$A65,PRIOVOT!$B:$B)
+SUMIF(PRIOVOT!$D:$D,$A65,PRIOVOT!$E:$E)
+SUMIF(PRIOVOT!$G:$G,$A65,PRIOVOT!$H:$H)</f>
        <v>13</v>
      </c>
      <c r="C65" s="99">
        <v>25000</v>
      </c>
      <c r="D65" s="99">
        <f t="shared" si="2"/>
        <v>325000</v>
      </c>
    </row>
    <row r="66" spans="1:8" ht="28.5" customHeight="1" x14ac:dyDescent="0.25">
      <c r="A66" s="75" t="s">
        <v>14</v>
      </c>
      <c r="B66" s="98">
        <f>SUMIF(PRIOVOT!$A:$A,$A66,PRIOVOT!$B:$B)
+SUMIF(PRIOVOT!$D:$D,$A66,PRIOVOT!$E:$E)
+SUMIF(PRIOVOT!$G:$G,$A66,PRIOVOT!$H:$H)</f>
        <v>568</v>
      </c>
      <c r="C66" s="99">
        <v>25000</v>
      </c>
      <c r="D66" s="99">
        <f t="shared" si="2"/>
        <v>14200000</v>
      </c>
    </row>
    <row r="67" spans="1:8" ht="28.5" customHeight="1" x14ac:dyDescent="0.25">
      <c r="A67" s="75" t="s">
        <v>28</v>
      </c>
      <c r="B67" s="98">
        <f>SUMIF(PRIOVOT!$A:$A,$A67,PRIOVOT!$B:$B)
+SUMIF(PRIOVOT!$D:$D,$A67,PRIOVOT!$E:$E)
+SUMIF(PRIOVOT!$G:$G,$A67,PRIOVOT!$H:$H)</f>
        <v>484</v>
      </c>
      <c r="C67" s="99">
        <v>25000</v>
      </c>
      <c r="D67" s="99">
        <f t="shared" si="2"/>
        <v>12100000</v>
      </c>
    </row>
    <row r="68" spans="1:8" ht="28.5" customHeight="1" x14ac:dyDescent="0.25">
      <c r="A68" s="75" t="s">
        <v>16</v>
      </c>
      <c r="B68" s="98">
        <f>SUMIF(PRIOVOT!$A:$A,$A68,PRIOVOT!$B:$B)
+SUMIF(PRIOVOT!$D:$D,$A68,PRIOVOT!$E:$E)
+SUMIF(PRIOVOT!$G:$G,$A68,PRIOVOT!$H:$H)</f>
        <v>793</v>
      </c>
      <c r="C68" s="99">
        <v>50000</v>
      </c>
      <c r="D68" s="99">
        <f t="shared" si="2"/>
        <v>39650000</v>
      </c>
    </row>
    <row r="69" spans="1:8" ht="28.5" customHeight="1" x14ac:dyDescent="0.25">
      <c r="A69" s="75" t="s">
        <v>18</v>
      </c>
      <c r="B69" s="98">
        <f>SUMIF(PRIOVOT!$A:$A,$A69,PRIOVOT!$B:$B)
+SUMIF(PRIOVOT!$D:$D,$A69,PRIOVOT!$E:$E)
+SUMIF(PRIOVOT!$G:$G,$A69,PRIOVOT!$H:$H)</f>
        <v>491</v>
      </c>
      <c r="C69" s="99">
        <v>25000</v>
      </c>
      <c r="D69" s="99">
        <f t="shared" si="2"/>
        <v>12275000</v>
      </c>
    </row>
    <row r="70" spans="1:8" ht="28.5" customHeight="1" x14ac:dyDescent="0.25">
      <c r="A70" s="75" t="s">
        <v>19</v>
      </c>
      <c r="B70" s="98">
        <f>SUMIF(PRIOVOT!$A:$A,$A70,PRIOVOT!$B:$B)
+SUMIF(PRIOVOT!$D:$D,$A70,PRIOVOT!$E:$E)
+SUMIF(PRIOVOT!$G:$G,$A70,PRIOVOT!$H:$H)</f>
        <v>620</v>
      </c>
      <c r="C70" s="99">
        <v>25000</v>
      </c>
      <c r="D70" s="99">
        <f t="shared" si="2"/>
        <v>15500000</v>
      </c>
    </row>
    <row r="71" spans="1:8" ht="28.5" customHeight="1" x14ac:dyDescent="0.25">
      <c r="A71" s="75" t="s">
        <v>29</v>
      </c>
      <c r="B71" s="98">
        <f>SUMIF(PRIOVOT!$A:$A,$A71,PRIOVOT!$B:$B)
+SUMIF(PRIOVOT!$D:$D,$A71,PRIOVOT!$E:$E)
+SUMIF(PRIOVOT!$G:$G,$A71,PRIOVOT!$H:$H)</f>
        <v>99</v>
      </c>
      <c r="C71" s="99">
        <v>25000</v>
      </c>
      <c r="D71" s="99">
        <f t="shared" si="2"/>
        <v>2475000</v>
      </c>
    </row>
    <row r="72" spans="1:8" ht="28.5" customHeight="1" x14ac:dyDescent="0.25">
      <c r="A72" s="75" t="s">
        <v>21</v>
      </c>
      <c r="B72" s="98">
        <f>SUMIF(PRIOVOT!$A:$A,$A72,PRIOVOT!$B:$B)
+SUMIF(PRIOVOT!$D:$D,$A72,PRIOVOT!$E:$E)
+SUMIF(PRIOVOT!$G:$G,$A72,PRIOVOT!$H:$H)</f>
        <v>3320</v>
      </c>
      <c r="C72" s="99">
        <v>25000</v>
      </c>
      <c r="D72" s="99">
        <f t="shared" si="2"/>
        <v>83000000</v>
      </c>
    </row>
    <row r="73" spans="1:8" ht="28.5" customHeight="1" x14ac:dyDescent="0.25">
      <c r="A73" s="75" t="s">
        <v>22</v>
      </c>
      <c r="B73" s="98">
        <f>SUMIF(PRIOVOT!$A:$A,$A73,PRIOVOT!$B:$B)
+SUMIF(PRIOVOT!$D:$D,$A73,PRIOVOT!$E:$E)
+SUMIF(PRIOVOT!$G:$G,$A73,PRIOVOT!$H:$H)</f>
        <v>506</v>
      </c>
      <c r="C73" s="99">
        <v>25000</v>
      </c>
      <c r="D73" s="99">
        <f t="shared" si="2"/>
        <v>12650000</v>
      </c>
    </row>
    <row r="74" spans="1:8" ht="28.5" customHeight="1" x14ac:dyDescent="0.25">
      <c r="A74" s="75" t="s">
        <v>23</v>
      </c>
      <c r="B74" s="98">
        <f>SUMIF(PRIOVOT!$A:$A,$A74,PRIOVOT!$B:$B)
+SUMIF(PRIOVOT!$D:$D,$A74,PRIOVOT!$E:$E)
+SUMIF(PRIOVOT!$G:$G,$A74,PRIOVOT!$H:$H)</f>
        <v>446</v>
      </c>
      <c r="C74" s="99">
        <v>25000</v>
      </c>
      <c r="D74" s="99">
        <f t="shared" si="2"/>
        <v>11150000</v>
      </c>
    </row>
    <row r="75" spans="1:8" ht="28.5" customHeight="1" x14ac:dyDescent="0.25">
      <c r="A75" s="75" t="s">
        <v>25</v>
      </c>
      <c r="B75" s="98">
        <f>SUMIF(PRIOVOT!$A:$A,$A75,PRIOVOT!$B:$B)
+SUMIF(PRIOVOT!$D:$D,$A75,PRIOVOT!$E:$E)
+SUMIF(PRIOVOT!$G:$G,$A75,PRIOVOT!$H:$H)</f>
        <v>275</v>
      </c>
      <c r="C75" s="99">
        <v>25000</v>
      </c>
      <c r="D75" s="99">
        <f t="shared" si="2"/>
        <v>6875000</v>
      </c>
    </row>
    <row r="76" spans="1:8" ht="28.5" customHeight="1" x14ac:dyDescent="0.25">
      <c r="A76" s="75" t="s">
        <v>26</v>
      </c>
      <c r="B76" s="98">
        <f>SUMIF(PRIOVOT!$A:$A,$A76,PRIOVOT!$B:$B)
+SUMIF(PRIOVOT!$D:$D,$A76,PRIOVOT!$E:$E)
+SUMIF(PRIOVOT!$G:$G,$A76,PRIOVOT!$H:$H)</f>
        <v>20</v>
      </c>
      <c r="C76" s="99">
        <v>25000</v>
      </c>
      <c r="D76" s="99">
        <f t="shared" si="2"/>
        <v>500000</v>
      </c>
    </row>
    <row r="77" spans="1:8" ht="28.5" customHeight="1" x14ac:dyDescent="0.25">
      <c r="A77" s="75" t="s">
        <v>31</v>
      </c>
      <c r="B77" s="98">
        <f>SUMIF(PRIOVOT!$A:$A,$A77,PRIOVOT!$B:$B)
+SUMIF(PRIOVOT!$D:$D,$A77,PRIOVOT!$E:$E)
+SUMIF(PRIOVOT!$G:$G,$A77,PRIOVOT!$H:$H)</f>
        <v>24</v>
      </c>
      <c r="C77" s="99">
        <v>25000</v>
      </c>
      <c r="D77" s="99">
        <f t="shared" si="2"/>
        <v>600000</v>
      </c>
    </row>
    <row r="78" spans="1:8" ht="28.5" customHeight="1" x14ac:dyDescent="0.25">
      <c r="A78" s="75" t="s">
        <v>32</v>
      </c>
      <c r="B78" s="98">
        <f>SUMIF(PRIOVOT!$A:$A,$A78,PRIOVOT!$B:$B)
+SUMIF(PRIOVOT!$D:$D,$A78,PRIOVOT!$E:$E)
+SUMIF(PRIOVOT!$G:$G,$A78,PRIOVOT!$H:$H)</f>
        <v>244</v>
      </c>
      <c r="C78" s="99">
        <v>25000</v>
      </c>
      <c r="D78" s="99">
        <f t="shared" si="2"/>
        <v>6100000</v>
      </c>
    </row>
    <row r="79" spans="1:8" ht="31.5" customHeight="1" x14ac:dyDescent="0.35">
      <c r="A79" s="113" t="s">
        <v>899</v>
      </c>
      <c r="B79" s="114"/>
      <c r="C79" s="115"/>
      <c r="D79" s="100">
        <f>SUM(D48:D78)</f>
        <v>340900000</v>
      </c>
      <c r="F79" s="95"/>
      <c r="H79" s="87"/>
    </row>
  </sheetData>
  <mergeCells count="2">
    <mergeCell ref="A43:B43"/>
    <mergeCell ref="A79:C79"/>
  </mergeCells>
  <pageMargins left="0.7" right="0.7" top="0.75" bottom="0.75" header="0.3" footer="0.3"/>
  <pageSetup paperSize="9" scale="69" fitToHeight="0" orientation="portrait" r:id="rId1"/>
  <rowBreaks count="1" manualBreakCount="1">
    <brk id="44" max="6" man="1"/>
  </rowBreaks>
  <colBreaks count="1" manualBreakCount="1">
    <brk id="7"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2472-E0B7-4C61-A168-323D1C77F7FD}">
  <sheetPr codeName="Sheet5">
    <tabColor rgb="FFFFFF00"/>
    <pageSetUpPr fitToPage="1"/>
  </sheetPr>
  <dimension ref="A1:O60"/>
  <sheetViews>
    <sheetView tabSelected="1" topLeftCell="A32" zoomScale="68" zoomScaleNormal="68" zoomScaleSheetLayoutView="90" workbookViewId="0">
      <selection activeCell="N12" sqref="N12"/>
    </sheetView>
  </sheetViews>
  <sheetFormatPr defaultColWidth="9" defaultRowHeight="15" x14ac:dyDescent="0.25"/>
  <cols>
    <col min="1" max="1" width="22.625" style="26" customWidth="1"/>
    <col min="2" max="2" width="23.625" style="26" customWidth="1"/>
    <col min="3" max="3" width="22.625" style="26" customWidth="1"/>
    <col min="4" max="4" width="23.625" style="26" customWidth="1"/>
    <col min="5" max="5" width="9" style="26"/>
    <col min="6" max="8" width="15.625" style="26" hidden="1" customWidth="1"/>
    <col min="9" max="9" width="0" style="26" hidden="1" customWidth="1"/>
    <col min="10" max="13" width="9" style="26"/>
    <col min="14" max="14" width="10.125" style="26" bestFit="1" customWidth="1"/>
    <col min="15" max="16384" width="9" style="26"/>
  </cols>
  <sheetData>
    <row r="1" spans="1:8" ht="51.75" customHeight="1" x14ac:dyDescent="0.25">
      <c r="A1" s="101" t="s">
        <v>999</v>
      </c>
      <c r="B1" s="102"/>
      <c r="C1" s="102"/>
      <c r="D1" s="102"/>
    </row>
    <row r="2" spans="1:8" ht="69" customHeight="1" x14ac:dyDescent="0.25">
      <c r="A2" s="103" t="s">
        <v>1000</v>
      </c>
      <c r="B2" s="103"/>
      <c r="C2" s="103"/>
      <c r="D2" s="103"/>
    </row>
    <row r="3" spans="1:8" ht="42.75" customHeight="1" x14ac:dyDescent="0.25">
      <c r="A3" s="103" t="s">
        <v>1001</v>
      </c>
      <c r="B3" s="103"/>
      <c r="C3" s="103"/>
      <c r="D3" s="103"/>
    </row>
    <row r="4" spans="1:8" ht="69" customHeight="1" x14ac:dyDescent="0.25">
      <c r="A4" s="103" t="s">
        <v>1002</v>
      </c>
      <c r="B4" s="103"/>
      <c r="C4" s="103"/>
      <c r="D4" s="103"/>
    </row>
    <row r="5" spans="1:8" ht="15.75" x14ac:dyDescent="0.25">
      <c r="A5" s="22"/>
      <c r="B5" s="22"/>
      <c r="C5" s="22"/>
      <c r="D5" s="22"/>
    </row>
    <row r="6" spans="1:8" ht="15.75" x14ac:dyDescent="0.25">
      <c r="A6" s="69" t="s">
        <v>1003</v>
      </c>
      <c r="B6" s="22"/>
      <c r="C6" s="22"/>
      <c r="D6" s="22"/>
    </row>
    <row r="7" spans="1:8" ht="15.75" x14ac:dyDescent="0.25">
      <c r="A7" s="22"/>
      <c r="B7" s="22"/>
      <c r="C7" s="22"/>
      <c r="D7" s="22"/>
    </row>
    <row r="8" spans="1:8" ht="47.25" x14ac:dyDescent="0.25">
      <c r="A8" s="70" t="s">
        <v>893</v>
      </c>
      <c r="B8" s="70" t="s">
        <v>1004</v>
      </c>
      <c r="C8" s="70" t="s">
        <v>1005</v>
      </c>
      <c r="D8" s="70" t="s">
        <v>1006</v>
      </c>
      <c r="F8" s="79" t="s">
        <v>998</v>
      </c>
      <c r="G8" s="79" t="s">
        <v>1010</v>
      </c>
      <c r="H8" s="79" t="s">
        <v>1011</v>
      </c>
    </row>
    <row r="9" spans="1:8" ht="15.75" x14ac:dyDescent="0.25">
      <c r="A9" s="86">
        <v>46266</v>
      </c>
      <c r="B9" s="71">
        <f>SUM(Payment!B6:C6)</f>
        <v>25</v>
      </c>
      <c r="C9" s="72">
        <f>SUM(Payment!D6:F6)</f>
        <v>352</v>
      </c>
      <c r="D9" s="72">
        <f>SUM(B9:C9)</f>
        <v>377</v>
      </c>
      <c r="F9" s="72">
        <v>8</v>
      </c>
      <c r="G9" s="106">
        <f>HHVCV!E8+'HHVCV - Tăng ca'!F11</f>
        <v>388</v>
      </c>
      <c r="H9" s="106">
        <f>HHVCV!E7+'HHVCV - Tăng ca'!F10</f>
        <v>174</v>
      </c>
    </row>
    <row r="10" spans="1:8" ht="15.75" x14ac:dyDescent="0.25">
      <c r="A10" s="86">
        <v>46267</v>
      </c>
      <c r="B10" s="71">
        <f>SUM(Payment!B7:C7)</f>
        <v>0</v>
      </c>
      <c r="C10" s="72">
        <f>SUM(Payment!D7:F7)</f>
        <v>0</v>
      </c>
      <c r="D10" s="72">
        <f t="shared" ref="D10:D38" si="0">SUM(B10:C10)</f>
        <v>0</v>
      </c>
      <c r="F10" s="72">
        <v>0</v>
      </c>
      <c r="G10" s="107"/>
      <c r="H10" s="107"/>
    </row>
    <row r="11" spans="1:8" ht="15.75" x14ac:dyDescent="0.25">
      <c r="A11" s="86">
        <v>46268</v>
      </c>
      <c r="B11" s="71">
        <f>SUM(Payment!B8:C8)</f>
        <v>0</v>
      </c>
      <c r="C11" s="72">
        <f>SUM(Payment!D8:F8)</f>
        <v>0</v>
      </c>
      <c r="D11" s="72">
        <f t="shared" si="0"/>
        <v>0</v>
      </c>
      <c r="F11" s="72">
        <f>'CHIỀU '!K14</f>
        <v>0</v>
      </c>
      <c r="G11" s="107"/>
      <c r="H11" s="107"/>
    </row>
    <row r="12" spans="1:8" ht="15.75" x14ac:dyDescent="0.25">
      <c r="A12" s="86">
        <v>46269</v>
      </c>
      <c r="B12" s="71">
        <f>SUM(Payment!B9:C9)</f>
        <v>25</v>
      </c>
      <c r="C12" s="72">
        <f>SUM(Payment!D9:F9)</f>
        <v>463</v>
      </c>
      <c r="D12" s="72">
        <f t="shared" si="0"/>
        <v>488</v>
      </c>
      <c r="F12" s="72">
        <v>8</v>
      </c>
      <c r="G12" s="107"/>
      <c r="H12" s="107"/>
    </row>
    <row r="13" spans="1:8" ht="15.75" x14ac:dyDescent="0.25">
      <c r="A13" s="86">
        <v>46270</v>
      </c>
      <c r="B13" s="71">
        <f>SUM(Payment!B10:C10)</f>
        <v>24</v>
      </c>
      <c r="C13" s="72">
        <f>SUM(Payment!D10:F10)</f>
        <v>357</v>
      </c>
      <c r="D13" s="72">
        <f t="shared" si="0"/>
        <v>381</v>
      </c>
      <c r="F13" s="72">
        <v>8</v>
      </c>
      <c r="G13" s="107"/>
      <c r="H13" s="107"/>
    </row>
    <row r="14" spans="1:8" ht="15.75" x14ac:dyDescent="0.25">
      <c r="A14" s="86">
        <v>46271</v>
      </c>
      <c r="B14" s="71">
        <f>SUM(Payment!B11:C11)</f>
        <v>5</v>
      </c>
      <c r="C14" s="72">
        <f>SUM(Payment!D11:F11)</f>
        <v>67</v>
      </c>
      <c r="D14" s="72">
        <f t="shared" si="0"/>
        <v>72</v>
      </c>
      <c r="F14" s="72">
        <f>'CHIỀU '!I18</f>
        <v>0</v>
      </c>
      <c r="G14" s="107"/>
      <c r="H14" s="107"/>
    </row>
    <row r="15" spans="1:8" ht="15.75" x14ac:dyDescent="0.25">
      <c r="A15" s="86">
        <v>46272</v>
      </c>
      <c r="B15" s="71">
        <f>SUM(Payment!B12:C12)</f>
        <v>25</v>
      </c>
      <c r="C15" s="72">
        <f>SUM(Payment!D12:F12)</f>
        <v>469</v>
      </c>
      <c r="D15" s="72">
        <f t="shared" si="0"/>
        <v>494</v>
      </c>
      <c r="F15" s="72">
        <v>8</v>
      </c>
      <c r="G15" s="107"/>
      <c r="H15" s="107"/>
    </row>
    <row r="16" spans="1:8" ht="15.75" x14ac:dyDescent="0.25">
      <c r="A16" s="86">
        <v>46273</v>
      </c>
      <c r="B16" s="71">
        <f>SUM(Payment!B13:C13)</f>
        <v>25</v>
      </c>
      <c r="C16" s="72">
        <f>SUM(Payment!D13:F13)</f>
        <v>437</v>
      </c>
      <c r="D16" s="72">
        <f t="shared" si="0"/>
        <v>462</v>
      </c>
      <c r="F16" s="72">
        <v>10</v>
      </c>
      <c r="G16" s="107"/>
      <c r="H16" s="107"/>
    </row>
    <row r="17" spans="1:8" ht="15.75" x14ac:dyDescent="0.25">
      <c r="A17" s="86">
        <v>46274</v>
      </c>
      <c r="B17" s="71">
        <f>SUM(Payment!B14:C14)</f>
        <v>23</v>
      </c>
      <c r="C17" s="72">
        <f>SUM(Payment!D14:F14)</f>
        <v>448</v>
      </c>
      <c r="D17" s="72">
        <f t="shared" si="0"/>
        <v>471</v>
      </c>
      <c r="F17" s="72">
        <v>10</v>
      </c>
      <c r="G17" s="107"/>
      <c r="H17" s="107"/>
    </row>
    <row r="18" spans="1:8" ht="15.75" x14ac:dyDescent="0.25">
      <c r="A18" s="86">
        <v>46275</v>
      </c>
      <c r="B18" s="71">
        <f>SUM(Payment!B15:C15)</f>
        <v>26</v>
      </c>
      <c r="C18" s="72">
        <f>SUM(Payment!D15:F15)</f>
        <v>429</v>
      </c>
      <c r="D18" s="72">
        <f t="shared" si="0"/>
        <v>455</v>
      </c>
      <c r="F18" s="72">
        <v>10</v>
      </c>
      <c r="G18" s="107"/>
      <c r="H18" s="107"/>
    </row>
    <row r="19" spans="1:8" ht="15.75" x14ac:dyDescent="0.25">
      <c r="A19" s="86">
        <v>46276</v>
      </c>
      <c r="B19" s="71">
        <f>SUM(Payment!B16:C16)</f>
        <v>25</v>
      </c>
      <c r="C19" s="72">
        <f>SUM(Payment!D16:F16)</f>
        <v>405</v>
      </c>
      <c r="D19" s="72">
        <f t="shared" si="0"/>
        <v>430</v>
      </c>
      <c r="F19" s="72">
        <v>10</v>
      </c>
      <c r="G19" s="107"/>
      <c r="H19" s="107"/>
    </row>
    <row r="20" spans="1:8" ht="15.75" x14ac:dyDescent="0.25">
      <c r="A20" s="86">
        <v>46277</v>
      </c>
      <c r="B20" s="71">
        <f>SUM(Payment!B17:C17)</f>
        <v>23</v>
      </c>
      <c r="C20" s="72">
        <f>SUM(Payment!D17:F17)</f>
        <v>316</v>
      </c>
      <c r="D20" s="72">
        <f t="shared" si="0"/>
        <v>339</v>
      </c>
      <c r="F20" s="72">
        <v>10</v>
      </c>
      <c r="G20" s="107"/>
      <c r="H20" s="107"/>
    </row>
    <row r="21" spans="1:8" ht="15.75" x14ac:dyDescent="0.25">
      <c r="A21" s="86">
        <v>46278</v>
      </c>
      <c r="B21" s="71">
        <f>SUM(Payment!B18:C18)</f>
        <v>0</v>
      </c>
      <c r="C21" s="72">
        <f>SUM(Payment!D18:F18)</f>
        <v>0</v>
      </c>
      <c r="D21" s="72">
        <f t="shared" si="0"/>
        <v>0</v>
      </c>
      <c r="F21" s="72">
        <v>0</v>
      </c>
      <c r="G21" s="107"/>
      <c r="H21" s="107"/>
    </row>
    <row r="22" spans="1:8" ht="15.75" x14ac:dyDescent="0.25">
      <c r="A22" s="86">
        <v>46279</v>
      </c>
      <c r="B22" s="71">
        <f>SUM(Payment!B19:C19)</f>
        <v>27</v>
      </c>
      <c r="C22" s="72">
        <f>SUM(Payment!D19:F19)</f>
        <v>459</v>
      </c>
      <c r="D22" s="72">
        <f t="shared" si="0"/>
        <v>486</v>
      </c>
      <c r="F22" s="72">
        <v>10</v>
      </c>
      <c r="G22" s="107"/>
      <c r="H22" s="107"/>
    </row>
    <row r="23" spans="1:8" ht="15.75" x14ac:dyDescent="0.25">
      <c r="A23" s="86">
        <v>46280</v>
      </c>
      <c r="B23" s="71">
        <f>SUM(Payment!B20:C20)</f>
        <v>27</v>
      </c>
      <c r="C23" s="72">
        <f>SUM(Payment!D20:F20)</f>
        <v>569</v>
      </c>
      <c r="D23" s="72">
        <f t="shared" si="0"/>
        <v>596</v>
      </c>
      <c r="F23" s="72">
        <v>10</v>
      </c>
      <c r="G23" s="107"/>
      <c r="H23" s="107"/>
    </row>
    <row r="24" spans="1:8" ht="15.75" x14ac:dyDescent="0.25">
      <c r="A24" s="86">
        <v>46281</v>
      </c>
      <c r="B24" s="71">
        <f>SUM(Payment!B21:C21)</f>
        <v>26</v>
      </c>
      <c r="C24" s="72">
        <f>SUM(Payment!D21:F21)</f>
        <v>575</v>
      </c>
      <c r="D24" s="72">
        <f t="shared" si="0"/>
        <v>601</v>
      </c>
      <c r="F24" s="72">
        <v>10</v>
      </c>
      <c r="G24" s="107"/>
      <c r="H24" s="107"/>
    </row>
    <row r="25" spans="1:8" ht="15.75" x14ac:dyDescent="0.25">
      <c r="A25" s="86">
        <v>46282</v>
      </c>
      <c r="B25" s="71">
        <f>SUM(Payment!B22:C22)</f>
        <v>25</v>
      </c>
      <c r="C25" s="72">
        <f>SUM(Payment!D22:F22)</f>
        <v>588</v>
      </c>
      <c r="D25" s="72">
        <f t="shared" si="0"/>
        <v>613</v>
      </c>
      <c r="F25" s="72">
        <v>10</v>
      </c>
      <c r="G25" s="107"/>
      <c r="H25" s="107"/>
    </row>
    <row r="26" spans="1:8" ht="15.75" x14ac:dyDescent="0.25">
      <c r="A26" s="86">
        <v>46283</v>
      </c>
      <c r="B26" s="71">
        <f>SUM(Payment!B23:C23)</f>
        <v>24</v>
      </c>
      <c r="C26" s="72">
        <f>SUM(Payment!D23:F23)</f>
        <v>490</v>
      </c>
      <c r="D26" s="72">
        <f t="shared" si="0"/>
        <v>514</v>
      </c>
      <c r="F26" s="72">
        <v>10</v>
      </c>
      <c r="G26" s="107"/>
      <c r="H26" s="107"/>
    </row>
    <row r="27" spans="1:8" ht="15.75" x14ac:dyDescent="0.25">
      <c r="A27" s="86">
        <v>46284</v>
      </c>
      <c r="B27" s="71">
        <f>SUM(Payment!B24:C24)</f>
        <v>22</v>
      </c>
      <c r="C27" s="72">
        <f>SUM(Payment!D24:F24)</f>
        <v>371</v>
      </c>
      <c r="D27" s="72">
        <f t="shared" si="0"/>
        <v>393</v>
      </c>
      <c r="F27" s="72">
        <v>10</v>
      </c>
      <c r="G27" s="107"/>
      <c r="H27" s="107"/>
    </row>
    <row r="28" spans="1:8" ht="15.75" x14ac:dyDescent="0.25">
      <c r="A28" s="86">
        <v>46285</v>
      </c>
      <c r="B28" s="71">
        <f>SUM(Payment!B25:C25)</f>
        <v>6</v>
      </c>
      <c r="C28" s="72">
        <f>SUM(Payment!D25:F25)</f>
        <v>67</v>
      </c>
      <c r="D28" s="72">
        <f t="shared" si="0"/>
        <v>73</v>
      </c>
      <c r="F28" s="72">
        <v>0</v>
      </c>
      <c r="G28" s="107"/>
      <c r="H28" s="107"/>
    </row>
    <row r="29" spans="1:8" ht="15.75" x14ac:dyDescent="0.25">
      <c r="A29" s="86">
        <v>46286</v>
      </c>
      <c r="B29" s="71">
        <f>SUM(Payment!B26:C26)</f>
        <v>25</v>
      </c>
      <c r="C29" s="72">
        <f>SUM(Payment!D26:F26)</f>
        <v>555</v>
      </c>
      <c r="D29" s="72">
        <f t="shared" si="0"/>
        <v>580</v>
      </c>
      <c r="F29" s="72">
        <v>10</v>
      </c>
      <c r="G29" s="107"/>
      <c r="H29" s="107"/>
    </row>
    <row r="30" spans="1:8" ht="15.75" x14ac:dyDescent="0.25">
      <c r="A30" s="86">
        <v>46287</v>
      </c>
      <c r="B30" s="71">
        <f>SUM(Payment!B27:C27)</f>
        <v>48</v>
      </c>
      <c r="C30" s="72">
        <f>SUM(Payment!D27:F27)</f>
        <v>655</v>
      </c>
      <c r="D30" s="72">
        <f t="shared" si="0"/>
        <v>703</v>
      </c>
      <c r="F30" s="72">
        <v>10</v>
      </c>
      <c r="G30" s="107"/>
      <c r="H30" s="107"/>
    </row>
    <row r="31" spans="1:8" ht="15.75" x14ac:dyDescent="0.25">
      <c r="A31" s="86">
        <v>46288</v>
      </c>
      <c r="B31" s="71">
        <f>SUM(Payment!B28:C28)</f>
        <v>49</v>
      </c>
      <c r="C31" s="72">
        <f>SUM(Payment!D28:F28)</f>
        <v>625</v>
      </c>
      <c r="D31" s="72">
        <f t="shared" si="0"/>
        <v>674</v>
      </c>
      <c r="F31" s="72">
        <v>10</v>
      </c>
      <c r="G31" s="107"/>
      <c r="H31" s="107"/>
    </row>
    <row r="32" spans="1:8" ht="15.75" x14ac:dyDescent="0.25">
      <c r="A32" s="86">
        <v>46289</v>
      </c>
      <c r="B32" s="71">
        <f>SUM(Payment!B29:C29)</f>
        <v>49</v>
      </c>
      <c r="C32" s="72">
        <f>SUM(Payment!D29:F29)</f>
        <v>608</v>
      </c>
      <c r="D32" s="72">
        <f t="shared" si="0"/>
        <v>657</v>
      </c>
      <c r="F32" s="72">
        <v>10</v>
      </c>
      <c r="G32" s="107"/>
      <c r="H32" s="107"/>
    </row>
    <row r="33" spans="1:15" ht="15.75" x14ac:dyDescent="0.25">
      <c r="A33" s="86">
        <v>46290</v>
      </c>
      <c r="B33" s="71">
        <f>SUM(Payment!B30:C30)</f>
        <v>38</v>
      </c>
      <c r="C33" s="72">
        <f>SUM(Payment!D30:F30)</f>
        <v>466</v>
      </c>
      <c r="D33" s="72">
        <f t="shared" si="0"/>
        <v>504</v>
      </c>
      <c r="F33" s="72">
        <v>10</v>
      </c>
      <c r="G33" s="107"/>
      <c r="H33" s="107"/>
    </row>
    <row r="34" spans="1:15" ht="15.75" x14ac:dyDescent="0.25">
      <c r="A34" s="86">
        <v>46291</v>
      </c>
      <c r="B34" s="71">
        <f>SUM(Payment!B31:C31)</f>
        <v>47</v>
      </c>
      <c r="C34" s="72">
        <f>SUM(Payment!D31:F31)</f>
        <v>389</v>
      </c>
      <c r="D34" s="72">
        <f t="shared" si="0"/>
        <v>436</v>
      </c>
      <c r="F34" s="72">
        <f>10</f>
        <v>10</v>
      </c>
      <c r="G34" s="107"/>
      <c r="H34" s="107"/>
    </row>
    <row r="35" spans="1:15" ht="15.75" x14ac:dyDescent="0.25">
      <c r="A35" s="86">
        <v>46292</v>
      </c>
      <c r="B35" s="71">
        <f>SUM(Payment!B32:C32)</f>
        <v>24</v>
      </c>
      <c r="C35" s="72">
        <f>SUM(Payment!D32:F32)</f>
        <v>120</v>
      </c>
      <c r="D35" s="72">
        <f t="shared" si="0"/>
        <v>144</v>
      </c>
      <c r="F35" s="72"/>
      <c r="G35" s="107"/>
      <c r="H35" s="107"/>
    </row>
    <row r="36" spans="1:15" ht="15.75" x14ac:dyDescent="0.25">
      <c r="A36" s="86">
        <v>46293</v>
      </c>
      <c r="B36" s="71">
        <f>SUM(Payment!B33:C33)</f>
        <v>47</v>
      </c>
      <c r="C36" s="72">
        <f>SUM(Payment!D33:F33)</f>
        <v>610</v>
      </c>
      <c r="D36" s="72">
        <f t="shared" si="0"/>
        <v>657</v>
      </c>
      <c r="F36" s="72">
        <v>10</v>
      </c>
      <c r="G36" s="107"/>
      <c r="H36" s="107"/>
    </row>
    <row r="37" spans="1:15" ht="15.75" x14ac:dyDescent="0.25">
      <c r="A37" s="86">
        <v>46294</v>
      </c>
      <c r="B37" s="71">
        <f>SUM(Payment!B34:C34)</f>
        <v>44</v>
      </c>
      <c r="C37" s="72">
        <f>SUM(Payment!D34:F34)</f>
        <v>626</v>
      </c>
      <c r="D37" s="72">
        <f t="shared" si="0"/>
        <v>670</v>
      </c>
      <c r="F37" s="72">
        <v>10</v>
      </c>
      <c r="G37" s="107"/>
      <c r="H37" s="107"/>
      <c r="N37" s="87"/>
      <c r="O37" s="89"/>
    </row>
    <row r="38" spans="1:15" ht="15.75" x14ac:dyDescent="0.25">
      <c r="A38" s="86">
        <v>46295</v>
      </c>
      <c r="B38" s="71">
        <f>SUM(Payment!B35:C35)</f>
        <v>39</v>
      </c>
      <c r="C38" s="72">
        <f>SUM(Payment!D35:F35)</f>
        <v>534</v>
      </c>
      <c r="D38" s="72">
        <f t="shared" si="0"/>
        <v>573</v>
      </c>
      <c r="F38" s="72">
        <v>10</v>
      </c>
      <c r="G38" s="108"/>
      <c r="H38" s="108"/>
    </row>
    <row r="39" spans="1:15" ht="31.5" x14ac:dyDescent="0.25">
      <c r="A39" s="73" t="s">
        <v>894</v>
      </c>
      <c r="B39" s="74">
        <f>SUM(B9:B38)</f>
        <v>793</v>
      </c>
      <c r="C39" s="74">
        <f>SUM(C9:C38)</f>
        <v>12050</v>
      </c>
      <c r="D39" s="74">
        <f>SUM(D9:D38)</f>
        <v>12843</v>
      </c>
      <c r="F39" s="74">
        <f>SUM(F9:F38)</f>
        <v>232</v>
      </c>
      <c r="G39" s="74">
        <f t="shared" ref="G39:H39" si="1">SUM(G9:G38)</f>
        <v>388</v>
      </c>
      <c r="H39" s="74">
        <f t="shared" si="1"/>
        <v>174</v>
      </c>
    </row>
    <row r="40" spans="1:15" ht="15.75" x14ac:dyDescent="0.25">
      <c r="A40" s="22"/>
      <c r="B40" s="22"/>
      <c r="C40" s="22"/>
      <c r="D40" s="22"/>
      <c r="F40" s="78">
        <f>F39*25000</f>
        <v>5800000</v>
      </c>
      <c r="G40" s="78">
        <f t="shared" ref="G40" si="2">G39*25000</f>
        <v>9700000</v>
      </c>
      <c r="H40" s="78">
        <f>H39*50000</f>
        <v>8700000</v>
      </c>
    </row>
    <row r="41" spans="1:15" ht="21" x14ac:dyDescent="0.25">
      <c r="A41" s="22"/>
      <c r="B41" s="22"/>
      <c r="C41" s="22"/>
      <c r="D41" s="22"/>
      <c r="F41" s="104" t="s">
        <v>1062</v>
      </c>
      <c r="G41" s="104"/>
      <c r="H41" s="78">
        <f>SUM(F40:H40)</f>
        <v>24200000</v>
      </c>
    </row>
    <row r="42" spans="1:15" ht="21" x14ac:dyDescent="0.25">
      <c r="A42" s="69" t="s">
        <v>1007</v>
      </c>
      <c r="B42" s="22"/>
      <c r="C42" s="22"/>
      <c r="D42" s="22"/>
      <c r="F42" s="104" t="s">
        <v>952</v>
      </c>
      <c r="G42" s="104"/>
      <c r="H42" s="84">
        <f>H41*8%</f>
        <v>1936000</v>
      </c>
    </row>
    <row r="43" spans="1:15" ht="25.5" customHeight="1" x14ac:dyDescent="0.25">
      <c r="A43" s="69"/>
      <c r="B43" s="22"/>
      <c r="C43" s="22"/>
      <c r="D43" s="22"/>
      <c r="F43" s="104" t="s">
        <v>1059</v>
      </c>
      <c r="G43" s="104"/>
      <c r="H43" s="84">
        <f>SUM(H41:H42)</f>
        <v>26136000</v>
      </c>
    </row>
    <row r="44" spans="1:15" ht="15.75" x14ac:dyDescent="0.25">
      <c r="A44" s="70" t="s">
        <v>896</v>
      </c>
      <c r="B44" s="70" t="s">
        <v>897</v>
      </c>
      <c r="C44" s="70" t="s">
        <v>898</v>
      </c>
      <c r="D44" s="70" t="s">
        <v>899</v>
      </c>
    </row>
    <row r="45" spans="1:15" ht="15.75" x14ac:dyDescent="0.25">
      <c r="A45" s="75" t="s">
        <v>900</v>
      </c>
      <c r="B45" s="76">
        <v>50000</v>
      </c>
      <c r="C45" s="76">
        <f>B39</f>
        <v>793</v>
      </c>
      <c r="D45" s="71">
        <f>C45*B45</f>
        <v>39650000</v>
      </c>
    </row>
    <row r="46" spans="1:15" ht="47.25" x14ac:dyDescent="0.25">
      <c r="A46" s="75" t="s">
        <v>1008</v>
      </c>
      <c r="B46" s="76">
        <v>25000</v>
      </c>
      <c r="C46" s="76">
        <f>C39</f>
        <v>12050</v>
      </c>
      <c r="D46" s="71">
        <f>C46*B46</f>
        <v>301250000</v>
      </c>
    </row>
    <row r="47" spans="1:15" ht="15.75" x14ac:dyDescent="0.25">
      <c r="A47" s="111" t="s">
        <v>901</v>
      </c>
      <c r="B47" s="112"/>
      <c r="C47" s="77">
        <f>SUM(C45:C46)</f>
        <v>12843</v>
      </c>
      <c r="D47" s="77">
        <f>SUM(D45:D46)</f>
        <v>340900000</v>
      </c>
    </row>
    <row r="48" spans="1:15" ht="15.75" x14ac:dyDescent="0.25">
      <c r="A48" s="111" t="s">
        <v>952</v>
      </c>
      <c r="B48" s="112"/>
      <c r="C48" s="77"/>
      <c r="D48" s="77">
        <f>D47*8%</f>
        <v>27272000</v>
      </c>
    </row>
    <row r="49" spans="1:4" ht="15.75" x14ac:dyDescent="0.25">
      <c r="A49" s="111" t="s">
        <v>953</v>
      </c>
      <c r="B49" s="112"/>
      <c r="C49" s="39"/>
      <c r="D49" s="77">
        <f>SUM(D47:D48)</f>
        <v>368172000</v>
      </c>
    </row>
    <row r="50" spans="1:4" ht="15.75" x14ac:dyDescent="0.25">
      <c r="A50" s="22"/>
      <c r="B50" s="22"/>
      <c r="C50" s="22"/>
      <c r="D50" s="22"/>
    </row>
    <row r="51" spans="1:4" ht="88.5" customHeight="1" x14ac:dyDescent="0.25">
      <c r="A51" s="103" t="s">
        <v>1009</v>
      </c>
      <c r="B51" s="103"/>
      <c r="C51" s="103"/>
      <c r="D51" s="103"/>
    </row>
    <row r="52" spans="1:4" ht="15.75" x14ac:dyDescent="0.25">
      <c r="A52" s="22"/>
      <c r="B52" s="22"/>
      <c r="C52" s="22"/>
      <c r="D52" s="22"/>
    </row>
    <row r="53" spans="1:4" ht="42.75" customHeight="1" x14ac:dyDescent="0.25">
      <c r="A53" s="109" t="s">
        <v>979</v>
      </c>
      <c r="B53" s="109"/>
      <c r="C53" s="109" t="s">
        <v>980</v>
      </c>
      <c r="D53" s="110"/>
    </row>
    <row r="54" spans="1:4" ht="15.75" x14ac:dyDescent="0.25">
      <c r="A54" s="22"/>
      <c r="B54" s="22"/>
      <c r="C54" s="22"/>
      <c r="D54" s="22"/>
    </row>
    <row r="55" spans="1:4" ht="15.75" x14ac:dyDescent="0.25">
      <c r="A55" s="22"/>
      <c r="B55" s="22"/>
      <c r="C55" s="22"/>
      <c r="D55" s="22"/>
    </row>
    <row r="56" spans="1:4" ht="15.75" x14ac:dyDescent="0.25">
      <c r="A56" s="22"/>
      <c r="B56" s="22"/>
      <c r="C56" s="22"/>
      <c r="D56" s="22"/>
    </row>
    <row r="57" spans="1:4" ht="15.75" x14ac:dyDescent="0.25">
      <c r="A57" s="22"/>
      <c r="B57" s="22"/>
      <c r="C57" s="22"/>
      <c r="D57" s="22"/>
    </row>
    <row r="58" spans="1:4" ht="15.75" x14ac:dyDescent="0.25">
      <c r="A58" s="22"/>
      <c r="B58" s="22"/>
      <c r="C58" s="22"/>
      <c r="D58" s="22"/>
    </row>
    <row r="59" spans="1:4" ht="15.75" x14ac:dyDescent="0.25">
      <c r="A59" s="22"/>
      <c r="B59" s="22"/>
      <c r="C59" s="22"/>
      <c r="D59" s="22"/>
    </row>
    <row r="60" spans="1:4" ht="15.75" x14ac:dyDescent="0.25">
      <c r="A60" s="105" t="s">
        <v>981</v>
      </c>
      <c r="B60" s="105"/>
      <c r="C60" s="105" t="s">
        <v>982</v>
      </c>
      <c r="D60" s="105"/>
    </row>
  </sheetData>
  <mergeCells count="17">
    <mergeCell ref="A60:B60"/>
    <mergeCell ref="C60:D60"/>
    <mergeCell ref="F42:G42"/>
    <mergeCell ref="G9:G38"/>
    <mergeCell ref="H9:H38"/>
    <mergeCell ref="A51:D51"/>
    <mergeCell ref="A53:B53"/>
    <mergeCell ref="C53:D53"/>
    <mergeCell ref="A47:B47"/>
    <mergeCell ref="A48:B48"/>
    <mergeCell ref="A49:B49"/>
    <mergeCell ref="A1:D1"/>
    <mergeCell ref="A4:D4"/>
    <mergeCell ref="A3:D3"/>
    <mergeCell ref="A2:D2"/>
    <mergeCell ref="F43:G43"/>
    <mergeCell ref="F41:G41"/>
  </mergeCells>
  <pageMargins left="0.51181102362204722" right="0.51181102362204722" top="0.55118110236220474" bottom="0.55118110236220474" header="0.31496062992125984" footer="0.31496062992125984"/>
  <pageSetup paperSize="9" scale="91" fitToHeight="0" orientation="portrait" r:id="rId1"/>
  <rowBreaks count="1" manualBreakCount="1">
    <brk id="41" max="3" man="1"/>
  </rowBreaks>
  <colBreaks count="1" manualBreakCount="1">
    <brk id="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80FD-C171-4263-BAB3-7619A655DAD1}">
  <sheetPr codeName="Sheet6"/>
  <dimension ref="B2:AC22"/>
  <sheetViews>
    <sheetView zoomScale="80" zoomScaleNormal="80" workbookViewId="0">
      <selection activeCell="J38" sqref="J38"/>
    </sheetView>
  </sheetViews>
  <sheetFormatPr defaultRowHeight="14.25" x14ac:dyDescent="0.2"/>
  <cols>
    <col min="2" max="2" width="16.5" bestFit="1" customWidth="1"/>
    <col min="3" max="3" width="16.5" customWidth="1"/>
    <col min="4" max="7" width="16.5" bestFit="1" customWidth="1"/>
    <col min="8" max="8" width="13" bestFit="1" customWidth="1"/>
    <col min="9" max="10" width="16.375" bestFit="1" customWidth="1"/>
    <col min="11" max="12" width="13" bestFit="1" customWidth="1"/>
    <col min="13" max="14" width="16.375" bestFit="1" customWidth="1"/>
    <col min="15" max="15" width="13" bestFit="1" customWidth="1"/>
    <col min="16" max="16" width="16.375" bestFit="1" customWidth="1"/>
    <col min="17" max="21" width="16.5" bestFit="1" customWidth="1"/>
    <col min="22" max="28" width="12.625" bestFit="1" customWidth="1"/>
    <col min="29" max="29" width="13" bestFit="1" customWidth="1"/>
  </cols>
  <sheetData>
    <row r="2" spans="2:5" ht="15" x14ac:dyDescent="0.2">
      <c r="B2" s="60" t="s">
        <v>987</v>
      </c>
      <c r="C2" s="61"/>
      <c r="D2" s="61" t="s">
        <v>988</v>
      </c>
      <c r="E2" s="62" t="s">
        <v>989</v>
      </c>
    </row>
    <row r="3" spans="2:5" x14ac:dyDescent="0.2">
      <c r="B3" s="63" t="s">
        <v>194</v>
      </c>
      <c r="C3" t="s">
        <v>193</v>
      </c>
      <c r="D3">
        <f>COUNTIF($B$18:$AC$28,"Trần Minh Công")</f>
        <v>9</v>
      </c>
      <c r="E3" s="64">
        <f t="shared" ref="E3:E11" si="0">D3*25000</f>
        <v>225000</v>
      </c>
    </row>
    <row r="4" spans="2:5" x14ac:dyDescent="0.2">
      <c r="B4" s="63" t="s">
        <v>520</v>
      </c>
      <c r="C4" t="s">
        <v>519</v>
      </c>
      <c r="D4">
        <f>COUNTIF($B$18:$AC$28,"Vũ Ngọc Đức")</f>
        <v>9</v>
      </c>
      <c r="E4" s="64">
        <f t="shared" si="0"/>
        <v>225000</v>
      </c>
    </row>
    <row r="5" spans="2:5" x14ac:dyDescent="0.2">
      <c r="B5" s="63" t="s">
        <v>313</v>
      </c>
      <c r="C5" t="s">
        <v>312</v>
      </c>
      <c r="D5">
        <f>COUNTIF($B$18:$AC$28,B5)</f>
        <v>10</v>
      </c>
      <c r="E5" s="64">
        <f t="shared" si="0"/>
        <v>250000</v>
      </c>
    </row>
    <row r="6" spans="2:5" x14ac:dyDescent="0.2">
      <c r="B6" s="63" t="s">
        <v>503</v>
      </c>
      <c r="C6" t="s">
        <v>502</v>
      </c>
      <c r="D6">
        <f>COUNTIF($B$18:$AC$28,"Nguyễn Minh Đức")</f>
        <v>10</v>
      </c>
      <c r="E6" s="64">
        <f t="shared" si="0"/>
        <v>250000</v>
      </c>
    </row>
    <row r="7" spans="2:5" x14ac:dyDescent="0.2">
      <c r="B7" s="63" t="s">
        <v>703</v>
      </c>
      <c r="C7" t="s">
        <v>706</v>
      </c>
      <c r="D7">
        <f>COUNTIF($B$18:$AC$28,"Nguyễn Văn Lâm")</f>
        <v>10</v>
      </c>
      <c r="E7" s="64">
        <f t="shared" si="0"/>
        <v>250000</v>
      </c>
    </row>
    <row r="8" spans="2:5" x14ac:dyDescent="0.2">
      <c r="B8" s="63" t="s">
        <v>353</v>
      </c>
      <c r="C8" t="s">
        <v>352</v>
      </c>
      <c r="D8">
        <f>COUNTIF($B$18:$AC$28,"Trần Văn Nguyên")</f>
        <v>10</v>
      </c>
      <c r="E8" s="64">
        <f t="shared" si="0"/>
        <v>250000</v>
      </c>
    </row>
    <row r="9" spans="2:5" x14ac:dyDescent="0.2">
      <c r="B9" s="63" t="s">
        <v>343</v>
      </c>
      <c r="C9" t="s">
        <v>342</v>
      </c>
      <c r="D9">
        <f>COUNTIF($B$18:$AC$28,"Nguyễn Duy Luân")</f>
        <v>10</v>
      </c>
      <c r="E9" s="64">
        <f t="shared" si="0"/>
        <v>250000</v>
      </c>
    </row>
    <row r="10" spans="2:5" x14ac:dyDescent="0.2">
      <c r="B10" s="63" t="s">
        <v>613</v>
      </c>
      <c r="C10" t="s">
        <v>612</v>
      </c>
      <c r="D10">
        <f>COUNTIF($B$18:$AC$28,"Vũ Đình Duy")</f>
        <v>10</v>
      </c>
      <c r="E10" s="64">
        <f t="shared" si="0"/>
        <v>250000</v>
      </c>
    </row>
    <row r="11" spans="2:5" x14ac:dyDescent="0.2">
      <c r="B11" s="65" t="s">
        <v>815</v>
      </c>
      <c r="C11" s="66" t="s">
        <v>814</v>
      </c>
      <c r="D11" s="66">
        <f>COUNTIF($B$18:$AC$28,"Chu Quang Tiến")</f>
        <v>15</v>
      </c>
      <c r="E11" s="67">
        <f t="shared" si="0"/>
        <v>375000</v>
      </c>
    </row>
    <row r="13" spans="2:5" x14ac:dyDescent="0.2">
      <c r="E13" s="85">
        <f>SUM(E3:E11)</f>
        <v>2325000</v>
      </c>
    </row>
    <row r="17" spans="4:29" ht="15" x14ac:dyDescent="0.2">
      <c r="D17" s="56">
        <v>46260</v>
      </c>
      <c r="E17" s="56">
        <v>46261</v>
      </c>
      <c r="F17" s="56">
        <v>46262</v>
      </c>
      <c r="G17" s="56">
        <v>46263</v>
      </c>
      <c r="H17" s="56">
        <v>46264</v>
      </c>
      <c r="I17" s="56">
        <v>46265</v>
      </c>
      <c r="J17" s="56">
        <v>46266</v>
      </c>
      <c r="K17" s="56">
        <v>46267</v>
      </c>
      <c r="L17" s="56">
        <v>46268</v>
      </c>
      <c r="M17" s="56">
        <v>46269</v>
      </c>
      <c r="N17" s="56">
        <v>46270</v>
      </c>
      <c r="O17" s="56">
        <v>46271</v>
      </c>
      <c r="P17" s="56">
        <v>46272</v>
      </c>
      <c r="Q17" s="56">
        <v>46273</v>
      </c>
      <c r="R17" s="56">
        <v>46274</v>
      </c>
      <c r="S17" s="56">
        <v>46275</v>
      </c>
      <c r="T17" s="56">
        <v>46276</v>
      </c>
      <c r="U17" s="56">
        <v>46277</v>
      </c>
      <c r="V17" s="56">
        <v>46278</v>
      </c>
      <c r="W17" s="56">
        <v>46279</v>
      </c>
      <c r="X17" s="56">
        <v>46280</v>
      </c>
      <c r="Y17" s="56">
        <v>46281</v>
      </c>
      <c r="Z17" s="56">
        <v>46282</v>
      </c>
      <c r="AA17" s="58">
        <v>46283</v>
      </c>
      <c r="AB17" s="58">
        <v>46284</v>
      </c>
      <c r="AC17" s="56">
        <v>46285</v>
      </c>
    </row>
    <row r="18" spans="4:29" x14ac:dyDescent="0.2">
      <c r="D18" t="s">
        <v>313</v>
      </c>
      <c r="E18" t="s">
        <v>313</v>
      </c>
      <c r="F18" t="s">
        <v>313</v>
      </c>
      <c r="G18" t="s">
        <v>313</v>
      </c>
      <c r="I18" t="s">
        <v>353</v>
      </c>
      <c r="J18" t="s">
        <v>353</v>
      </c>
      <c r="M18" t="s">
        <v>353</v>
      </c>
      <c r="N18" t="s">
        <v>353</v>
      </c>
      <c r="P18" t="s">
        <v>313</v>
      </c>
      <c r="Q18" t="s">
        <v>313</v>
      </c>
      <c r="R18" t="s">
        <v>313</v>
      </c>
      <c r="S18" t="s">
        <v>313</v>
      </c>
      <c r="T18" t="s">
        <v>313</v>
      </c>
      <c r="U18" t="s">
        <v>313</v>
      </c>
      <c r="W18" t="s">
        <v>353</v>
      </c>
      <c r="X18" t="s">
        <v>353</v>
      </c>
      <c r="Y18" t="s">
        <v>353</v>
      </c>
      <c r="Z18" t="s">
        <v>353</v>
      </c>
      <c r="AA18" t="s">
        <v>343</v>
      </c>
      <c r="AB18" t="s">
        <v>343</v>
      </c>
    </row>
    <row r="19" spans="4:29" x14ac:dyDescent="0.2">
      <c r="D19" t="s">
        <v>194</v>
      </c>
      <c r="E19" t="s">
        <v>194</v>
      </c>
      <c r="F19" t="s">
        <v>194</v>
      </c>
      <c r="G19" t="s">
        <v>194</v>
      </c>
      <c r="I19" t="s">
        <v>343</v>
      </c>
      <c r="J19" t="s">
        <v>343</v>
      </c>
      <c r="M19" t="s">
        <v>343</v>
      </c>
      <c r="N19" t="s">
        <v>343</v>
      </c>
      <c r="P19" t="s">
        <v>194</v>
      </c>
      <c r="Q19" t="s">
        <v>194</v>
      </c>
      <c r="R19" t="s">
        <v>194</v>
      </c>
      <c r="S19" t="s">
        <v>194</v>
      </c>
      <c r="T19" t="s">
        <v>503</v>
      </c>
      <c r="U19" t="s">
        <v>194</v>
      </c>
      <c r="W19" t="s">
        <v>343</v>
      </c>
      <c r="X19" t="s">
        <v>343</v>
      </c>
      <c r="Y19" t="s">
        <v>343</v>
      </c>
      <c r="Z19" t="s">
        <v>343</v>
      </c>
      <c r="AA19" t="s">
        <v>353</v>
      </c>
      <c r="AB19" t="s">
        <v>353</v>
      </c>
    </row>
    <row r="20" spans="4:29" x14ac:dyDescent="0.2">
      <c r="D20" t="s">
        <v>503</v>
      </c>
      <c r="E20" t="s">
        <v>503</v>
      </c>
      <c r="F20" t="s">
        <v>503</v>
      </c>
      <c r="G20" t="s">
        <v>503</v>
      </c>
      <c r="I20" t="s">
        <v>520</v>
      </c>
      <c r="J20" t="s">
        <v>520</v>
      </c>
      <c r="M20" t="s">
        <v>520</v>
      </c>
      <c r="N20" t="s">
        <v>520</v>
      </c>
      <c r="P20" t="s">
        <v>503</v>
      </c>
      <c r="Q20" t="s">
        <v>503</v>
      </c>
      <c r="R20" t="s">
        <v>503</v>
      </c>
      <c r="S20" t="s">
        <v>503</v>
      </c>
      <c r="T20" t="s">
        <v>703</v>
      </c>
      <c r="U20" t="s">
        <v>503</v>
      </c>
      <c r="W20" t="s">
        <v>520</v>
      </c>
      <c r="X20" t="s">
        <v>613</v>
      </c>
      <c r="Y20" t="s">
        <v>520</v>
      </c>
      <c r="Z20" t="s">
        <v>520</v>
      </c>
      <c r="AA20" t="s">
        <v>520</v>
      </c>
      <c r="AB20" t="s">
        <v>520</v>
      </c>
    </row>
    <row r="21" spans="4:29" x14ac:dyDescent="0.2">
      <c r="D21" t="s">
        <v>703</v>
      </c>
      <c r="E21" t="s">
        <v>703</v>
      </c>
      <c r="F21" t="s">
        <v>703</v>
      </c>
      <c r="G21" t="s">
        <v>703</v>
      </c>
      <c r="I21" t="s">
        <v>613</v>
      </c>
      <c r="J21" t="s">
        <v>613</v>
      </c>
      <c r="M21" t="s">
        <v>613</v>
      </c>
      <c r="N21" t="s">
        <v>613</v>
      </c>
      <c r="P21" t="s">
        <v>703</v>
      </c>
      <c r="Q21" t="s">
        <v>703</v>
      </c>
      <c r="R21" t="s">
        <v>703</v>
      </c>
      <c r="S21" t="s">
        <v>703</v>
      </c>
      <c r="T21" t="s">
        <v>815</v>
      </c>
      <c r="U21" t="s">
        <v>703</v>
      </c>
      <c r="W21" t="s">
        <v>613</v>
      </c>
      <c r="X21" t="s">
        <v>815</v>
      </c>
      <c r="Y21" t="s">
        <v>613</v>
      </c>
      <c r="Z21" t="s">
        <v>613</v>
      </c>
      <c r="AA21" t="s">
        <v>613</v>
      </c>
      <c r="AB21" t="s">
        <v>613</v>
      </c>
    </row>
    <row r="22" spans="4:29" x14ac:dyDescent="0.2">
      <c r="D22" t="s">
        <v>815</v>
      </c>
      <c r="F22" t="s">
        <v>815</v>
      </c>
      <c r="G22" t="s">
        <v>815</v>
      </c>
      <c r="P22" t="s">
        <v>815</v>
      </c>
      <c r="Q22" t="s">
        <v>815</v>
      </c>
      <c r="R22" t="s">
        <v>815</v>
      </c>
      <c r="S22" t="s">
        <v>815</v>
      </c>
      <c r="U22" t="s">
        <v>815</v>
      </c>
      <c r="W22" t="s">
        <v>815</v>
      </c>
      <c r="Y22" t="s">
        <v>815</v>
      </c>
      <c r="Z22" t="s">
        <v>815</v>
      </c>
      <c r="AA22" t="s">
        <v>815</v>
      </c>
      <c r="AB22" t="s">
        <v>815</v>
      </c>
    </row>
  </sheetData>
  <autoFilter ref="B2:E11" xr:uid="{9BE280FD-C171-4263-BAB3-7619A655DAD1}">
    <sortState xmlns:xlrd2="http://schemas.microsoft.com/office/spreadsheetml/2017/richdata2" ref="B3:E11">
      <sortCondition ref="D3:D11"/>
    </sortState>
  </autoFilter>
  <conditionalFormatting sqref="B1:C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PRIOVOT</vt:lpstr>
      <vt:lpstr>VP SÁNG </vt:lpstr>
      <vt:lpstr>CHIỀU </vt:lpstr>
      <vt:lpstr>HHVCV</vt:lpstr>
      <vt:lpstr>HHVCV - Tăng ca</vt:lpstr>
      <vt:lpstr>Payment</vt:lpstr>
      <vt:lpstr>HG confirm</vt:lpstr>
      <vt:lpstr>Sheet1</vt:lpstr>
      <vt:lpstr>'HG confirm'!Print_Area</vt:lpstr>
      <vt:lpstr>Payment!Print_Area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 Ho Ngoc</dc:creator>
  <cp:lastModifiedBy>Duong Anh Thu</cp:lastModifiedBy>
  <cp:lastPrinted>2026-10-01T01:08:28Z</cp:lastPrinted>
  <dcterms:created xsi:type="dcterms:W3CDTF">2025-11-19T01:22:00Z</dcterms:created>
  <dcterms:modified xsi:type="dcterms:W3CDTF">2026-10-05T02:38:10Z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A095A491921D4C11B25ACC2BC1E1582C_12</vt:lpwstr>
  </property>
  <property fmtid="{D5CDD505-2E9C-101B-9397-08002B2CF9AE}" pid="3" name="KSOProductBuildVer">
    <vt:lpwstr>1033-12.1.0.26369</vt:lpwstr>
  </property>
  <property fmtid="{D5CDD505-2E9C-101B-9397-08002B2CF9AE}" pid="4" name="CalculationRule">
    <vt:i4>0</vt:i4>
  </property>
</Properties>
</file>